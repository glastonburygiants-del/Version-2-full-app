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600" firstSheet="0" activeTab="7" autoFilterDateGrouping="1"/>
  </bookViews>
  <sheets>
    <sheet name="🌿 Herb Lookup" sheetId="1" state="visible" r:id="rId1"/>
    <sheet name="◈ Crystal Lookup" sheetId="2" state="visible" r:id="rId2"/>
    <sheet name="🫙 Oil Lookup" sheetId="3" state="visible" r:id="rId3"/>
    <sheet name="᚛ Rune Lookup" sheetId="4" state="visible" r:id="rId4"/>
    <sheet name="☽ Deity Lookup" sheetId="5" state="visible" r:id="rId5"/>
    <sheet name="📋 How To Use" sheetId="6" state="visible" r:id="rId6"/>
    <sheet name="Index" sheetId="7" state="visible" r:id="rId7"/>
    <sheet name="Spell Types" sheetId="8" state="visible" r:id="rId8"/>
    <sheet name="Herbs" sheetId="9" state="visible" r:id="rId9"/>
    <sheet name="Crystals" sheetId="10" state="visible" r:id="rId10"/>
    <sheet name="Oils" sheetId="11" state="visible" r:id="rId11"/>
    <sheet name="Runes" sheetId="12" state="visible" r:id="rId12"/>
    <sheet name="Deities" sheetId="13" state="visible" r:id="rId13"/>
    <sheet name="Elements" sheetId="14" state="visible" r:id="rId14"/>
    <sheet name="Candles" sheetId="15" state="visible" r:id="rId15"/>
    <sheet name="Numerology" sheetId="16" state="visible" r:id="rId16"/>
    <sheet name="Planets" sheetId="17" state="visible" r:id="rId17"/>
    <sheet name="_d_herbs" sheetId="18" state="hidden" r:id="rId18"/>
    <sheet name="_d_runes" sheetId="19" state="hidden" r:id="rId19"/>
    <sheet name="_d_deities" sheetId="20" state="hidden" r:id="rId20"/>
    <sheet name="_d_crystals" sheetId="21" state="hidden" r:id="rId21"/>
    <sheet name="_d_oils" sheetId="22" state="hidden" r:id="rId22"/>
    <sheet name="Moon Names" sheetId="23" state="visible" r:id="rId23"/>
    <sheet name="Role Wording Templates" sheetId="24" state="visible" r:id="rId24"/>
  </sheets>
  <definedNames>
    <definedName name="_xlnm._FilterDatabase" localSheetId="7" hidden="1">'Spell Types'!$A$1:$C$61</definedName>
    <definedName name="_xlnm._FilterDatabase" localSheetId="8" hidden="1">'Herbs'!$A$1:$R$1</definedName>
    <definedName name="_xlnm._FilterDatabase" localSheetId="9" hidden="1">'Crystals'!$A$1:$R$1</definedName>
    <definedName name="_xlnm._FilterDatabase" localSheetId="10" hidden="1">'Oils'!$A$1:$R$1</definedName>
    <definedName name="_xlnm._FilterDatabase" localSheetId="11" hidden="1">'Runes'!$A$1:$T$1</definedName>
    <definedName name="_xlnm._FilterDatabase" localSheetId="12" hidden="1">'Deities'!$A$1:$L$1</definedName>
    <definedName name="_xlnm._FilterDatabase" localSheetId="13" hidden="1">'Elements'!$A$1:$E$1</definedName>
    <definedName name="_xlnm._FilterDatabase" localSheetId="14" hidden="1">'Candles'!$A$1:$B$1</definedName>
    <definedName name="_xlnm._FilterDatabase" localSheetId="15" hidden="1">'Numerology'!$A$1:$E$1</definedName>
    <definedName name="_xlnm._FilterDatabase" localSheetId="16" hidden="1">'Planets'!$A$1:$C$1</definedName>
  </definedNames>
  <calcPr calcId="191028" fullCalcOnLoad="1" iterateDelta="0.0001"/>
</workbook>
</file>

<file path=xl/styles.xml><?xml version="1.0" encoding="utf-8"?>
<styleSheet xmlns="http://schemas.openxmlformats.org/spreadsheetml/2006/main">
  <numFmts count="0"/>
  <fonts count="55">
    <font>
      <name val="Calibri"/>
      <charset val="1"/>
      <family val="2"/>
      <color theme="1"/>
      <sz val="11"/>
    </font>
    <font>
      <name val="Calibri"/>
      <charset val="1"/>
      <b val="1"/>
      <color rgb="FFF5E6CA"/>
      <sz val="16"/>
    </font>
    <font>
      <name val="Calibri"/>
      <charset val="1"/>
      <i val="1"/>
      <color rgb="FF555555"/>
      <sz val="10"/>
    </font>
    <font>
      <name val="Calibri"/>
      <charset val="1"/>
      <b val="1"/>
      <color rgb="FFF5E6CA"/>
      <sz val="11"/>
    </font>
    <font>
      <name val="Calibri"/>
      <charset val="1"/>
      <color rgb="FF1A1A2E"/>
      <sz val="10"/>
    </font>
    <font>
      <name val="Calibri"/>
      <charset val="1"/>
      <b val="1"/>
      <color rgb="FF856404"/>
      <sz val="10"/>
    </font>
    <font>
      <name val="Georgia"/>
      <b val="1"/>
      <color rgb="FFF7F3E9"/>
      <sz val="18"/>
    </font>
    <font>
      <name val="Georgia"/>
      <b val="1"/>
      <color rgb="FFF7F3E9"/>
      <sz val="13"/>
    </font>
    <font>
      <name val="Georgia"/>
      <color rgb="FF1C1C1C"/>
      <sz val="10"/>
    </font>
    <font>
      <name val="Georgia"/>
      <b val="1"/>
      <color rgb="FFF7F3E9"/>
      <sz val="11"/>
    </font>
    <font>
      <name val="Georgia"/>
      <i val="1"/>
      <color rgb="FFF7F3E9"/>
      <sz val="10"/>
    </font>
    <font>
      <name val="Georgia"/>
      <b val="1"/>
      <i val="1"/>
      <color rgb="FFF7F3E9"/>
      <sz val="15"/>
    </font>
    <font>
      <name val="Georgia"/>
      <b val="1"/>
      <color rgb="FFB5873A"/>
      <sz val="11"/>
    </font>
    <font>
      <name val="Georgia"/>
      <b val="1"/>
      <color rgb="FF1A3D2B"/>
      <sz val="11"/>
    </font>
    <font>
      <name val="Georgia"/>
      <b val="1"/>
      <i val="1"/>
      <color rgb="FF1A3D2B"/>
      <sz val="17"/>
    </font>
    <font>
      <name val="Georgia"/>
      <i val="1"/>
      <color rgb="FF52796F"/>
      <sz val="10"/>
    </font>
    <font>
      <name val="Georgia"/>
      <i val="1"/>
      <color rgb="FFB5873A"/>
      <sz val="9"/>
    </font>
    <font>
      <name val="Georgia"/>
      <b val="1"/>
      <color rgb="FFF7F3E9"/>
      <sz val="9"/>
    </font>
    <font>
      <name val="Calibri"/>
      <color rgb="FF1C1C1C"/>
      <sz val="11"/>
    </font>
    <font>
      <name val="Calibri"/>
      <b val="1"/>
      <color rgb="FF52796F"/>
      <sz val="8"/>
    </font>
    <font>
      <name val="Calibri"/>
      <color rgb="FF1C1C1C"/>
      <sz val="10"/>
    </font>
    <font>
      <name val="Calibri"/>
      <b val="1"/>
      <color rgb="FF9A7A3A"/>
      <sz val="8"/>
    </font>
    <font>
      <name val="Calibri"/>
      <b val="1"/>
      <color rgb="FF3A6A8B"/>
      <sz val="8"/>
    </font>
    <font>
      <name val="Calibri"/>
      <b val="1"/>
      <color rgb="FF6A3A8B"/>
      <sz val="8"/>
    </font>
    <font>
      <name val="Calibri"/>
      <b val="1"/>
      <color rgb="FF2D6A4F"/>
      <sz val="8"/>
    </font>
    <font>
      <name val="Calibri"/>
      <i val="1"/>
      <color rgb="FF1C1C1C"/>
      <sz val="10"/>
    </font>
    <font>
      <name val="Calibri"/>
      <color rgb="FF8B2020"/>
      <sz val="10"/>
    </font>
    <font>
      <name val="Georgia"/>
      <i val="1"/>
      <color rgb="FFF7F3E9"/>
      <sz val="8"/>
    </font>
    <font>
      <name val="Georgia"/>
      <b val="1"/>
      <color rgb="FF1A2D4A"/>
      <sz val="11"/>
    </font>
    <font>
      <name val="Georgia"/>
      <b val="1"/>
      <color rgb="FF1A2D4A"/>
      <sz val="17"/>
    </font>
    <font>
      <name val="Calibri"/>
      <b val="1"/>
      <color rgb="FF3A6A3A"/>
      <sz val="8"/>
    </font>
    <font>
      <name val="Georgia"/>
      <b val="1"/>
      <color rgb="FF7A5C20"/>
      <sz val="11"/>
    </font>
    <font>
      <name val="Georgia"/>
      <b val="1"/>
      <color rgb="FF7A5C20"/>
      <sz val="17"/>
    </font>
    <font>
      <name val="Georgia"/>
      <b val="1"/>
      <color rgb="FF2D1A4A"/>
      <sz val="11"/>
    </font>
    <font>
      <name val="Georgia"/>
      <b val="1"/>
      <color rgb="FF2D1A4A"/>
      <sz val="20"/>
    </font>
    <font>
      <name val="Georgia"/>
      <i val="1"/>
      <color rgb="FF52796F"/>
      <sz val="11"/>
    </font>
    <font>
      <name val="Georgia"/>
      <color rgb="FFB5873A"/>
      <sz val="9"/>
    </font>
    <font>
      <name val="Georgia"/>
      <b val="1"/>
      <color rgb="FFC4973A"/>
      <sz val="11"/>
    </font>
    <font>
      <name val="Georgia"/>
      <b val="1"/>
      <color rgb="FF3D1A2B"/>
      <sz val="11"/>
    </font>
    <font>
      <name val="Georgia"/>
      <b val="1"/>
      <color rgb="FF3D1A2B"/>
      <sz val="18"/>
    </font>
    <font>
      <name val="Calibri"/>
      <i val="1"/>
      <color rgb="FF3D1A2B"/>
      <sz val="11"/>
    </font>
    <font>
      <name val="Calibri"/>
      <i val="1"/>
      <color rgb="FF3D1A2B"/>
      <sz val="10"/>
    </font>
    <font>
      <name val="Calibri"/>
      <i val="1"/>
      <color rgb="FF2D6A4F"/>
      <sz val="10"/>
    </font>
    <font>
      <name val="Calibri"/>
      <b val="1"/>
      <color rgb="FF2D4A6A"/>
      <sz val="8"/>
    </font>
    <font>
      <name val="Calibri"/>
      <b val="1"/>
      <color rgb="FF8A6A2A"/>
      <sz val="8"/>
    </font>
    <font>
      <name val="Calibri"/>
      <b val="1"/>
      <color rgb="FF4A2D6A"/>
      <sz val="8"/>
    </font>
    <font>
      <name val="Calibri"/>
      <b val="1"/>
      <color rgb="FF8B2020"/>
      <sz val="8"/>
    </font>
    <font>
      <name val="Calibri"/>
      <b val="1"/>
      <color rgb="FF1C1C1C"/>
      <sz val="10"/>
    </font>
    <font>
      <name val="Calibri"/>
      <color rgb="FF1C1C1C"/>
      <sz val="9"/>
    </font>
    <font>
      <name val="Calibri"/>
      <b val="1"/>
      <color rgb="FF6A2D4A"/>
      <sz val="8"/>
    </font>
    <font>
      <name val="Calibri"/>
      <b val="1"/>
      <color rgb="FFFFFFFF"/>
      <sz val="10"/>
    </font>
    <font>
      <name val="Calibri"/>
      <sz val="9"/>
    </font>
    <font>
      <name val="Calibri"/>
      <sz val="9"/>
    </font>
    <font>
      <name val="Calibri"/>
      <b val="1"/>
      <sz val="9"/>
    </font>
    <font>
      <name val="Calibri"/>
      <sz val="9"/>
    </font>
  </fonts>
  <fills count="40">
    <fill>
      <patternFill/>
    </fill>
    <fill>
      <patternFill patternType="gray125"/>
    </fill>
    <fill>
      <patternFill patternType="solid">
        <fgColor rgb="FF1A1A2E"/>
        <bgColor rgb="FF333300"/>
      </patternFill>
    </fill>
    <fill>
      <patternFill patternType="solid">
        <fgColor rgb="FFF2EFE9"/>
        <bgColor rgb="FFFFF3CD"/>
      </patternFill>
    </fill>
    <fill>
      <patternFill patternType="solid">
        <fgColor rgb="FFFFFFFF"/>
        <bgColor rgb="FFF2EFE9"/>
      </patternFill>
    </fill>
    <fill>
      <patternFill patternType="solid">
        <fgColor rgb="FFFFF3CD"/>
        <bgColor rgb="FFF5E6CA"/>
      </patternFill>
    </fill>
    <fill>
      <patternFill patternType="solid">
        <fgColor rgb="FF1A3D2B"/>
      </patternFill>
    </fill>
    <fill>
      <patternFill patternType="solid">
        <fgColor rgb="FFB5873A"/>
      </patternFill>
    </fill>
    <fill>
      <patternFill patternType="solid">
        <fgColor rgb="FFF7F3E9"/>
      </patternFill>
    </fill>
    <fill>
      <patternFill patternType="solid">
        <fgColor rgb="FF2D6A4F"/>
      </patternFill>
    </fill>
    <fill>
      <patternFill patternType="solid">
        <fgColor rgb="FF52796F"/>
      </patternFill>
    </fill>
    <fill>
      <patternFill patternType="solid">
        <fgColor rgb="FF1A3D2B"/>
      </patternFill>
    </fill>
    <fill>
      <patternFill patternType="solid">
        <fgColor rgb="FFB5873A"/>
      </patternFill>
    </fill>
    <fill>
      <patternFill patternType="solid">
        <fgColor rgb="FFF7F3E9"/>
      </patternFill>
    </fill>
    <fill>
      <patternFill patternType="solid">
        <fgColor rgb="FF2D6A4F"/>
      </patternFill>
    </fill>
    <fill>
      <patternFill patternType="solid">
        <fgColor rgb="FFFDFCF7"/>
      </patternFill>
    </fill>
    <fill>
      <patternFill patternType="solid">
        <fgColor rgb="FFEDE8DC"/>
      </patternFill>
    </fill>
    <fill>
      <patternFill patternType="solid">
        <fgColor rgb="FF52796F"/>
      </patternFill>
    </fill>
    <fill>
      <patternFill patternType="solid">
        <fgColor rgb="FFF4EEE0"/>
      </patternFill>
    </fill>
    <fill>
      <patternFill patternType="solid">
        <fgColor rgb="FFE8EEF4"/>
      </patternFill>
    </fill>
    <fill>
      <patternFill patternType="solid">
        <fgColor rgb="FFEEE8F0"/>
      </patternFill>
    </fill>
    <fill>
      <patternFill patternType="solid">
        <fgColor rgb="FF8B2020"/>
      </patternFill>
    </fill>
    <fill>
      <patternFill patternType="solid">
        <fgColor rgb="FFF9D6D6"/>
      </patternFill>
    </fill>
    <fill>
      <patternFill patternType="solid">
        <fgColor rgb="FF1A2D4A"/>
      </patternFill>
    </fill>
    <fill>
      <patternFill patternType="solid">
        <fgColor rgb="FF2D4A6A"/>
      </patternFill>
    </fill>
    <fill>
      <patternFill patternType="solid">
        <fgColor rgb="FF3A5A8A"/>
      </patternFill>
    </fill>
    <fill>
      <patternFill patternType="solid">
        <fgColor rgb="FFE8F0E8"/>
      </patternFill>
    </fill>
    <fill>
      <patternFill patternType="solid">
        <fgColor rgb="FF7A5C20"/>
      </patternFill>
    </fill>
    <fill>
      <patternFill patternType="solid">
        <fgColor rgb="FF8A6A2A"/>
      </patternFill>
    </fill>
    <fill>
      <patternFill patternType="solid">
        <fgColor rgb="FFA07A35"/>
      </patternFill>
    </fill>
    <fill>
      <patternFill patternType="solid">
        <fgColor rgb="FF2D1A4A"/>
      </patternFill>
    </fill>
    <fill>
      <patternFill patternType="solid">
        <fgColor rgb="FF4A2D6A"/>
      </patternFill>
    </fill>
    <fill>
      <patternFill patternType="solid">
        <fgColor rgb="FF5A3A8A"/>
      </patternFill>
    </fill>
    <fill>
      <patternFill patternType="solid">
        <fgColor rgb="FF3D1A2B"/>
      </patternFill>
    </fill>
    <fill>
      <patternFill patternType="solid">
        <fgColor rgb="FFF0E4EA"/>
      </patternFill>
    </fill>
    <fill>
      <patternFill patternType="solid">
        <fgColor rgb="FF6A2D4A"/>
      </patternFill>
    </fill>
    <fill>
      <patternFill patternType="solid">
        <fgColor rgb="FFF4F8FC"/>
      </patternFill>
    </fill>
    <fill>
      <patternFill patternType="solid">
        <fgColor rgb="FFFDF8F0"/>
      </patternFill>
    </fill>
    <fill>
      <patternFill patternType="solid">
        <fgColor rgb="FFC4973A"/>
      </patternFill>
    </fill>
    <fill>
      <patternFill patternType="solid">
        <fgColor rgb="FF2D5A1B"/>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B5873A"/>
      </left>
      <right style="thin">
        <color rgb="FFB5873A"/>
      </right>
      <top style="thin">
        <color rgb="FFB5873A"/>
      </top>
      <bottom style="thin">
        <color rgb="FFB5873A"/>
      </bottom>
      <diagonal/>
    </border>
    <border>
      <left style="thin">
        <color rgb="FFC5BEA8"/>
      </left>
      <right style="thin">
        <color rgb="FFC5BEA8"/>
      </right>
      <top style="thin">
        <color rgb="FFC5BEA8"/>
      </top>
      <bottom style="thin">
        <color rgb="FFC5BEA8"/>
      </bottom>
      <diagonal/>
    </border>
    <border>
      <left style="thin">
        <color rgb="FFC4973A"/>
      </left>
      <right style="thin">
        <color rgb="FFC4973A"/>
      </right>
      <top style="thin">
        <color rgb="FFC4973A"/>
      </top>
      <bottom style="thin">
        <color rgb="FFC4973A"/>
      </bottom>
      <diagonal/>
    </border>
  </borders>
  <cellStyleXfs count="1">
    <xf numFmtId="0" fontId="0" fillId="0" borderId="0"/>
  </cellStyleXfs>
  <cellXfs count="109">
    <xf numFmtId="0" fontId="0"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0" fillId="8" borderId="0" pivotButton="0" quotePrefix="0" xfId="0"/>
    <xf numFmtId="0" fontId="13" fillId="13" borderId="2" applyAlignment="1" pivotButton="0" quotePrefix="0" xfId="0">
      <alignment horizontal="left" vertical="center" indent="1"/>
    </xf>
    <xf numFmtId="0" fontId="18" fillId="15" borderId="3" applyAlignment="1" pivotButton="0" quotePrefix="0" xfId="0">
      <alignment horizontal="left" vertical="top" wrapText="1" indent="1"/>
    </xf>
    <xf numFmtId="0" fontId="19" fillId="13" borderId="3" applyAlignment="1" pivotButton="0" quotePrefix="0" xfId="0">
      <alignment horizontal="left" vertical="top" indent="1"/>
    </xf>
    <xf numFmtId="0" fontId="20" fillId="15" borderId="3" applyAlignment="1" pivotButton="0" quotePrefix="0" xfId="0">
      <alignment horizontal="left" vertical="top" wrapText="1" indent="1"/>
    </xf>
    <xf numFmtId="0" fontId="20" fillId="18" borderId="3" applyAlignment="1" pivotButton="0" quotePrefix="0" xfId="0">
      <alignment horizontal="left" vertical="top" wrapText="1" indent="1"/>
    </xf>
    <xf numFmtId="0" fontId="21" fillId="13" borderId="3" applyAlignment="1" pivotButton="0" quotePrefix="0" xfId="0">
      <alignment horizontal="left" vertical="top" indent="1"/>
    </xf>
    <xf numFmtId="0" fontId="20" fillId="19" borderId="3" applyAlignment="1" pivotButton="0" quotePrefix="0" xfId="0">
      <alignment horizontal="left" vertical="top" wrapText="1" indent="1"/>
    </xf>
    <xf numFmtId="0" fontId="22" fillId="13" borderId="3" applyAlignment="1" pivotButton="0" quotePrefix="0" xfId="0">
      <alignment horizontal="left" vertical="top" indent="1"/>
    </xf>
    <xf numFmtId="0" fontId="20" fillId="20" borderId="3" applyAlignment="1" pivotButton="0" quotePrefix="0" xfId="0">
      <alignment horizontal="left" vertical="top" wrapText="1" indent="1"/>
    </xf>
    <xf numFmtId="0" fontId="23" fillId="13" borderId="3" applyAlignment="1" pivotButton="0" quotePrefix="0" xfId="0">
      <alignment horizontal="left" vertical="top" indent="1"/>
    </xf>
    <xf numFmtId="0" fontId="24" fillId="13" borderId="3" applyAlignment="1" pivotButton="0" quotePrefix="0" xfId="0">
      <alignment horizontal="left" vertical="top" indent="1"/>
    </xf>
    <xf numFmtId="0" fontId="25" fillId="13" borderId="3" applyAlignment="1" pivotButton="0" quotePrefix="0" xfId="0">
      <alignment horizontal="left" vertical="top" wrapText="1" indent="1"/>
    </xf>
    <xf numFmtId="0" fontId="26" fillId="22" borderId="3" applyAlignment="1" pivotButton="0" quotePrefix="0" xfId="0">
      <alignment horizontal="left" vertical="top" wrapText="1" indent="1"/>
    </xf>
    <xf numFmtId="0" fontId="28" fillId="13" borderId="2" applyAlignment="1" pivotButton="0" quotePrefix="0" xfId="0">
      <alignment horizontal="left" vertical="center" indent="1"/>
    </xf>
    <xf numFmtId="0" fontId="20" fillId="26" borderId="3" applyAlignment="1" pivotButton="0" quotePrefix="0" xfId="0">
      <alignment horizontal="left" vertical="top" wrapText="1" indent="1"/>
    </xf>
    <xf numFmtId="0" fontId="30" fillId="13" borderId="3" applyAlignment="1" pivotButton="0" quotePrefix="0" xfId="0">
      <alignment horizontal="left" vertical="top" indent="1"/>
    </xf>
    <xf numFmtId="0" fontId="31" fillId="13" borderId="2" applyAlignment="1" pivotButton="0" quotePrefix="0" xfId="0">
      <alignment horizontal="left" vertical="center" indent="1"/>
    </xf>
    <xf numFmtId="0" fontId="33" fillId="13" borderId="2" applyAlignment="1" pivotButton="0" quotePrefix="0" xfId="0">
      <alignment horizontal="left" vertical="center" indent="1"/>
    </xf>
    <xf numFmtId="0" fontId="40" fillId="34" borderId="3" applyAlignment="1" pivotButton="0" quotePrefix="0" xfId="0">
      <alignment horizontal="left" vertical="top" wrapText="1" indent="1"/>
    </xf>
    <xf numFmtId="0" fontId="41" fillId="34" borderId="3" applyAlignment="1" pivotButton="0" quotePrefix="0" xfId="0">
      <alignment horizontal="left" vertical="top" wrapText="1" indent="1"/>
    </xf>
    <xf numFmtId="0" fontId="42" fillId="26" borderId="3" applyAlignment="1" pivotButton="0" quotePrefix="0" xfId="0">
      <alignment horizontal="left" vertical="top" wrapText="1" indent="1"/>
    </xf>
    <xf numFmtId="0" fontId="43" fillId="13" borderId="3" applyAlignment="1" pivotButton="0" quotePrefix="0" xfId="0">
      <alignment horizontal="left" vertical="top" indent="1"/>
    </xf>
    <xf numFmtId="0" fontId="44" fillId="13" borderId="3" applyAlignment="1" pivotButton="0" quotePrefix="0" xfId="0">
      <alignment horizontal="left" vertical="top" indent="1"/>
    </xf>
    <xf numFmtId="0" fontId="45" fillId="13" borderId="3" applyAlignment="1" pivotButton="0" quotePrefix="0" xfId="0">
      <alignment horizontal="left" vertical="top" indent="1"/>
    </xf>
    <xf numFmtId="0" fontId="46" fillId="22" borderId="3" applyAlignment="1" pivotButton="0" quotePrefix="0" xfId="0">
      <alignment horizontal="left" vertical="top" indent="1"/>
    </xf>
    <xf numFmtId="0" fontId="47" fillId="19" borderId="3" applyAlignment="1" pivotButton="0" quotePrefix="0" xfId="0">
      <alignment horizontal="center" vertical="center" wrapText="1"/>
    </xf>
    <xf numFmtId="0" fontId="47" fillId="18" borderId="3" applyAlignment="1" pivotButton="0" quotePrefix="0" xfId="0">
      <alignment horizontal="center" vertical="center" wrapText="1"/>
    </xf>
    <xf numFmtId="0" fontId="48" fillId="36" borderId="3" applyAlignment="1" pivotButton="0" quotePrefix="0" xfId="0">
      <alignment horizontal="left" vertical="top" wrapText="1"/>
    </xf>
    <xf numFmtId="0" fontId="48" fillId="37" borderId="3" applyAlignment="1" pivotButton="0" quotePrefix="0" xfId="0">
      <alignment horizontal="left" vertical="top" wrapText="1"/>
    </xf>
    <xf numFmtId="0" fontId="38" fillId="13" borderId="4" applyAlignment="1" pivotButton="0" quotePrefix="0" xfId="0">
      <alignment horizontal="left" vertical="center" indent="1"/>
    </xf>
    <xf numFmtId="0" fontId="49" fillId="13" borderId="3" applyAlignment="1" pivotButton="0" quotePrefix="0" xfId="0">
      <alignment horizontal="left" vertical="top" indent="1"/>
    </xf>
    <xf numFmtId="0" fontId="50" fillId="39" borderId="0" applyAlignment="1" pivotButton="0" quotePrefix="0" xfId="0">
      <alignment horizontal="center" vertical="center" wrapText="1"/>
    </xf>
    <xf numFmtId="0" fontId="51" fillId="0" borderId="0" applyAlignment="1" pivotButton="0" quotePrefix="0" xfId="0">
      <alignment vertical="top" wrapText="1"/>
    </xf>
    <xf numFmtId="0" fontId="3" fillId="2" borderId="0" applyAlignment="1" pivotButton="0" quotePrefix="0" xfId="0">
      <alignment vertical="top" wrapText="1"/>
    </xf>
    <xf numFmtId="0" fontId="0" fillId="0" borderId="0" applyAlignment="1" pivotButton="0" quotePrefix="0" xfId="0">
      <alignment vertical="top" wrapText="1"/>
    </xf>
    <xf numFmtId="0" fontId="52" fillId="0" borderId="0" applyAlignment="1" pivotButton="0" quotePrefix="0" xfId="0">
      <alignment vertical="top" wrapText="1"/>
    </xf>
    <xf numFmtId="0" fontId="53" fillId="0" borderId="0" applyAlignment="1" pivotButton="0" quotePrefix="0" xfId="0">
      <alignment vertical="top" wrapText="1"/>
    </xf>
    <xf numFmtId="0" fontId="54" fillId="0" borderId="0" applyAlignment="1" pivotButton="0" quotePrefix="0" xfId="0">
      <alignment vertical="top" wrapText="1"/>
    </xf>
    <xf numFmtId="0" fontId="53" fillId="0" borderId="0" pivotButton="0" quotePrefix="0" xfId="0"/>
    <xf numFmtId="0" fontId="54" fillId="0" borderId="0" pivotButton="0" quotePrefix="0" xfId="0"/>
    <xf numFmtId="0" fontId="0" fillId="0" borderId="0" pivotButton="0" quotePrefix="0" xfId="0"/>
    <xf numFmtId="0" fontId="0" fillId="16" borderId="0" pivotButton="0" quotePrefix="0" xfId="0"/>
    <xf numFmtId="0" fontId="0" fillId="11" borderId="0" pivotButton="0" quotePrefix="0" xfId="0"/>
    <xf numFmtId="0" fontId="0" fillId="23" borderId="0" pivotButton="0" quotePrefix="0" xfId="0"/>
    <xf numFmtId="0" fontId="0" fillId="27" borderId="0" pivotButton="0" quotePrefix="0" xfId="0"/>
    <xf numFmtId="0" fontId="0" fillId="30" borderId="0" pivotButton="0" quotePrefix="0" xfId="0"/>
    <xf numFmtId="0" fontId="0" fillId="33" borderId="0" pivotButton="0" quotePrefix="0" xfId="0"/>
    <xf numFmtId="0" fontId="0" fillId="12" borderId="0" pivotButton="0" quotePrefix="0" xfId="0"/>
    <xf numFmtId="0" fontId="0" fillId="0" borderId="0" pivotButton="0" quotePrefix="0" xfId="0"/>
    <xf numFmtId="0" fontId="0" fillId="16" borderId="0" pivotButton="0" quotePrefix="0" xfId="0"/>
    <xf numFmtId="0" fontId="15" fillId="13" borderId="0" applyAlignment="1" pivotButton="0" quotePrefix="0" xfId="0">
      <alignment horizontal="center" vertical="center"/>
    </xf>
    <xf numFmtId="0" fontId="17" fillId="17" borderId="0" applyAlignment="1" pivotButton="0" quotePrefix="0" xfId="0">
      <alignment horizontal="left" vertical="center"/>
    </xf>
    <xf numFmtId="0" fontId="16" fillId="13" borderId="0" applyAlignment="1" pivotButton="0" quotePrefix="0" xfId="0">
      <alignment horizontal="center" vertical="center"/>
    </xf>
    <xf numFmtId="0" fontId="17" fillId="14" borderId="0" applyAlignment="1" pivotButton="0" quotePrefix="0" xfId="0">
      <alignment horizontal="left" vertical="center"/>
    </xf>
    <xf numFmtId="0" fontId="0" fillId="11" borderId="0" pivotButton="0" quotePrefix="0" xfId="0"/>
    <xf numFmtId="0" fontId="27" fillId="11" borderId="0" applyAlignment="1" pivotButton="0" quotePrefix="0" xfId="0">
      <alignment horizontal="center" vertical="center"/>
    </xf>
    <xf numFmtId="0" fontId="14" fillId="13" borderId="0" applyAlignment="1" pivotButton="0" quotePrefix="0" xfId="0">
      <alignment horizontal="center" vertical="center"/>
    </xf>
    <xf numFmtId="0" fontId="17" fillId="21" borderId="0" applyAlignment="1" pivotButton="0" quotePrefix="0" xfId="0">
      <alignment horizontal="left" vertical="center"/>
    </xf>
    <xf numFmtId="0" fontId="12" fillId="11" borderId="0" applyAlignment="1" pivotButton="0" quotePrefix="0" xfId="0">
      <alignment horizontal="left" vertical="center"/>
    </xf>
    <xf numFmtId="0" fontId="11" fillId="11" borderId="0" applyAlignment="1" pivotButton="0" quotePrefix="0" xfId="0">
      <alignment horizontal="center" vertical="center"/>
    </xf>
    <xf numFmtId="0" fontId="17" fillId="24" borderId="0" applyAlignment="1" pivotButton="0" quotePrefix="0" xfId="0">
      <alignment horizontal="left" vertical="center"/>
    </xf>
    <xf numFmtId="0" fontId="0" fillId="23" borderId="0" pivotButton="0" quotePrefix="0" xfId="0"/>
    <xf numFmtId="0" fontId="27" fillId="23" borderId="0" applyAlignment="1" pivotButton="0" quotePrefix="0" xfId="0">
      <alignment horizontal="center" vertical="center"/>
    </xf>
    <xf numFmtId="0" fontId="17" fillId="25" borderId="0" applyAlignment="1" pivotButton="0" quotePrefix="0" xfId="0">
      <alignment horizontal="left" vertical="center"/>
    </xf>
    <xf numFmtId="0" fontId="29" fillId="13" borderId="0" applyAlignment="1" pivotButton="0" quotePrefix="0" xfId="0">
      <alignment horizontal="center" vertical="center"/>
    </xf>
    <xf numFmtId="0" fontId="12" fillId="23" borderId="0" applyAlignment="1" pivotButton="0" quotePrefix="0" xfId="0">
      <alignment horizontal="left" vertical="center"/>
    </xf>
    <xf numFmtId="0" fontId="11" fillId="23" borderId="0" applyAlignment="1" pivotButton="0" quotePrefix="0" xfId="0">
      <alignment horizontal="center" vertical="center"/>
    </xf>
    <xf numFmtId="0" fontId="17" fillId="28" borderId="0" applyAlignment="1" pivotButton="0" quotePrefix="0" xfId="0">
      <alignment horizontal="left" vertical="center"/>
    </xf>
    <xf numFmtId="0" fontId="0" fillId="27" borderId="0" pivotButton="0" quotePrefix="0" xfId="0"/>
    <xf numFmtId="0" fontId="32" fillId="13" borderId="0" applyAlignment="1" pivotButton="0" quotePrefix="0" xfId="0">
      <alignment horizontal="center" vertical="center"/>
    </xf>
    <xf numFmtId="0" fontId="17" fillId="29" borderId="0" applyAlignment="1" pivotButton="0" quotePrefix="0" xfId="0">
      <alignment horizontal="left" vertical="center"/>
    </xf>
    <xf numFmtId="0" fontId="12" fillId="27" borderId="0" applyAlignment="1" pivotButton="0" quotePrefix="0" xfId="0">
      <alignment horizontal="left" vertical="center"/>
    </xf>
    <xf numFmtId="0" fontId="11" fillId="27" borderId="0" applyAlignment="1" pivotButton="0" quotePrefix="0" xfId="0">
      <alignment horizontal="center" vertical="center"/>
    </xf>
    <xf numFmtId="0" fontId="27" fillId="27" borderId="0" applyAlignment="1" pivotButton="0" quotePrefix="0" xfId="0">
      <alignment horizontal="center" vertical="center"/>
    </xf>
    <xf numFmtId="0" fontId="35" fillId="13" borderId="0" applyAlignment="1" pivotButton="0" quotePrefix="0" xfId="0">
      <alignment horizontal="center" vertical="center"/>
    </xf>
    <xf numFmtId="0" fontId="17" fillId="32" borderId="0" applyAlignment="1" pivotButton="0" quotePrefix="0" xfId="0">
      <alignment horizontal="left" vertical="center"/>
    </xf>
    <xf numFmtId="0" fontId="36" fillId="13" borderId="0" applyAlignment="1" pivotButton="0" quotePrefix="0" xfId="0">
      <alignment horizontal="center" vertical="center"/>
    </xf>
    <xf numFmtId="0" fontId="17" fillId="31" borderId="0" applyAlignment="1" pivotButton="0" quotePrefix="0" xfId="0">
      <alignment horizontal="left" vertical="center"/>
    </xf>
    <xf numFmtId="0" fontId="0" fillId="30" borderId="0" pivotButton="0" quotePrefix="0" xfId="0"/>
    <xf numFmtId="0" fontId="34" fillId="13" borderId="0" applyAlignment="1" pivotButton="0" quotePrefix="0" xfId="0">
      <alignment horizontal="center" vertical="center"/>
    </xf>
    <xf numFmtId="0" fontId="12" fillId="30" borderId="0" applyAlignment="1" pivotButton="0" quotePrefix="0" xfId="0">
      <alignment horizontal="left" vertical="center"/>
    </xf>
    <xf numFmtId="0" fontId="27" fillId="30" borderId="0" applyAlignment="1" pivotButton="0" quotePrefix="0" xfId="0">
      <alignment horizontal="center" vertical="center"/>
    </xf>
    <xf numFmtId="0" fontId="11" fillId="30" borderId="0" applyAlignment="1" pivotButton="0" quotePrefix="0" xfId="0">
      <alignment horizontal="center" vertical="center"/>
    </xf>
    <xf numFmtId="0" fontId="0" fillId="38" borderId="0" pivotButton="0" quotePrefix="0" xfId="0"/>
    <xf numFmtId="0" fontId="15" fillId="34" borderId="0" applyAlignment="1" pivotButton="0" quotePrefix="0" xfId="0">
      <alignment horizontal="center" vertical="center"/>
    </xf>
    <xf numFmtId="0" fontId="17" fillId="35" borderId="0" applyAlignment="1" pivotButton="0" quotePrefix="0" xfId="0">
      <alignment horizontal="left" vertical="center"/>
    </xf>
    <xf numFmtId="0" fontId="0" fillId="33" borderId="0" pivotButton="0" quotePrefix="0" xfId="0"/>
    <xf numFmtId="0" fontId="27" fillId="33" borderId="0" applyAlignment="1" pivotButton="0" quotePrefix="0" xfId="0">
      <alignment horizontal="center" vertical="center"/>
    </xf>
    <xf numFmtId="0" fontId="17" fillId="33" borderId="0" applyAlignment="1" pivotButton="0" quotePrefix="0" xfId="0">
      <alignment horizontal="left" vertical="center"/>
    </xf>
    <xf numFmtId="0" fontId="39" fillId="34" borderId="0" applyAlignment="1" pivotButton="0" quotePrefix="0" xfId="0">
      <alignment horizontal="center" vertical="center"/>
    </xf>
    <xf numFmtId="0" fontId="37" fillId="33" borderId="0" applyAlignment="1" pivotButton="0" quotePrefix="0" xfId="0">
      <alignment horizontal="left" vertical="center"/>
    </xf>
    <xf numFmtId="0" fontId="11" fillId="33" borderId="0" applyAlignment="1" pivotButton="0" quotePrefix="0" xfId="0">
      <alignment horizontal="center" vertical="center"/>
    </xf>
    <xf numFmtId="0" fontId="8" fillId="8" borderId="0" applyAlignment="1" pivotButton="0" quotePrefix="0" xfId="0">
      <alignment horizontal="left" vertical="top" wrapText="1" indent="2"/>
    </xf>
    <xf numFmtId="0" fontId="0" fillId="6" borderId="0" pivotButton="0" quotePrefix="0" xfId="0"/>
    <xf numFmtId="0" fontId="9" fillId="9" borderId="0" applyAlignment="1" pivotButton="0" quotePrefix="0" xfId="0">
      <alignment horizontal="center" vertical="center"/>
    </xf>
    <xf numFmtId="0" fontId="10" fillId="6" borderId="0" applyAlignment="1" pivotButton="0" quotePrefix="0" xfId="0">
      <alignment horizontal="center" vertical="center"/>
    </xf>
    <xf numFmtId="0" fontId="0" fillId="7" borderId="0" pivotButton="0" quotePrefix="0" xfId="0"/>
    <xf numFmtId="0" fontId="7" fillId="10" borderId="0" applyAlignment="1" pivotButton="0" quotePrefix="0" xfId="0">
      <alignment horizontal="center" vertical="center"/>
    </xf>
    <xf numFmtId="0" fontId="6" fillId="6" borderId="0" applyAlignment="1" pivotButton="0" quotePrefix="0" xfId="0">
      <alignment horizontal="center" vertical="center"/>
    </xf>
    <xf numFmtId="0" fontId="2" fillId="0" borderId="0" applyAlignment="1" pivotButton="0" quotePrefix="0" xfId="0">
      <alignment horizontal="center" vertical="center"/>
    </xf>
    <xf numFmtId="0" fontId="1"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6404"/>
      <rgbColor rgb="FF800080"/>
      <rgbColor rgb="FF008080"/>
      <rgbColor rgb="FFCCCCCC"/>
      <rgbColor rgb="FF808080"/>
      <rgbColor rgb="FF9999FF"/>
      <rgbColor rgb="FF993366"/>
      <rgbColor rgb="FFFFF3CD"/>
      <rgbColor rgb="FFF2EF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5E6CA"/>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D87"/>
  <sheetViews>
    <sheetView showGridLines="0" workbookViewId="0">
      <pane ySplit="4" topLeftCell="A68" activePane="bottomLeft" state="frozen"/>
      <selection pane="bottomLeft" activeCell="C4" sqref="C4"/>
    </sheetView>
  </sheetViews>
  <sheetFormatPr baseColWidth="8" defaultRowHeight="15"/>
  <cols>
    <col width="1.4765625" customWidth="1" style="56" min="1" max="1"/>
    <col width="14.9296875" customWidth="1" style="56" min="2" max="2"/>
    <col width="29.0546875" customWidth="1" style="56" min="3" max="3"/>
    <col width="1.4765625" customWidth="1" style="56" min="4" max="4"/>
  </cols>
  <sheetData>
    <row r="1" ht="3" customHeight="1" s="56">
      <c r="A1" s="62" t="n"/>
    </row>
    <row r="2" ht="44.1" customHeight="1" s="56">
      <c r="A2" s="67" t="inlineStr">
        <is>
          <t>🌿  The Greenman Magical Herb Oracle  🌿</t>
        </is>
      </c>
    </row>
    <row r="3" ht="3" customHeight="1" s="56">
      <c r="A3" s="55" t="n"/>
    </row>
    <row r="4" ht="32.1" customHeight="1" s="56">
      <c r="A4" s="66" t="inlineStr">
        <is>
          <t xml:space="preserve">  🌿 Select Herb:</t>
        </is>
      </c>
      <c r="C4" s="8" t="inlineStr">
        <is>
          <t>LEMONGRASS</t>
        </is>
      </c>
      <c r="D4" s="62" t="n"/>
    </row>
    <row r="5" ht="3" customHeight="1" s="56">
      <c r="A5" s="55" t="n"/>
    </row>
    <row r="6" ht="14.1" customHeight="1" s="56">
      <c r="A6" s="61" t="inlineStr">
        <is>
          <t xml:space="preserve">  🌿  IDENTITY</t>
        </is>
      </c>
    </row>
    <row r="7" ht="36" customHeight="1" s="56">
      <c r="A7" s="64">
        <f>IFERROR("🌿  "&amp;VLOOKUP($C$4,_d_herbs!$A:$BL,2,0),"")</f>
        <v/>
      </c>
    </row>
    <row r="8" ht="15.95" customHeight="1" s="56">
      <c r="A8" s="58">
        <f>IFERROR("( "&amp;VLOOKUP($C$4,_d_herbs!$A:$BL,1,0)&amp;" )","")</f>
        <v/>
      </c>
    </row>
    <row r="9" ht="14.1" customHeight="1" s="56">
      <c r="A9" s="60">
        <f>IFERROR("✦  "&amp;VLOOKUP($C$4,_d_herbs!$A:$BL,3,0),"")</f>
        <v/>
      </c>
    </row>
    <row r="10" ht="3" customHeight="1" s="56">
      <c r="A10" s="55" t="n"/>
    </row>
    <row r="11" ht="14.1" customHeight="1" s="56">
      <c r="A11" s="61" t="inlineStr">
        <is>
          <t xml:space="preserve">  🔮  MAGICAL USES</t>
        </is>
      </c>
    </row>
    <row r="12" ht="90" customHeight="1" s="56">
      <c r="A12" s="57" t="n"/>
      <c r="B12" s="10" t="inlineStr">
        <is>
          <t>MAGICAL USES</t>
        </is>
      </c>
      <c r="C12" s="11">
        <f>IFERROR(VLOOKUP($C$4,_d_herbs!$A:$BL,4,0),"")</f>
        <v/>
      </c>
      <c r="D12" s="57" t="n"/>
    </row>
    <row r="13" ht="5.1" customHeight="1" s="56">
      <c r="A13" s="57" t="n"/>
    </row>
    <row r="14" ht="14.1" customHeight="1" s="56">
      <c r="A14" s="61" t="inlineStr">
        <is>
          <t xml:space="preserve">  💫  SPIRITUAL &amp; POWERS</t>
        </is>
      </c>
    </row>
    <row r="15" ht="45" customHeight="1" s="56">
      <c r="A15" s="57" t="n"/>
      <c r="B15" s="10" t="inlineStr">
        <is>
          <t>POWERS</t>
        </is>
      </c>
      <c r="C15" s="11">
        <f>IFERROR(VLOOKUP($C$4,_d_herbs!$A:$BL,13,0),"")</f>
        <v/>
      </c>
      <c r="D15" s="57" t="n"/>
    </row>
    <row r="16" ht="45" customHeight="1" s="56">
      <c r="A16" s="57" t="n"/>
      <c r="B16" s="10" t="inlineStr">
        <is>
          <t>SPIRITUAL USES</t>
        </is>
      </c>
      <c r="C16" s="11">
        <f>IFERROR(VLOOKUP($C$4,_d_herbs!$A:$BL,14,0),"")</f>
        <v/>
      </c>
      <c r="D16" s="57" t="n"/>
    </row>
    <row r="17" ht="5.1" customHeight="1" s="56">
      <c r="A17" s="57" t="n"/>
    </row>
    <row r="18" ht="14.1" customHeight="1" s="56">
      <c r="A18" s="59" t="inlineStr">
        <is>
          <t xml:space="preserve">  📖  CORRESPONDENCES</t>
        </is>
      </c>
    </row>
    <row r="19" ht="39.95" customHeight="1" s="56">
      <c r="A19" s="57" t="n"/>
      <c r="B19" s="10" t="inlineStr">
        <is>
          <t>ASSOCIATION</t>
        </is>
      </c>
      <c r="C19" s="11">
        <f>IFERROR(VLOOKUP($C$4,_d_herbs!$A:$BL,5,0),"")</f>
        <v/>
      </c>
      <c r="D19" s="57" t="n"/>
    </row>
    <row r="20" ht="20.1" customHeight="1" s="56">
      <c r="A20" s="57" t="n"/>
      <c r="B20" s="10" t="inlineStr">
        <is>
          <t>ELEMENT</t>
        </is>
      </c>
      <c r="C20" s="11">
        <f>IFERROR(VLOOKUP($C$4,_d_herbs!$A:$BL,7,0),"")</f>
        <v/>
      </c>
      <c r="D20" s="57" t="n"/>
    </row>
    <row r="21" ht="20.1" customHeight="1" s="56">
      <c r="A21" s="57" t="n"/>
      <c r="B21" s="10" t="inlineStr">
        <is>
          <t>ENERGY</t>
        </is>
      </c>
      <c r="C21" s="11">
        <f>IFERROR(VLOOKUP($C$4,_d_herbs!$A:$BL,8,0),"")</f>
        <v/>
      </c>
      <c r="D21" s="57" t="n"/>
    </row>
    <row r="22" ht="20.1" customHeight="1" s="56">
      <c r="A22" s="57" t="n"/>
      <c r="B22" s="10" t="inlineStr">
        <is>
          <t>DAY</t>
        </is>
      </c>
      <c r="C22" s="11">
        <f>IFERROR(VLOOKUP($C$4,_d_herbs!$A:$BL,9,0),"")</f>
        <v/>
      </c>
      <c r="D22" s="57" t="n"/>
    </row>
    <row r="23" ht="30" customHeight="1" s="56">
      <c r="A23" s="57" t="n"/>
      <c r="B23" s="10" t="inlineStr">
        <is>
          <t>DEITY</t>
        </is>
      </c>
      <c r="C23" s="11">
        <f>IFERROR(VLOOKUP($C$4,_d_herbs!$A:$BL,10,0),"")</f>
        <v/>
      </c>
      <c r="D23" s="57" t="n"/>
    </row>
    <row r="24" ht="24.95" customHeight="1" s="56">
      <c r="A24" s="57" t="n"/>
      <c r="B24" s="10" t="inlineStr">
        <is>
          <t>SABBAT</t>
        </is>
      </c>
      <c r="C24" s="11">
        <f>IFERROR(VLOOKUP($C$4,_d_herbs!$A:$BL,11,0),"")</f>
        <v/>
      </c>
      <c r="D24" s="57" t="n"/>
    </row>
    <row r="25" ht="20.1" customHeight="1" s="56">
      <c r="A25" s="57" t="n"/>
      <c r="B25" s="10" t="inlineStr">
        <is>
          <t>PLANET</t>
        </is>
      </c>
      <c r="C25" s="11">
        <f>IFERROR(VLOOKUP($C$4,_d_herbs!$A:$BL,6,0),"")</f>
        <v/>
      </c>
      <c r="D25" s="57" t="n"/>
    </row>
    <row r="26" ht="20.1" customHeight="1" s="56">
      <c r="A26" s="57" t="n"/>
      <c r="B26" s="10" t="inlineStr">
        <is>
          <t>ZODIAC SIGN</t>
        </is>
      </c>
      <c r="C26" s="11">
        <f>IFERROR(VLOOKUP($C$4,_d_herbs!$A:$BL,63,0),"")</f>
        <v/>
      </c>
      <c r="D26" s="57" t="n"/>
    </row>
    <row r="27" ht="5.1" customHeight="1" s="56">
      <c r="A27" s="57" t="n"/>
    </row>
    <row r="28" ht="14.1" customHeight="1" s="56">
      <c r="A28" s="59" t="inlineStr">
        <is>
          <t xml:space="preserve">  ◈  ASSOCIATED CRYSTALS</t>
        </is>
      </c>
    </row>
    <row r="29" ht="20.1" customHeight="1" s="56">
      <c r="A29" s="57" t="n"/>
      <c r="B29" s="10" t="inlineStr">
        <is>
          <t>CRYSTAL 1</t>
        </is>
      </c>
      <c r="C29" s="14">
        <f>IFERROR(VLOOKUP($C$4,_d_herbs!$A:$BL,39,0),"")</f>
        <v/>
      </c>
      <c r="D29" s="57" t="n"/>
    </row>
    <row r="30" ht="45" customHeight="1" s="56">
      <c r="A30" s="57" t="n"/>
      <c r="B30" s="15" t="inlineStr">
        <is>
          <t xml:space="preserve">  USES</t>
        </is>
      </c>
      <c r="C30" s="14">
        <f>IFERROR(VLOOKUP($C$4,_d_herbs!$A:$BL,40,0),"")</f>
        <v/>
      </c>
      <c r="D30" s="57" t="n"/>
    </row>
    <row r="31" ht="35.1" customHeight="1" s="56">
      <c r="A31" s="57" t="n"/>
      <c r="B31" s="15" t="inlineStr">
        <is>
          <t xml:space="preserve">  POWERS</t>
        </is>
      </c>
      <c r="C31" s="14">
        <f>IFERROR(VLOOKUP($C$4,_d_herbs!$A:$BL,41,0),"")</f>
        <v/>
      </c>
      <c r="D31" s="57" t="n"/>
    </row>
    <row r="32" ht="3" customHeight="1" s="56">
      <c r="A32" s="57" t="n"/>
    </row>
    <row r="33" ht="20.1" customHeight="1" s="56">
      <c r="A33" s="57" t="n"/>
      <c r="B33" s="10" t="inlineStr">
        <is>
          <t>CRYSTAL 2</t>
        </is>
      </c>
      <c r="C33" s="14">
        <f>IFERROR(VLOOKUP($C$4,_d_herbs!$A:$BL,42,0),"")</f>
        <v/>
      </c>
      <c r="D33" s="57" t="n"/>
    </row>
    <row r="34" ht="45" customHeight="1" s="56">
      <c r="A34" s="57" t="n"/>
      <c r="B34" s="15" t="inlineStr">
        <is>
          <t xml:space="preserve">  USES</t>
        </is>
      </c>
      <c r="C34" s="14">
        <f>IFERROR(VLOOKUP($C$4,_d_herbs!$A:$BL,43,0),"")</f>
        <v/>
      </c>
      <c r="D34" s="57" t="n"/>
    </row>
    <row r="35" ht="35.1" customHeight="1" s="56">
      <c r="A35" s="57" t="n"/>
      <c r="B35" s="15" t="inlineStr">
        <is>
          <t xml:space="preserve">  POWERS</t>
        </is>
      </c>
      <c r="C35" s="14">
        <f>IFERROR(VLOOKUP($C$4,_d_herbs!$A:$BL,44,0),"")</f>
        <v/>
      </c>
      <c r="D35" s="57" t="n"/>
    </row>
    <row r="36" ht="3" customHeight="1" s="56">
      <c r="A36" s="57" t="n"/>
    </row>
    <row r="37" ht="20.1" customHeight="1" s="56">
      <c r="A37" s="57" t="n"/>
      <c r="B37" s="10" t="inlineStr">
        <is>
          <t>CRYSTAL 3</t>
        </is>
      </c>
      <c r="C37" s="14">
        <f>IFERROR(VLOOKUP($C$4,_d_herbs!$A:$BL,45,0),"")</f>
        <v/>
      </c>
      <c r="D37" s="57" t="n"/>
    </row>
    <row r="38" ht="45" customHeight="1" s="56">
      <c r="A38" s="57" t="n"/>
      <c r="B38" s="15" t="inlineStr">
        <is>
          <t xml:space="preserve">  USES</t>
        </is>
      </c>
      <c r="C38" s="14">
        <f>IFERROR(VLOOKUP($C$4,_d_herbs!$A:$BL,46,0),"")</f>
        <v/>
      </c>
      <c r="D38" s="57" t="n"/>
    </row>
    <row r="39" ht="35.1" customHeight="1" s="56">
      <c r="A39" s="57" t="n"/>
      <c r="B39" s="15" t="inlineStr">
        <is>
          <t xml:space="preserve">  POWERS</t>
        </is>
      </c>
      <c r="C39" s="14">
        <f>IFERROR(VLOOKUP($C$4,_d_herbs!$A:$BL,47,0),"")</f>
        <v/>
      </c>
      <c r="D39" s="57" t="n"/>
    </row>
    <row r="40" ht="3" customHeight="1" s="56">
      <c r="A40" s="57" t="n"/>
    </row>
    <row r="41" ht="20.1" customHeight="1" s="56">
      <c r="A41" s="57" t="n"/>
      <c r="B41" s="10" t="inlineStr">
        <is>
          <t>CRYSTAL 4</t>
        </is>
      </c>
      <c r="C41" s="14">
        <f>IFERROR(VLOOKUP($C$4,_d_herbs!$A:$BL,48,0),"")</f>
        <v/>
      </c>
      <c r="D41" s="57" t="n"/>
    </row>
    <row r="42" ht="45" customHeight="1" s="56">
      <c r="A42" s="57" t="n"/>
      <c r="B42" s="15" t="inlineStr">
        <is>
          <t xml:space="preserve">  USES</t>
        </is>
      </c>
      <c r="C42" s="14">
        <f>IFERROR(VLOOKUP($C$4,_d_herbs!$A:$BL,49,0),"")</f>
        <v/>
      </c>
      <c r="D42" s="57" t="n"/>
    </row>
    <row r="43" ht="35.1" customHeight="1" s="56">
      <c r="A43" s="57" t="n"/>
      <c r="B43" s="15" t="inlineStr">
        <is>
          <t xml:space="preserve">  POWERS</t>
        </is>
      </c>
      <c r="C43" s="14">
        <f>IFERROR(VLOOKUP($C$4,_d_herbs!$A:$BL,50,0),"")</f>
        <v/>
      </c>
      <c r="D43" s="57" t="n"/>
    </row>
    <row r="44" ht="3" customHeight="1" s="56">
      <c r="A44" s="57" t="n"/>
    </row>
    <row r="45" ht="5.1" customHeight="1" s="56">
      <c r="A45" s="57" t="n"/>
    </row>
    <row r="46" ht="14.1" customHeight="1" s="56">
      <c r="A46" s="59" t="inlineStr">
        <is>
          <t xml:space="preserve">  🫙  ASSOCIATED OILS</t>
        </is>
      </c>
    </row>
    <row r="47" ht="20.1" customHeight="1" s="56">
      <c r="A47" s="57" t="n"/>
      <c r="B47" s="10" t="inlineStr">
        <is>
          <t>OIL 1</t>
        </is>
      </c>
      <c r="C47" s="12">
        <f>IFERROR(VLOOKUP($C$4,_d_herbs!$A:$BL,51,0),"")</f>
        <v/>
      </c>
      <c r="D47" s="57" t="n"/>
    </row>
    <row r="48" ht="39.95" customHeight="1" s="56">
      <c r="A48" s="57" t="n"/>
      <c r="B48" s="13" t="inlineStr">
        <is>
          <t xml:space="preserve">  USES</t>
        </is>
      </c>
      <c r="C48" s="12">
        <f>IFERROR(VLOOKUP($C$4,_d_herbs!$A:$BL,52,0),"")</f>
        <v/>
      </c>
      <c r="D48" s="57" t="n"/>
    </row>
    <row r="49" ht="35.1" customHeight="1" s="56">
      <c r="A49" s="57" t="n"/>
      <c r="B49" s="13" t="inlineStr">
        <is>
          <t xml:space="preserve">  SPIRITUAL</t>
        </is>
      </c>
      <c r="C49" s="12">
        <f>IFERROR(VLOOKUP($C$4,_d_herbs!$A:$BL,53,0),"")</f>
        <v/>
      </c>
      <c r="D49" s="57" t="n"/>
    </row>
    <row r="50" ht="3" customHeight="1" s="56">
      <c r="A50" s="57" t="n"/>
    </row>
    <row r="51" ht="20.1" customHeight="1" s="56">
      <c r="A51" s="57" t="n"/>
      <c r="B51" s="10" t="inlineStr">
        <is>
          <t>OIL 2</t>
        </is>
      </c>
      <c r="C51" s="12">
        <f>IFERROR(VLOOKUP($C$4,_d_herbs!$A:$BL,55,0),"")</f>
        <v/>
      </c>
      <c r="D51" s="57" t="n"/>
    </row>
    <row r="52" ht="39.95" customHeight="1" s="56">
      <c r="A52" s="57" t="n"/>
      <c r="B52" s="13" t="inlineStr">
        <is>
          <t xml:space="preserve">  USES</t>
        </is>
      </c>
      <c r="C52" s="12">
        <f>IFERROR(VLOOKUP($C$4,_d_herbs!$A:$BL,56,0),"")</f>
        <v/>
      </c>
      <c r="D52" s="57" t="n"/>
    </row>
    <row r="53" ht="35.1" customHeight="1" s="56">
      <c r="A53" s="57" t="n"/>
      <c r="B53" s="13" t="inlineStr">
        <is>
          <t xml:space="preserve">  SPIRITUAL</t>
        </is>
      </c>
      <c r="C53" s="12">
        <f>IFERROR(VLOOKUP($C$4,_d_herbs!$A:$BL,57,0),"")</f>
        <v/>
      </c>
      <c r="D53" s="57" t="n"/>
    </row>
    <row r="54" ht="3" customHeight="1" s="56">
      <c r="A54" s="57" t="n"/>
    </row>
    <row r="55" ht="20.1" customHeight="1" s="56">
      <c r="A55" s="57" t="n"/>
      <c r="B55" s="10" t="inlineStr">
        <is>
          <t>OIL 3</t>
        </is>
      </c>
      <c r="C55" s="12">
        <f>IFERROR(VLOOKUP($C$4,_d_herbs!$A:$BL,59,0),"")</f>
        <v/>
      </c>
      <c r="D55" s="57" t="n"/>
    </row>
    <row r="56" ht="39.95" customHeight="1" s="56">
      <c r="A56" s="57" t="n"/>
      <c r="B56" s="13" t="inlineStr">
        <is>
          <t xml:space="preserve">  USES</t>
        </is>
      </c>
      <c r="C56" s="12">
        <f>IFERROR(VLOOKUP($C$4,_d_herbs!$A:$BL,60,0),"")</f>
        <v/>
      </c>
      <c r="D56" s="57" t="n"/>
    </row>
    <row r="57" ht="35.1" customHeight="1" s="56">
      <c r="A57" s="57" t="n"/>
      <c r="B57" s="13" t="inlineStr">
        <is>
          <t xml:space="preserve">  SPIRITUAL</t>
        </is>
      </c>
      <c r="C57" s="12">
        <f>IFERROR(VLOOKUP($C$4,_d_herbs!$A:$BL,61,0),"")</f>
        <v/>
      </c>
      <c r="D57" s="57" t="n"/>
    </row>
    <row r="58" ht="3" customHeight="1" s="56">
      <c r="A58" s="57" t="n"/>
    </row>
    <row r="59" ht="5.1" customHeight="1" s="56">
      <c r="A59" s="57" t="n"/>
    </row>
    <row r="60" ht="14.1" customHeight="1" s="56">
      <c r="A60" s="59" t="inlineStr">
        <is>
          <t xml:space="preserve">  ᚛  ASSOCIATED RUNES</t>
        </is>
      </c>
    </row>
    <row r="61" ht="20.1" customHeight="1" s="56">
      <c r="A61" s="57" t="n"/>
      <c r="B61" s="10" t="inlineStr">
        <is>
          <t>RUNE 1</t>
        </is>
      </c>
      <c r="C61" s="16">
        <f>IFERROR(IF(VLOOKUP($C$4,_d_herbs!$A:$BL,19,0)="","",VLOOKUP($C$4,_d_herbs!$A:$BL,19,0)&amp;"  ("&amp;VLOOKUP($C$4,_d_herbs!$A:$BL,20,0)&amp;")"),"")</f>
        <v/>
      </c>
      <c r="D61" s="57" t="n"/>
    </row>
    <row r="62" ht="45" customHeight="1" s="56">
      <c r="A62" s="57" t="n"/>
      <c r="B62" s="17" t="inlineStr">
        <is>
          <t xml:space="preserve">  USES</t>
        </is>
      </c>
      <c r="C62" s="16">
        <f>IFERROR(VLOOKUP($C$4,_d_herbs!$A:$BL,21,0),"")</f>
        <v/>
      </c>
      <c r="D62" s="57" t="n"/>
    </row>
    <row r="63" ht="35.1" customHeight="1" s="56">
      <c r="A63" s="57" t="n"/>
      <c r="B63" s="17" t="inlineStr">
        <is>
          <t xml:space="preserve">  POWERS</t>
        </is>
      </c>
      <c r="C63" s="16">
        <f>IFERROR(VLOOKUP($C$4,_d_herbs!$A:$BL,22,0),"")</f>
        <v/>
      </c>
      <c r="D63" s="57" t="n"/>
    </row>
    <row r="64" ht="18" customHeight="1" s="56">
      <c r="A64" s="57" t="n"/>
      <c r="B64" s="17" t="inlineStr">
        <is>
          <t xml:space="preserve">  COLOR</t>
        </is>
      </c>
      <c r="C64" s="16">
        <f>IFERROR(VLOOKUP($C$4,_d_herbs!$A:$BL,23,0),"")</f>
        <v/>
      </c>
      <c r="D64" s="57" t="n"/>
    </row>
    <row r="65" ht="3" customHeight="1" s="56">
      <c r="A65" s="57" t="n"/>
    </row>
    <row r="66" ht="20.1" customHeight="1" s="56">
      <c r="A66" s="57" t="n"/>
      <c r="B66" s="10" t="inlineStr">
        <is>
          <t>RUNE 2</t>
        </is>
      </c>
      <c r="C66" s="16">
        <f>IFERROR(IF(VLOOKUP($C$4,_d_herbs!$A:$BL,24,0)="","",VLOOKUP($C$4,_d_herbs!$A:$BL,24,0)&amp;"  ("&amp;VLOOKUP($C$4,_d_herbs!$A:$BL,25,0)&amp;")"),"")</f>
        <v/>
      </c>
      <c r="D66" s="57" t="n"/>
    </row>
    <row r="67" ht="45" customHeight="1" s="56">
      <c r="A67" s="57" t="n"/>
      <c r="B67" s="17" t="inlineStr">
        <is>
          <t xml:space="preserve">  USES</t>
        </is>
      </c>
      <c r="C67" s="16">
        <f>IFERROR(VLOOKUP($C$4,_d_herbs!$A:$BL,26,0),"")</f>
        <v/>
      </c>
      <c r="D67" s="57" t="n"/>
    </row>
    <row r="68" ht="35.1" customHeight="1" s="56">
      <c r="A68" s="57" t="n"/>
      <c r="B68" s="17" t="inlineStr">
        <is>
          <t xml:space="preserve">  POWERS</t>
        </is>
      </c>
      <c r="C68" s="16">
        <f>IFERROR(VLOOKUP($C$4,_d_herbs!$A:$BL,27,0),"")</f>
        <v/>
      </c>
      <c r="D68" s="57" t="n"/>
    </row>
    <row r="69" ht="18" customHeight="1" s="56">
      <c r="A69" s="57" t="n"/>
      <c r="B69" s="17" t="inlineStr">
        <is>
          <t xml:space="preserve">  COLOR</t>
        </is>
      </c>
      <c r="C69" s="16">
        <f>IFERROR(VLOOKUP($C$4,_d_herbs!$A:$BL,28,0),"")</f>
        <v/>
      </c>
      <c r="D69" s="57" t="n"/>
    </row>
    <row r="70" ht="3" customHeight="1" s="56">
      <c r="A70" s="57" t="n"/>
    </row>
    <row r="71" ht="20.1" customHeight="1" s="56">
      <c r="A71" s="57" t="n"/>
      <c r="B71" s="10" t="inlineStr">
        <is>
          <t>RUNE 3</t>
        </is>
      </c>
      <c r="C71" s="16">
        <f>IFERROR(IF(VLOOKUP($C$4,_d_herbs!$A:$BL,29,0)="","",VLOOKUP($C$4,_d_herbs!$A:$BL,29,0)&amp;"  ("&amp;VLOOKUP($C$4,_d_herbs!$A:$BL,30,0)&amp;")"),"")</f>
        <v/>
      </c>
      <c r="D71" s="57" t="n"/>
    </row>
    <row r="72" ht="45" customHeight="1" s="56">
      <c r="A72" s="57" t="n"/>
      <c r="B72" s="17" t="inlineStr">
        <is>
          <t xml:space="preserve">  USES</t>
        </is>
      </c>
      <c r="C72" s="16">
        <f>IFERROR(VLOOKUP($C$4,_d_herbs!$A:$BL,31,0),"")</f>
        <v/>
      </c>
      <c r="D72" s="57" t="n"/>
    </row>
    <row r="73" ht="35.1" customHeight="1" s="56">
      <c r="A73" s="57" t="n"/>
      <c r="B73" s="17" t="inlineStr">
        <is>
          <t xml:space="preserve">  POWERS</t>
        </is>
      </c>
      <c r="C73" s="16">
        <f>IFERROR(VLOOKUP($C$4,_d_herbs!$A:$BL,32,0),"")</f>
        <v/>
      </c>
      <c r="D73" s="57" t="n"/>
    </row>
    <row r="74" ht="18" customHeight="1" s="56">
      <c r="A74" s="57" t="n"/>
      <c r="B74" s="17" t="inlineStr">
        <is>
          <t xml:space="preserve">  COLOR</t>
        </is>
      </c>
      <c r="C74" s="16">
        <f>IFERROR(VLOOKUP($C$4,_d_herbs!$A:$BL,33,0),"")</f>
        <v/>
      </c>
      <c r="D74" s="57" t="n"/>
    </row>
    <row r="75" ht="3" customHeight="1" s="56">
      <c r="A75" s="57" t="n"/>
    </row>
    <row r="76" ht="5.1" customHeight="1" s="56">
      <c r="A76" s="57" t="n"/>
    </row>
    <row r="77" ht="14.1" customHeight="1" s="56">
      <c r="A77" s="59" t="inlineStr">
        <is>
          <t xml:space="preserve">  📜  DESCRIPTION, FOLKLORE &amp; GEOLOGY</t>
        </is>
      </c>
    </row>
    <row r="78" ht="99.95" customHeight="1" s="56">
      <c r="A78" s="57" t="n"/>
      <c r="B78" s="18" t="inlineStr">
        <is>
          <t>DESCRIPTION</t>
        </is>
      </c>
      <c r="C78" s="19">
        <f>IFERROR(VLOOKUP($C$4,_d_herbs!$A:$BL,15,0),"")</f>
        <v/>
      </c>
      <c r="D78" s="57" t="n"/>
    </row>
    <row r="79" ht="3" customHeight="1" s="56">
      <c r="A79" s="57" t="n"/>
    </row>
    <row r="80" ht="80.09999999999999" customHeight="1" s="56">
      <c r="A80" s="57" t="n"/>
      <c r="B80" s="18" t="inlineStr">
        <is>
          <t>FOLK LORE</t>
        </is>
      </c>
      <c r="C80" s="19">
        <f>IFERROR(VLOOKUP($C$4,_d_herbs!$A:$BL,12,0),"")</f>
        <v/>
      </c>
      <c r="D80" s="57" t="n"/>
    </row>
    <row r="81" ht="3" customHeight="1" s="56">
      <c r="A81" s="57" t="n"/>
    </row>
    <row r="82" ht="39.95" customHeight="1" s="56">
      <c r="A82" s="57" t="n"/>
      <c r="B82" s="18" t="inlineStr">
        <is>
          <t>GEOLOGY</t>
        </is>
      </c>
      <c r="C82" s="19">
        <f>IFERROR(VLOOKUP($C$4,_d_herbs!$A:$BL,17,0),"")</f>
        <v/>
      </c>
      <c r="D82" s="57" t="n"/>
    </row>
    <row r="83" ht="5.1" customHeight="1" s="56">
      <c r="A83" s="57" t="n"/>
    </row>
    <row r="84" ht="14.1" customHeight="1" s="56">
      <c r="A84" s="65" t="inlineStr">
        <is>
          <t xml:space="preserve">  ⚠  WARNING</t>
        </is>
      </c>
    </row>
    <row r="85" ht="35.1" customHeight="1" s="56">
      <c r="A85" s="57" t="n"/>
      <c r="B85" s="32" t="inlineStr">
        <is>
          <t>WARNING</t>
        </is>
      </c>
      <c r="C85" s="20">
        <f>IFERROR(IF(VLOOKUP($C$4,_d_herbs!$A:$BL,18,0)="","No warnings recorded.",VLOOKUP($C$4,_d_herbs!$A:$BL,18,0)),"")</f>
        <v/>
      </c>
      <c r="D85" s="57" t="n"/>
    </row>
    <row r="86" ht="5.1" customHeight="1" s="56">
      <c r="A86" s="57" t="n"/>
    </row>
    <row r="87" ht="18" customHeight="1" s="56">
      <c r="A87" s="63" t="inlineStr">
        <is>
          <t>The Greenman Magical Database  ✦  47 entries</t>
        </is>
      </c>
    </row>
  </sheetData>
  <mergeCells count="39">
    <mergeCell ref="A5:D5"/>
    <mergeCell ref="A17:D17"/>
    <mergeCell ref="A8:D8"/>
    <mergeCell ref="A81:D81"/>
    <mergeCell ref="A10:D10"/>
    <mergeCell ref="A28:D28"/>
    <mergeCell ref="A13:D13"/>
    <mergeCell ref="A44:D44"/>
    <mergeCell ref="A40:D40"/>
    <mergeCell ref="A9:D9"/>
    <mergeCell ref="A58:D58"/>
    <mergeCell ref="A77:D77"/>
    <mergeCell ref="A83:D83"/>
    <mergeCell ref="A32:D32"/>
    <mergeCell ref="A59:D59"/>
    <mergeCell ref="A11:D11"/>
    <mergeCell ref="A60:D60"/>
    <mergeCell ref="A36:D36"/>
    <mergeCell ref="A1:D1"/>
    <mergeCell ref="A45:D45"/>
    <mergeCell ref="A70:D70"/>
    <mergeCell ref="A79:D79"/>
    <mergeCell ref="A6:D6"/>
    <mergeCell ref="A54:D54"/>
    <mergeCell ref="A87:D87"/>
    <mergeCell ref="A7:D7"/>
    <mergeCell ref="A65:D65"/>
    <mergeCell ref="A46:D46"/>
    <mergeCell ref="A84:D84"/>
    <mergeCell ref="A4:B4"/>
    <mergeCell ref="A75:D75"/>
    <mergeCell ref="A18:D18"/>
    <mergeCell ref="A27:D27"/>
    <mergeCell ref="A50:D50"/>
    <mergeCell ref="A3:D3"/>
    <mergeCell ref="A86:D86"/>
    <mergeCell ref="A2:D2"/>
    <mergeCell ref="A76:D76"/>
    <mergeCell ref="A14:D14"/>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_d_herbs!$BL$2:$BL$100</xm:f>
          </x14:formula1>
          <xm:sqref>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D79"/>
  <sheetViews>
    <sheetView showGridLines="0" topLeftCell="B1" workbookViewId="0">
      <pane ySplit="4" topLeftCell="B5" activePane="bottomLeft" state="frozen"/>
      <selection activeCell="B1" sqref="B1"/>
      <selection pane="bottomLeft" activeCell="E15" sqref="E15"/>
    </sheetView>
  </sheetViews>
  <sheetFormatPr baseColWidth="8" defaultRowHeight="15"/>
  <cols>
    <col width="1.4765625" customWidth="1" style="56" min="1" max="1"/>
    <col width="14.9296875" customWidth="1" style="56" min="2" max="2"/>
    <col width="29.0546875" customWidth="1" style="56" min="3" max="3"/>
    <col width="1.4765625" customWidth="1" style="56" min="4" max="4"/>
  </cols>
  <sheetData>
    <row r="1" ht="3" customHeight="1" s="56">
      <c r="A1" s="69" t="n"/>
    </row>
    <row r="2" ht="44.1" customHeight="1" s="56">
      <c r="A2" s="74" t="inlineStr">
        <is>
          <t>◈  The Greenman Crystal Oracle  ◈</t>
        </is>
      </c>
    </row>
    <row r="3" ht="3" customHeight="1" s="56">
      <c r="A3" s="55" t="n"/>
    </row>
    <row r="4" ht="32.1" customHeight="1" s="56">
      <c r="A4" s="73" t="inlineStr">
        <is>
          <t xml:space="preserve">  ◈ Select Crystal:</t>
        </is>
      </c>
      <c r="C4" s="21" t="inlineStr">
        <is>
          <t>Apache Tears</t>
        </is>
      </c>
      <c r="D4" s="69" t="n"/>
    </row>
    <row r="5" ht="3" customHeight="1" s="56">
      <c r="A5" s="55" t="n"/>
    </row>
    <row r="6" ht="14.1" customHeight="1" s="56">
      <c r="A6" s="68" t="inlineStr">
        <is>
          <t xml:space="preserve">  ◈  IDENTITY</t>
        </is>
      </c>
    </row>
    <row r="7" ht="36" customHeight="1" s="56">
      <c r="A7" s="72">
        <f>IFERROR("◈  "&amp;VLOOKUP($C$4,_d_crystals!$A:$AZ,1,0),"")</f>
        <v/>
      </c>
    </row>
    <row r="8" ht="15.95" customHeight="1" s="56">
      <c r="A8" s="58">
        <f>IFERROR("( "&amp;VLOOKUP($C$4,_d_crystals!$A:$AZ,2,0)&amp;" )","")</f>
        <v/>
      </c>
    </row>
    <row r="9" ht="14.1" customHeight="1" s="56">
      <c r="A9" s="60">
        <f>IFERROR("✦  "&amp;VLOOKUP($C$4,_d_crystals!$A:$AZ,3,0),"")</f>
        <v/>
      </c>
    </row>
    <row r="10" ht="3" customHeight="1" s="56">
      <c r="A10" s="55" t="n"/>
    </row>
    <row r="11" ht="14.1" customHeight="1" s="56">
      <c r="A11" s="68" t="inlineStr">
        <is>
          <t xml:space="preserve">  🔮  MAGICAL USES</t>
        </is>
      </c>
    </row>
    <row r="12" ht="90" customHeight="1" s="56">
      <c r="A12" s="57" t="n"/>
      <c r="B12" s="10" t="inlineStr">
        <is>
          <t>MAGICAL USES</t>
        </is>
      </c>
      <c r="C12" s="11">
        <f>IFERROR(VLOOKUP($C$4,_d_crystals!$A:$AZ,4,0),"")</f>
        <v/>
      </c>
      <c r="D12" s="57" t="n"/>
    </row>
    <row r="13" ht="5.1" customHeight="1" s="56">
      <c r="A13" s="57" t="n"/>
    </row>
    <row r="14" ht="14.1" customHeight="1" s="56">
      <c r="A14" s="68" t="inlineStr">
        <is>
          <t xml:space="preserve">  💫  SPIRITUAL &amp; POWERS</t>
        </is>
      </c>
    </row>
    <row r="15" ht="45" customHeight="1" s="56">
      <c r="A15" s="57" t="n"/>
      <c r="B15" s="10" t="inlineStr">
        <is>
          <t>POWERS</t>
        </is>
      </c>
      <c r="C15" s="11">
        <f>IFERROR(VLOOKUP($C$4,_d_crystals!$A:$AZ,13,0),"")</f>
        <v/>
      </c>
      <c r="D15" s="57" t="n"/>
    </row>
    <row r="16" ht="45" customHeight="1" s="56">
      <c r="A16" s="57" t="n"/>
      <c r="B16" s="10" t="inlineStr">
        <is>
          <t>SPIRITUAL USES</t>
        </is>
      </c>
      <c r="C16" s="11">
        <f>IFERROR(VLOOKUP($C$4,_d_crystals!$A:$AZ,14,0),"")</f>
        <v/>
      </c>
      <c r="D16" s="57" t="n"/>
    </row>
    <row r="17" ht="5.1" customHeight="1" s="56">
      <c r="A17" s="57" t="n"/>
    </row>
    <row r="18" ht="14.1" customHeight="1" s="56">
      <c r="A18" s="71" t="inlineStr">
        <is>
          <t xml:space="preserve">  📖  CORRESPONDENCES</t>
        </is>
      </c>
    </row>
    <row r="19" ht="39.95" customHeight="1" s="56">
      <c r="A19" s="57" t="n"/>
      <c r="B19" s="10" t="inlineStr">
        <is>
          <t>ASSOCIATION</t>
        </is>
      </c>
      <c r="C19" s="11">
        <f>IFERROR(VLOOKUP($C$4,_d_crystals!$A:$AZ,5,0),"")</f>
        <v/>
      </c>
      <c r="D19" s="57" t="n"/>
    </row>
    <row r="20" ht="20.1" customHeight="1" s="56">
      <c r="A20" s="57" t="n"/>
      <c r="B20" s="10" t="inlineStr">
        <is>
          <t>ELEMENT</t>
        </is>
      </c>
      <c r="C20" s="11">
        <f>IFERROR(VLOOKUP($C$4,_d_crystals!$A:$AZ,7,0),"")</f>
        <v/>
      </c>
      <c r="D20" s="57" t="n"/>
    </row>
    <row r="21" ht="20.1" customHeight="1" s="56">
      <c r="A21" s="57" t="n"/>
      <c r="B21" s="10" t="inlineStr">
        <is>
          <t>ENERGY</t>
        </is>
      </c>
      <c r="C21" s="11">
        <f>IFERROR(VLOOKUP($C$4,_d_crystals!$A:$AZ,8,0),"")</f>
        <v/>
      </c>
      <c r="D21" s="57" t="n"/>
    </row>
    <row r="22" ht="20.1" customHeight="1" s="56">
      <c r="A22" s="57" t="n"/>
      <c r="B22" s="10" t="inlineStr">
        <is>
          <t>DAY</t>
        </is>
      </c>
      <c r="C22" s="11">
        <f>IFERROR(VLOOKUP($C$4,_d_crystals!$A:$AZ,9,0),"")</f>
        <v/>
      </c>
      <c r="D22" s="57" t="n"/>
    </row>
    <row r="23" ht="30" customHeight="1" s="56">
      <c r="A23" s="57" t="n"/>
      <c r="B23" s="10" t="inlineStr">
        <is>
          <t>DEITY</t>
        </is>
      </c>
      <c r="C23" s="11">
        <f>IFERROR(VLOOKUP($C$4,_d_crystals!$A:$AZ,10,0),"")</f>
        <v/>
      </c>
      <c r="D23" s="57" t="n"/>
    </row>
    <row r="24" ht="24.95" customHeight="1" s="56">
      <c r="A24" s="57" t="n"/>
      <c r="B24" s="10" t="inlineStr">
        <is>
          <t>SABBAT</t>
        </is>
      </c>
      <c r="C24" s="11">
        <f>IFERROR(VLOOKUP($C$4,_d_crystals!$A:$AZ,11,0),"")</f>
        <v/>
      </c>
      <c r="D24" s="57" t="n"/>
    </row>
    <row r="25" ht="20.1" customHeight="1" s="56">
      <c r="A25" s="57" t="n"/>
      <c r="B25" s="10" t="inlineStr">
        <is>
          <t>PLANET</t>
        </is>
      </c>
      <c r="C25" s="11">
        <f>IFERROR(VLOOKUP($C$4,_d_crystals!$A:$AZ,6,0),"")</f>
        <v/>
      </c>
      <c r="D25" s="57" t="n"/>
    </row>
    <row r="26" ht="5.1" customHeight="1" s="56">
      <c r="A26" s="57" t="n"/>
    </row>
    <row r="27" ht="14.1" customHeight="1" s="56">
      <c r="A27" s="71" t="inlineStr">
        <is>
          <t xml:space="preserve">  🌿  ASSOCIATED HERBS</t>
        </is>
      </c>
    </row>
    <row r="28" ht="20.1" customHeight="1" s="56">
      <c r="A28" s="57" t="n"/>
      <c r="B28" s="10" t="inlineStr">
        <is>
          <t>HERB 1</t>
        </is>
      </c>
      <c r="C28" s="22">
        <f>IFERROR(VLOOKUP($C$4,_d_crystals!$A:$AZ,19,0),"")</f>
        <v/>
      </c>
      <c r="D28" s="57" t="n"/>
    </row>
    <row r="29" ht="45" customHeight="1" s="56">
      <c r="A29" s="57" t="n"/>
      <c r="B29" s="23" t="inlineStr">
        <is>
          <t xml:space="preserve">  MAGICAL USES</t>
        </is>
      </c>
      <c r="C29" s="22">
        <f>IFERROR(VLOOKUP($C$4,_d_crystals!$A:$AZ,20,0),"")</f>
        <v/>
      </c>
      <c r="D29" s="57" t="n"/>
    </row>
    <row r="30" ht="3" customHeight="1" s="56">
      <c r="A30" s="57" t="n"/>
    </row>
    <row r="31" ht="20.1" customHeight="1" s="56">
      <c r="A31" s="57" t="n"/>
      <c r="B31" s="10" t="inlineStr">
        <is>
          <t>HERB 2</t>
        </is>
      </c>
      <c r="C31" s="22">
        <f>IFERROR(VLOOKUP($C$4,_d_crystals!$A:$AZ,21,0),"")</f>
        <v/>
      </c>
      <c r="D31" s="57" t="n"/>
    </row>
    <row r="32" ht="45" customHeight="1" s="56">
      <c r="A32" s="57" t="n"/>
      <c r="B32" s="23" t="inlineStr">
        <is>
          <t xml:space="preserve">  MAGICAL USES</t>
        </is>
      </c>
      <c r="C32" s="22">
        <f>IFERROR(VLOOKUP($C$4,_d_crystals!$A:$AZ,22,0),"")</f>
        <v/>
      </c>
      <c r="D32" s="57" t="n"/>
    </row>
    <row r="33" ht="3" customHeight="1" s="56">
      <c r="A33" s="57" t="n"/>
    </row>
    <row r="34" ht="20.1" customHeight="1" s="56">
      <c r="A34" s="57" t="n"/>
      <c r="B34" s="10" t="inlineStr">
        <is>
          <t>HERB 3</t>
        </is>
      </c>
      <c r="C34" s="22">
        <f>IFERROR(VLOOKUP($C$4,_d_crystals!$A:$AZ,23,0),"")</f>
        <v/>
      </c>
      <c r="D34" s="57" t="n"/>
    </row>
    <row r="35" ht="45" customHeight="1" s="56">
      <c r="A35" s="57" t="n"/>
      <c r="B35" s="23" t="inlineStr">
        <is>
          <t xml:space="preserve">  MAGICAL USES</t>
        </is>
      </c>
      <c r="C35" s="22">
        <f>IFERROR(VLOOKUP($C$4,_d_crystals!$A:$AZ,24,0),"")</f>
        <v/>
      </c>
      <c r="D35" s="57" t="n"/>
    </row>
    <row r="36" ht="3" customHeight="1" s="56">
      <c r="A36" s="57" t="n"/>
    </row>
    <row r="37" ht="20.1" customHeight="1" s="56">
      <c r="A37" s="57" t="n"/>
      <c r="B37" s="10" t="inlineStr">
        <is>
          <t>HERB 4</t>
        </is>
      </c>
      <c r="C37" s="22">
        <f>IFERROR(VLOOKUP($C$4,_d_crystals!$A:$AZ,25,0),"")</f>
        <v/>
      </c>
      <c r="D37" s="57" t="n"/>
    </row>
    <row r="38" ht="45" customHeight="1" s="56">
      <c r="A38" s="57" t="n"/>
      <c r="B38" s="23" t="inlineStr">
        <is>
          <t xml:space="preserve">  MAGICAL USES</t>
        </is>
      </c>
      <c r="C38" s="22">
        <f>IFERROR(VLOOKUP($C$4,_d_crystals!$A:$AZ,26,0),"")</f>
        <v/>
      </c>
      <c r="D38" s="57" t="n"/>
    </row>
    <row r="39" ht="3" customHeight="1" s="56">
      <c r="A39" s="57" t="n"/>
    </row>
    <row r="40" ht="5.1" customHeight="1" s="56">
      <c r="A40" s="57" t="n"/>
    </row>
    <row r="41" ht="14.1" customHeight="1" s="56">
      <c r="A41" s="71" t="inlineStr">
        <is>
          <t xml:space="preserve">  🫙  ASSOCIATED OILS</t>
        </is>
      </c>
    </row>
    <row r="42" ht="20.1" customHeight="1" s="56">
      <c r="A42" s="57" t="n"/>
      <c r="B42" s="10" t="inlineStr">
        <is>
          <t>OIL 1</t>
        </is>
      </c>
      <c r="C42" s="12">
        <f>IFERROR(VLOOKUP($C$4,_d_crystals!$A:$AZ,43,0),"")</f>
        <v/>
      </c>
      <c r="D42" s="57" t="n"/>
    </row>
    <row r="43" ht="39.95" customHeight="1" s="56">
      <c r="A43" s="57" t="n"/>
      <c r="B43" s="13" t="inlineStr">
        <is>
          <t xml:space="preserve">  USES</t>
        </is>
      </c>
      <c r="C43" s="12">
        <f>IFERROR(VLOOKUP($C$4,_d_crystals!$A:$AZ,44,0),"")</f>
        <v/>
      </c>
      <c r="D43" s="57" t="n"/>
    </row>
    <row r="44" ht="35.1" customHeight="1" s="56">
      <c r="A44" s="57" t="n"/>
      <c r="B44" s="13" t="inlineStr">
        <is>
          <t xml:space="preserve">  SPIRITUAL</t>
        </is>
      </c>
      <c r="C44" s="12">
        <f>IFERROR(VLOOKUP($C$4,_d_crystals!$A:$AZ,45,0),"")</f>
        <v/>
      </c>
      <c r="D44" s="57" t="n"/>
    </row>
    <row r="45" ht="3" customHeight="1" s="56">
      <c r="A45" s="57" t="n"/>
    </row>
    <row r="46" ht="20.1" customHeight="1" s="56">
      <c r="A46" s="57" t="n"/>
      <c r="B46" s="10" t="inlineStr">
        <is>
          <t>OIL 2</t>
        </is>
      </c>
      <c r="C46" s="12">
        <f>IFERROR(VLOOKUP($C$4,_d_crystals!$A:$AZ,46,0),"")</f>
        <v/>
      </c>
      <c r="D46" s="57" t="n"/>
    </row>
    <row r="47" ht="39.95" customHeight="1" s="56">
      <c r="A47" s="57" t="n"/>
      <c r="B47" s="13" t="inlineStr">
        <is>
          <t xml:space="preserve">  USES</t>
        </is>
      </c>
      <c r="C47" s="12">
        <f>IFERROR(VLOOKUP($C$4,_d_crystals!$A:$AZ,47,0),"")</f>
        <v/>
      </c>
      <c r="D47" s="57" t="n"/>
    </row>
    <row r="48" ht="35.1" customHeight="1" s="56">
      <c r="A48" s="57" t="n"/>
      <c r="B48" s="13" t="inlineStr">
        <is>
          <t xml:space="preserve">  SPIRITUAL</t>
        </is>
      </c>
      <c r="C48" s="12">
        <f>IFERROR(VLOOKUP($C$4,_d_crystals!$A:$AZ,48,0),"")</f>
        <v/>
      </c>
      <c r="D48" s="57" t="n"/>
    </row>
    <row r="49" ht="3" customHeight="1" s="56">
      <c r="A49" s="57" t="n"/>
    </row>
    <row r="50" ht="20.1" customHeight="1" s="56">
      <c r="A50" s="57" t="n"/>
      <c r="B50" s="10" t="inlineStr">
        <is>
          <t>OIL 3</t>
        </is>
      </c>
      <c r="C50" s="12">
        <f>IFERROR(VLOOKUP($C$4,_d_crystals!$A:$AZ,49,0),"")</f>
        <v/>
      </c>
      <c r="D50" s="57" t="n"/>
    </row>
    <row r="51" ht="39.95" customHeight="1" s="56">
      <c r="A51" s="57" t="n"/>
      <c r="B51" s="13" t="inlineStr">
        <is>
          <t xml:space="preserve">  USES</t>
        </is>
      </c>
      <c r="C51" s="12">
        <f>IFERROR(VLOOKUP($C$4,_d_crystals!$A:$AZ,50,0),"")</f>
        <v/>
      </c>
      <c r="D51" s="57" t="n"/>
    </row>
    <row r="52" ht="35.1" customHeight="1" s="56">
      <c r="A52" s="57" t="n"/>
      <c r="B52" s="13" t="inlineStr">
        <is>
          <t xml:space="preserve">  SPIRITUAL</t>
        </is>
      </c>
      <c r="C52" s="12">
        <f>IFERROR(VLOOKUP($C$4,_d_crystals!$A:$AZ,51,0),"")</f>
        <v/>
      </c>
      <c r="D52" s="57" t="n"/>
    </row>
    <row r="53" ht="3" customHeight="1" s="56">
      <c r="A53" s="57" t="n"/>
    </row>
    <row r="54" ht="5.1" customHeight="1" s="56">
      <c r="A54" s="57" t="n"/>
    </row>
    <row r="55" ht="14.1" customHeight="1" s="56">
      <c r="A55" s="71" t="inlineStr">
        <is>
          <t xml:space="preserve">  ᚛  ASSOCIATED RUNES</t>
        </is>
      </c>
    </row>
    <row r="56" ht="20.1" customHeight="1" s="56">
      <c r="A56" s="57" t="n"/>
      <c r="B56" s="10" t="inlineStr">
        <is>
          <t>RUNE 1</t>
        </is>
      </c>
      <c r="C56" s="16">
        <f>IFERROR(IF(VLOOKUP($C$4,_d_crystals!$A:$AZ,27,0)="","",VLOOKUP($C$4,_d_crystals!$A:$AZ,27,0)&amp;"  ("&amp;VLOOKUP($C$4,_d_crystals!$A:$AZ,28,0)&amp;")"),"")</f>
        <v/>
      </c>
      <c r="D56" s="57" t="n"/>
    </row>
    <row r="57" ht="45" customHeight="1" s="56">
      <c r="A57" s="57" t="n"/>
      <c r="B57" s="17" t="inlineStr">
        <is>
          <t xml:space="preserve">  USES</t>
        </is>
      </c>
      <c r="C57" s="16">
        <f>IFERROR(VLOOKUP($C$4,_d_crystals!$A:$AZ,29,0),"")</f>
        <v/>
      </c>
      <c r="D57" s="57" t="n"/>
    </row>
    <row r="58" ht="35.1" customHeight="1" s="56">
      <c r="A58" s="57" t="n"/>
      <c r="B58" s="17" t="inlineStr">
        <is>
          <t xml:space="preserve">  POWERS</t>
        </is>
      </c>
      <c r="C58" s="16">
        <f>IFERROR(VLOOKUP($C$4,_d_crystals!$A:$AZ,30,0),"")</f>
        <v/>
      </c>
      <c r="D58" s="57" t="n"/>
    </row>
    <row r="59" ht="3" customHeight="1" s="56">
      <c r="A59" s="57" t="n"/>
    </row>
    <row r="60" ht="20.1" customHeight="1" s="56">
      <c r="A60" s="57" t="n"/>
      <c r="B60" s="10" t="inlineStr">
        <is>
          <t>RUNE 2</t>
        </is>
      </c>
      <c r="C60" s="16">
        <f>IFERROR(IF(VLOOKUP($C$4,_d_crystals!$A:$AZ,31,0)="","",VLOOKUP($C$4,_d_crystals!$A:$AZ,31,0)&amp;"  ("&amp;VLOOKUP($C$4,_d_crystals!$A:$AZ,32,0)&amp;")"),"")</f>
        <v/>
      </c>
      <c r="D60" s="57" t="n"/>
    </row>
    <row r="61" ht="45" customHeight="1" s="56">
      <c r="A61" s="57" t="n"/>
      <c r="B61" s="17" t="inlineStr">
        <is>
          <t xml:space="preserve">  USES</t>
        </is>
      </c>
      <c r="C61" s="16">
        <f>IFERROR(VLOOKUP($C$4,_d_crystals!$A:$AZ,33,0),"")</f>
        <v/>
      </c>
      <c r="D61" s="57" t="n"/>
    </row>
    <row r="62" ht="35.1" customHeight="1" s="56">
      <c r="A62" s="57" t="n"/>
      <c r="B62" s="17" t="inlineStr">
        <is>
          <t xml:space="preserve">  POWERS</t>
        </is>
      </c>
      <c r="C62" s="16">
        <f>IFERROR(VLOOKUP($C$4,_d_crystals!$A:$AZ,34,0),"")</f>
        <v/>
      </c>
      <c r="D62" s="57" t="n"/>
    </row>
    <row r="63" ht="3" customHeight="1" s="56">
      <c r="A63" s="57" t="n"/>
    </row>
    <row r="64" ht="20.1" customHeight="1" s="56">
      <c r="A64" s="57" t="n"/>
      <c r="B64" s="10" t="inlineStr">
        <is>
          <t>RUNE 3</t>
        </is>
      </c>
      <c r="C64" s="16">
        <f>IFERROR(IF(VLOOKUP($C$4,_d_crystals!$A:$AZ,35,0)="","",VLOOKUP($C$4,_d_crystals!$A:$AZ,35,0)&amp;"  ("&amp;VLOOKUP($C$4,_d_crystals!$A:$AZ,36,0)&amp;")"),"")</f>
        <v/>
      </c>
      <c r="D64" s="57" t="n"/>
    </row>
    <row r="65" ht="45" customHeight="1" s="56">
      <c r="A65" s="57" t="n"/>
      <c r="B65" s="17" t="inlineStr">
        <is>
          <t xml:space="preserve">  USES</t>
        </is>
      </c>
      <c r="C65" s="16">
        <f>IFERROR(VLOOKUP($C$4,_d_crystals!$A:$AZ,37,0),"")</f>
        <v/>
      </c>
      <c r="D65" s="57" t="n"/>
    </row>
    <row r="66" ht="35.1" customHeight="1" s="56">
      <c r="A66" s="57" t="n"/>
      <c r="B66" s="17" t="inlineStr">
        <is>
          <t xml:space="preserve">  POWERS</t>
        </is>
      </c>
      <c r="C66" s="16">
        <f>IFERROR(VLOOKUP($C$4,_d_crystals!$A:$AZ,38,0),"")</f>
        <v/>
      </c>
      <c r="D66" s="57" t="n"/>
    </row>
    <row r="67" ht="3" customHeight="1" s="56">
      <c r="A67" s="57" t="n"/>
    </row>
    <row r="68" ht="5.1" customHeight="1" s="56">
      <c r="A68" s="57" t="n"/>
    </row>
    <row r="69" ht="14.1" customHeight="1" s="56">
      <c r="A69" s="71" t="inlineStr">
        <is>
          <t xml:space="preserve">  📜  DESCRIPTION, FOLKLORE &amp; GEOLOGY</t>
        </is>
      </c>
    </row>
    <row r="70" ht="99.95" customHeight="1" s="56">
      <c r="A70" s="57" t="n"/>
      <c r="B70" s="29" t="inlineStr">
        <is>
          <t>DESCRIPTION</t>
        </is>
      </c>
      <c r="C70" s="19">
        <f>IFERROR(VLOOKUP($C$4,_d_crystals!$A:$AZ,15,0),"")</f>
        <v/>
      </c>
      <c r="D70" s="57" t="n"/>
    </row>
    <row r="71" ht="3" customHeight="1" s="56">
      <c r="A71" s="57" t="n"/>
    </row>
    <row r="72" ht="80.09999999999999" customHeight="1" s="56">
      <c r="A72" s="57" t="n"/>
      <c r="B72" s="29" t="inlineStr">
        <is>
          <t>FOLK LORE</t>
        </is>
      </c>
      <c r="C72" s="19">
        <f>IFERROR(VLOOKUP($C$4,_d_crystals!$A:$AZ,12,0),"")</f>
        <v/>
      </c>
      <c r="D72" s="57" t="n"/>
    </row>
    <row r="73" ht="3" customHeight="1" s="56">
      <c r="A73" s="57" t="n"/>
    </row>
    <row r="74" ht="39.95" customHeight="1" s="56">
      <c r="A74" s="57" t="n"/>
      <c r="B74" s="29" t="inlineStr">
        <is>
          <t>GEOLOGY</t>
        </is>
      </c>
      <c r="C74" s="19">
        <f>IFERROR(VLOOKUP($C$4,_d_crystals!$A:$AZ,17,0),"")</f>
        <v/>
      </c>
      <c r="D74" s="57" t="n"/>
    </row>
    <row r="75" ht="5.1" customHeight="1" s="56">
      <c r="A75" s="57" t="n"/>
    </row>
    <row r="76" ht="14.1" customHeight="1" s="56">
      <c r="A76" s="65" t="inlineStr">
        <is>
          <t xml:space="preserve">  ⚠  WARNING</t>
        </is>
      </c>
    </row>
    <row r="77" ht="35.1" customHeight="1" s="56">
      <c r="A77" s="57" t="n"/>
      <c r="B77" s="32" t="inlineStr">
        <is>
          <t>WARNING</t>
        </is>
      </c>
      <c r="C77" s="20">
        <f>IFERROR(IF(VLOOKUP($C$4,_d_crystals!$A:$AZ,18,0)="","No warnings recorded.",VLOOKUP($C$4,_d_crystals!$A:$AZ,18,0)),"")</f>
        <v/>
      </c>
      <c r="D77" s="57" t="n"/>
    </row>
    <row r="78" ht="5.1" customHeight="1" s="56">
      <c r="A78" s="57" t="n"/>
    </row>
    <row r="79" ht="18" customHeight="1" s="56">
      <c r="A79" s="70" t="inlineStr">
        <is>
          <t>The Greenman Magical Database  ✦  65 entries</t>
        </is>
      </c>
    </row>
  </sheetData>
  <mergeCells count="39">
    <mergeCell ref="A5:D5"/>
    <mergeCell ref="A17:D17"/>
    <mergeCell ref="A8:D8"/>
    <mergeCell ref="A53:D53"/>
    <mergeCell ref="A63:D63"/>
    <mergeCell ref="A10:D10"/>
    <mergeCell ref="A13:D13"/>
    <mergeCell ref="A68:D68"/>
    <mergeCell ref="A40:D40"/>
    <mergeCell ref="A9:D9"/>
    <mergeCell ref="A67:D67"/>
    <mergeCell ref="A30:D30"/>
    <mergeCell ref="A39:D39"/>
    <mergeCell ref="A59:D59"/>
    <mergeCell ref="A73:D73"/>
    <mergeCell ref="A49:D49"/>
    <mergeCell ref="A11:D11"/>
    <mergeCell ref="A36:D36"/>
    <mergeCell ref="A1:D1"/>
    <mergeCell ref="A45:D45"/>
    <mergeCell ref="A79:D79"/>
    <mergeCell ref="A6:D6"/>
    <mergeCell ref="A69:D69"/>
    <mergeCell ref="A78:D78"/>
    <mergeCell ref="A54:D54"/>
    <mergeCell ref="A7:D7"/>
    <mergeCell ref="A41:D41"/>
    <mergeCell ref="A4:B4"/>
    <mergeCell ref="A75:D75"/>
    <mergeCell ref="A18:D18"/>
    <mergeCell ref="A27:D27"/>
    <mergeCell ref="A26:D26"/>
    <mergeCell ref="A3:D3"/>
    <mergeCell ref="A55:D55"/>
    <mergeCell ref="A33:D33"/>
    <mergeCell ref="A71:D71"/>
    <mergeCell ref="A2:D2"/>
    <mergeCell ref="A76:D76"/>
    <mergeCell ref="A14:D14"/>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100-000000000000}">
          <x14:formula1>
            <xm:f>_d_crystals!$AZ$2:$AZ$66</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D76"/>
  <sheetViews>
    <sheetView showGridLines="0" workbookViewId="0">
      <pane ySplit="4" topLeftCell="A5" activePane="bottomLeft" state="frozen"/>
      <selection pane="bottomLeft" activeCell="C4" sqref="C4"/>
    </sheetView>
  </sheetViews>
  <sheetFormatPr baseColWidth="8" defaultRowHeight="15"/>
  <cols>
    <col width="1.4765625" customWidth="1" style="56" min="1" max="1"/>
    <col width="14.9296875" customWidth="1" style="56" min="2" max="2"/>
    <col width="29.0546875" customWidth="1" style="56" min="3" max="3"/>
    <col width="1.4765625" customWidth="1" style="56" min="4" max="4"/>
  </cols>
  <sheetData>
    <row r="1" ht="3" customHeight="1" s="56">
      <c r="A1" s="76" t="n"/>
    </row>
    <row r="2" ht="44.1" customHeight="1" s="56">
      <c r="A2" s="80" t="inlineStr">
        <is>
          <t>🫙  The Greenman Oil Oracle  🫙</t>
        </is>
      </c>
    </row>
    <row r="3" ht="3" customHeight="1" s="56">
      <c r="A3" s="55" t="n"/>
    </row>
    <row r="4" ht="32.1" customHeight="1" s="56">
      <c r="A4" s="79" t="inlineStr">
        <is>
          <t xml:space="preserve">  🫙 Select Oil:</t>
        </is>
      </c>
      <c r="C4" s="24" t="inlineStr">
        <is>
          <t>Frankincense</t>
        </is>
      </c>
      <c r="D4" s="76" t="n"/>
    </row>
    <row r="5" ht="3" customHeight="1" s="56">
      <c r="A5" s="55" t="n"/>
    </row>
    <row r="6" ht="14.1" customHeight="1" s="56">
      <c r="A6" s="75" t="inlineStr">
        <is>
          <t xml:space="preserve">  🫙  IDENTITY</t>
        </is>
      </c>
    </row>
    <row r="7" ht="36" customHeight="1" s="56">
      <c r="A7" s="77">
        <f>IFERROR("🫙  "&amp;VLOOKUP($C$4,_d_oils!$A:$AR,1,0),"")</f>
        <v/>
      </c>
    </row>
    <row r="8" ht="15.95" customHeight="1" s="56">
      <c r="A8" s="58">
        <f>IFERROR("( "&amp;VLOOKUP($C$4,_d_oils!$A:$AR,2,0)&amp;" )","")</f>
        <v/>
      </c>
    </row>
    <row r="9" ht="14.1" customHeight="1" s="56">
      <c r="A9" s="60">
        <f>IFERROR("✦  "&amp;VLOOKUP($C$4,_d_oils!$A:$AR,3,0),"")</f>
        <v/>
      </c>
    </row>
    <row r="10" ht="3" customHeight="1" s="56">
      <c r="A10" s="55" t="n"/>
    </row>
    <row r="11" ht="14.1" customHeight="1" s="56">
      <c r="A11" s="75" t="inlineStr">
        <is>
          <t xml:space="preserve">  🔮  MAGICAL USES</t>
        </is>
      </c>
    </row>
    <row r="12" ht="90" customHeight="1" s="56">
      <c r="A12" s="57" t="n"/>
      <c r="B12" s="10" t="inlineStr">
        <is>
          <t>MAGICAL USES</t>
        </is>
      </c>
      <c r="C12" s="11">
        <f>IFERROR(VLOOKUP($C$4,_d_oils!$A:$AR,4,0),"")</f>
        <v/>
      </c>
      <c r="D12" s="57" t="n"/>
    </row>
    <row r="13" ht="5.1" customHeight="1" s="56">
      <c r="A13" s="57" t="n"/>
    </row>
    <row r="14" ht="14.1" customHeight="1" s="56">
      <c r="A14" s="75" t="inlineStr">
        <is>
          <t xml:space="preserve">  💫  SPIRITUAL &amp; POWERS</t>
        </is>
      </c>
    </row>
    <row r="15" ht="45" customHeight="1" s="56">
      <c r="A15" s="57" t="n"/>
      <c r="B15" s="10" t="inlineStr">
        <is>
          <t>POWERS</t>
        </is>
      </c>
      <c r="C15" s="11">
        <f>IFERROR(VLOOKUP($C$4,_d_oils!$A:$AR,13,0),"")</f>
        <v/>
      </c>
      <c r="D15" s="57" t="n"/>
    </row>
    <row r="16" ht="45" customHeight="1" s="56">
      <c r="A16" s="57" t="n"/>
      <c r="B16" s="10" t="inlineStr">
        <is>
          <t>SPIRITUAL USES</t>
        </is>
      </c>
      <c r="C16" s="11">
        <f>IFERROR(VLOOKUP($C$4,_d_oils!$A:$AR,14,0),"")</f>
        <v/>
      </c>
      <c r="D16" s="57" t="n"/>
    </row>
    <row r="17" ht="5.1" customHeight="1" s="56">
      <c r="A17" s="57" t="n"/>
    </row>
    <row r="18" ht="14.1" customHeight="1" s="56">
      <c r="A18" s="78" t="inlineStr">
        <is>
          <t xml:space="preserve">  📖  CORRESPONDENCES</t>
        </is>
      </c>
    </row>
    <row r="19" ht="39.95" customHeight="1" s="56">
      <c r="A19" s="57" t="n"/>
      <c r="B19" s="10" t="inlineStr">
        <is>
          <t>ASSOCIATION</t>
        </is>
      </c>
      <c r="C19" s="11">
        <f>IFERROR(VLOOKUP($C$4,_d_oils!$A:$AR,5,0),"")</f>
        <v/>
      </c>
      <c r="D19" s="57" t="n"/>
    </row>
    <row r="20" ht="20.1" customHeight="1" s="56">
      <c r="A20" s="57" t="n"/>
      <c r="B20" s="10" t="inlineStr">
        <is>
          <t>ELEMENT</t>
        </is>
      </c>
      <c r="C20" s="11">
        <f>IFERROR(VLOOKUP($C$4,_d_oils!$A:$AR,7,0),"")</f>
        <v/>
      </c>
      <c r="D20" s="57" t="n"/>
    </row>
    <row r="21" ht="20.1" customHeight="1" s="56">
      <c r="A21" s="57" t="n"/>
      <c r="B21" s="10" t="inlineStr">
        <is>
          <t>ENERGY</t>
        </is>
      </c>
      <c r="C21" s="11">
        <f>IFERROR(VLOOKUP($C$4,_d_oils!$A:$AR,8,0),"")</f>
        <v/>
      </c>
      <c r="D21" s="57" t="n"/>
    </row>
    <row r="22" ht="20.1" customHeight="1" s="56">
      <c r="A22" s="57" t="n"/>
      <c r="B22" s="10" t="inlineStr">
        <is>
          <t>DAY</t>
        </is>
      </c>
      <c r="C22" s="11">
        <f>IFERROR(VLOOKUP($C$4,_d_oils!$A:$AR,9,0),"")</f>
        <v/>
      </c>
      <c r="D22" s="57" t="n"/>
    </row>
    <row r="23" ht="30" customHeight="1" s="56">
      <c r="A23" s="57" t="n"/>
      <c r="B23" s="10" t="inlineStr">
        <is>
          <t>DEITY</t>
        </is>
      </c>
      <c r="C23" s="11">
        <f>IFERROR(VLOOKUP($C$4,_d_oils!$A:$AR,10,0),"")</f>
        <v/>
      </c>
      <c r="D23" s="57" t="n"/>
    </row>
    <row r="24" ht="24.95" customHeight="1" s="56">
      <c r="A24" s="57" t="n"/>
      <c r="B24" s="10" t="inlineStr">
        <is>
          <t>SABBAT</t>
        </is>
      </c>
      <c r="C24" s="11">
        <f>IFERROR(VLOOKUP($C$4,_d_oils!$A:$AR,11,0),"")</f>
        <v/>
      </c>
      <c r="D24" s="57" t="n"/>
    </row>
    <row r="25" ht="20.1" customHeight="1" s="56">
      <c r="A25" s="57" t="n"/>
      <c r="B25" s="10" t="inlineStr">
        <is>
          <t>PLANET</t>
        </is>
      </c>
      <c r="C25" s="11">
        <f>IFERROR(VLOOKUP($C$4,_d_oils!$A:$AR,6,0),"")</f>
        <v/>
      </c>
      <c r="D25" s="57" t="n"/>
    </row>
    <row r="26" ht="5.1" customHeight="1" s="56">
      <c r="A26" s="57" t="n"/>
    </row>
    <row r="27" ht="14.1" customHeight="1" s="56">
      <c r="A27" s="78" t="inlineStr">
        <is>
          <t xml:space="preserve">  🌿  ASSOCIATED HERBS</t>
        </is>
      </c>
    </row>
    <row r="28" ht="20.1" customHeight="1" s="56">
      <c r="A28" s="57" t="n"/>
      <c r="B28" s="10" t="inlineStr">
        <is>
          <t>HERB 1</t>
        </is>
      </c>
      <c r="C28" s="22">
        <f>IFERROR(VLOOKUP($C$4,_d_oils!$A:$AR,19,0),"")</f>
        <v/>
      </c>
      <c r="D28" s="57" t="n"/>
    </row>
    <row r="29" ht="45" customHeight="1" s="56">
      <c r="A29" s="57" t="n"/>
      <c r="B29" s="23" t="inlineStr">
        <is>
          <t xml:space="preserve">  MAGICAL USES</t>
        </is>
      </c>
      <c r="C29" s="22">
        <f>IFERROR(VLOOKUP($C$4,_d_oils!$A:$AR,20,0),"")</f>
        <v/>
      </c>
      <c r="D29" s="57" t="n"/>
    </row>
    <row r="30" ht="3" customHeight="1" s="56">
      <c r="A30" s="57" t="n"/>
    </row>
    <row r="31" ht="20.1" customHeight="1" s="56">
      <c r="A31" s="57" t="n"/>
      <c r="B31" s="10" t="inlineStr">
        <is>
          <t>HERB 2</t>
        </is>
      </c>
      <c r="C31" s="22">
        <f>IFERROR(VLOOKUP($C$4,_d_oils!$A:$AR,21,0),"")</f>
        <v/>
      </c>
      <c r="D31" s="57" t="n"/>
    </row>
    <row r="32" ht="45" customHeight="1" s="56">
      <c r="A32" s="57" t="n"/>
      <c r="B32" s="23" t="inlineStr">
        <is>
          <t xml:space="preserve">  MAGICAL USES</t>
        </is>
      </c>
      <c r="C32" s="22">
        <f>IFERROR(VLOOKUP($C$4,_d_oils!$A:$AR,22,0),"")</f>
        <v/>
      </c>
      <c r="D32" s="57" t="n"/>
    </row>
    <row r="33" ht="3" customHeight="1" s="56">
      <c r="A33" s="57" t="n"/>
    </row>
    <row r="34" ht="20.1" customHeight="1" s="56">
      <c r="A34" s="57" t="n"/>
      <c r="B34" s="10" t="inlineStr">
        <is>
          <t>HERB 3</t>
        </is>
      </c>
      <c r="C34" s="22">
        <f>IFERROR(VLOOKUP($C$4,_d_oils!$A:$AR,23,0),"")</f>
        <v/>
      </c>
      <c r="D34" s="57" t="n"/>
    </row>
    <row r="35" ht="45" customHeight="1" s="56">
      <c r="A35" s="57" t="n"/>
      <c r="B35" s="23" t="inlineStr">
        <is>
          <t xml:space="preserve">  MAGICAL USES</t>
        </is>
      </c>
      <c r="C35" s="22">
        <f>IFERROR(VLOOKUP($C$4,_d_oils!$A:$AR,24,0),"")</f>
        <v/>
      </c>
      <c r="D35" s="57" t="n"/>
    </row>
    <row r="36" ht="3" customHeight="1" s="56">
      <c r="A36" s="57" t="n"/>
    </row>
    <row r="37" ht="20.1" customHeight="1" s="56">
      <c r="A37" s="57" t="n"/>
      <c r="B37" s="10" t="inlineStr">
        <is>
          <t>HERB 4</t>
        </is>
      </c>
      <c r="C37" s="22">
        <f>IFERROR(VLOOKUP($C$4,_d_oils!$A:$AR,25,0),"")</f>
        <v/>
      </c>
      <c r="D37" s="57" t="n"/>
    </row>
    <row r="38" ht="45" customHeight="1" s="56">
      <c r="A38" s="57" t="n"/>
      <c r="B38" s="23" t="inlineStr">
        <is>
          <t xml:space="preserve">  MAGICAL USES</t>
        </is>
      </c>
      <c r="C38" s="22">
        <f>IFERROR(VLOOKUP($C$4,_d_oils!$A:$AR,26,0),"")</f>
        <v/>
      </c>
      <c r="D38" s="57" t="n"/>
    </row>
    <row r="39" ht="3" customHeight="1" s="56">
      <c r="A39" s="57" t="n"/>
    </row>
    <row r="40" ht="5.1" customHeight="1" s="56">
      <c r="A40" s="57" t="n"/>
    </row>
    <row r="41" ht="14.1" customHeight="1" s="56">
      <c r="A41" s="78" t="inlineStr">
        <is>
          <t xml:space="preserve">  ◈  ASSOCIATED CRYSTALS</t>
        </is>
      </c>
    </row>
    <row r="42" ht="20.1" customHeight="1" s="56">
      <c r="A42" s="57" t="n"/>
      <c r="B42" s="10" t="inlineStr">
        <is>
          <t>CRYSTAL 1</t>
        </is>
      </c>
      <c r="C42" s="14">
        <f>IFERROR(VLOOKUP($C$4,_d_oils!$A:$AR,27,0),"")</f>
        <v/>
      </c>
      <c r="D42" s="57" t="n"/>
    </row>
    <row r="43" ht="35.1" customHeight="1" s="56">
      <c r="A43" s="57" t="n"/>
      <c r="B43" s="15" t="inlineStr">
        <is>
          <t xml:space="preserve">  POWERS</t>
        </is>
      </c>
      <c r="C43" s="14">
        <f>IFERROR(VLOOKUP($C$4,_d_oils!$A:$AR,28,0),"")</f>
        <v/>
      </c>
      <c r="D43" s="57" t="n"/>
    </row>
    <row r="44" ht="3" customHeight="1" s="56">
      <c r="A44" s="57" t="n"/>
    </row>
    <row r="45" ht="20.1" customHeight="1" s="56">
      <c r="A45" s="57" t="n"/>
      <c r="B45" s="10" t="inlineStr">
        <is>
          <t>CRYSTAL 2</t>
        </is>
      </c>
      <c r="C45" s="14">
        <f>IFERROR(VLOOKUP($C$4,_d_oils!$A:$AR,29,0),"")</f>
        <v/>
      </c>
      <c r="D45" s="57" t="n"/>
    </row>
    <row r="46" ht="35.1" customHeight="1" s="56">
      <c r="A46" s="57" t="n"/>
      <c r="B46" s="15" t="inlineStr">
        <is>
          <t xml:space="preserve">  POWERS</t>
        </is>
      </c>
      <c r="C46" s="14">
        <f>IFERROR(VLOOKUP($C$4,_d_oils!$A:$AR,30,0),"")</f>
        <v/>
      </c>
      <c r="D46" s="57" t="n"/>
    </row>
    <row r="47" ht="3" customHeight="1" s="56">
      <c r="A47" s="57" t="n"/>
    </row>
    <row r="48" ht="20.1" customHeight="1" s="56">
      <c r="A48" s="57" t="n"/>
      <c r="B48" s="10" t="inlineStr">
        <is>
          <t>CRYSTAL 3</t>
        </is>
      </c>
      <c r="C48" s="14">
        <f>IFERROR(VLOOKUP($C$4,_d_oils!$A:$AR,31,0),"")</f>
        <v/>
      </c>
      <c r="D48" s="57" t="n"/>
    </row>
    <row r="49" ht="35.1" customHeight="1" s="56">
      <c r="A49" s="57" t="n"/>
      <c r="B49" s="15" t="inlineStr">
        <is>
          <t xml:space="preserve">  POWERS</t>
        </is>
      </c>
      <c r="C49" s="14">
        <f>IFERROR(VLOOKUP($C$4,_d_oils!$A:$AR,32,0),"")</f>
        <v/>
      </c>
      <c r="D49" s="57" t="n"/>
    </row>
    <row r="50" ht="3" customHeight="1" s="56">
      <c r="A50" s="57" t="n"/>
    </row>
    <row r="51" ht="20.1" customHeight="1" s="56">
      <c r="A51" s="57" t="n"/>
      <c r="B51" s="10" t="inlineStr">
        <is>
          <t>CRYSTAL 4</t>
        </is>
      </c>
      <c r="C51" s="14">
        <f>IFERROR(VLOOKUP($C$4,_d_oils!$A:$AR,33,0),"")</f>
        <v/>
      </c>
      <c r="D51" s="57" t="n"/>
    </row>
    <row r="52" ht="35.1" customHeight="1" s="56">
      <c r="A52" s="57" t="n"/>
      <c r="B52" s="15" t="inlineStr">
        <is>
          <t xml:space="preserve">  POWERS</t>
        </is>
      </c>
      <c r="C52" s="14">
        <f>IFERROR(VLOOKUP($C$4,_d_oils!$A:$AR,34,0),"")</f>
        <v/>
      </c>
      <c r="D52" s="57" t="n"/>
    </row>
    <row r="53" ht="3" customHeight="1" s="56">
      <c r="A53" s="57" t="n"/>
    </row>
    <row r="54" ht="5.1" customHeight="1" s="56">
      <c r="A54" s="57" t="n"/>
    </row>
    <row r="55" ht="14.1" customHeight="1" s="56">
      <c r="A55" s="78" t="inlineStr">
        <is>
          <t xml:space="preserve">  ᚛  ASSOCIATED RUNES</t>
        </is>
      </c>
    </row>
    <row r="56" ht="20.1" customHeight="1" s="56">
      <c r="A56" s="57" t="n"/>
      <c r="B56" s="10" t="inlineStr">
        <is>
          <t>RUNE 1</t>
        </is>
      </c>
      <c r="C56" s="16">
        <f>IFERROR(IF(VLOOKUP($C$4,_d_oils!$A:$AR,35,0)="","",VLOOKUP($C$4,_d_oils!$A:$AR,35,0)&amp;"  ("&amp;VLOOKUP($C$4,_d_oils!$A:$AR,36,0)&amp;")"),"")</f>
        <v/>
      </c>
      <c r="D56" s="57" t="n"/>
    </row>
    <row r="57" ht="45" customHeight="1" s="56">
      <c r="A57" s="57" t="n"/>
      <c r="B57" s="17" t="inlineStr">
        <is>
          <t xml:space="preserve">  USES</t>
        </is>
      </c>
      <c r="C57" s="16">
        <f>IFERROR(VLOOKUP($C$4,_d_oils!$A:$AR,37,0),"")</f>
        <v/>
      </c>
      <c r="D57" s="57" t="n"/>
    </row>
    <row r="58" ht="3" customHeight="1" s="56">
      <c r="A58" s="57" t="n"/>
    </row>
    <row r="59" ht="20.1" customHeight="1" s="56">
      <c r="A59" s="57" t="n"/>
      <c r="B59" s="10" t="inlineStr">
        <is>
          <t>RUNE 2</t>
        </is>
      </c>
      <c r="C59" s="16">
        <f>IFERROR(IF(VLOOKUP($C$4,_d_oils!$A:$AR,38,0)="","",VLOOKUP($C$4,_d_oils!$A:$AR,38,0)&amp;"  ("&amp;VLOOKUP($C$4,_d_oils!$A:$AR,39,0)&amp;")"),"")</f>
        <v/>
      </c>
      <c r="D59" s="57" t="n"/>
    </row>
    <row r="60" ht="45" customHeight="1" s="56">
      <c r="A60" s="57" t="n"/>
      <c r="B60" s="17" t="inlineStr">
        <is>
          <t xml:space="preserve">  USES</t>
        </is>
      </c>
      <c r="C60" s="16">
        <f>IFERROR(VLOOKUP($C$4,_d_oils!$A:$AR,40,0),"")</f>
        <v/>
      </c>
      <c r="D60" s="57" t="n"/>
    </row>
    <row r="61" ht="3" customHeight="1" s="56">
      <c r="A61" s="57" t="n"/>
    </row>
    <row r="62" ht="20.1" customHeight="1" s="56">
      <c r="A62" s="57" t="n"/>
      <c r="B62" s="10" t="inlineStr">
        <is>
          <t>RUNE 3</t>
        </is>
      </c>
      <c r="C62" s="16">
        <f>IFERROR(IF(VLOOKUP($C$4,_d_oils!$A:$AR,41,0)="","",VLOOKUP($C$4,_d_oils!$A:$AR,41,0)&amp;"  ("&amp;VLOOKUP($C$4,_d_oils!$A:$AR,42,0)&amp;")"),"")</f>
        <v/>
      </c>
      <c r="D62" s="57" t="n"/>
    </row>
    <row r="63" ht="45" customHeight="1" s="56">
      <c r="A63" s="57" t="n"/>
      <c r="B63" s="17" t="inlineStr">
        <is>
          <t xml:space="preserve">  USES</t>
        </is>
      </c>
      <c r="C63" s="16">
        <f>IFERROR(VLOOKUP($C$4,_d_oils!$A:$AR,43,0),"")</f>
        <v/>
      </c>
      <c r="D63" s="57" t="n"/>
    </row>
    <row r="64" ht="3" customHeight="1" s="56">
      <c r="A64" s="57" t="n"/>
    </row>
    <row r="65" ht="5.1" customHeight="1" s="56">
      <c r="A65" s="57" t="n"/>
    </row>
    <row r="66" ht="14.1" customHeight="1" s="56">
      <c r="A66" s="78" t="inlineStr">
        <is>
          <t xml:space="preserve">  📜  DESCRIPTION, FOLKLORE &amp; GEOLOGY</t>
        </is>
      </c>
    </row>
    <row r="67" ht="99.95" customHeight="1" s="56">
      <c r="A67" s="57" t="n"/>
      <c r="B67" s="30" t="inlineStr">
        <is>
          <t>DESCRIPTION</t>
        </is>
      </c>
      <c r="C67" s="19">
        <f>IFERROR(VLOOKUP($C$4,_d_oils!$A:$AR,15,0),"")</f>
        <v/>
      </c>
      <c r="D67" s="57" t="n"/>
    </row>
    <row r="68" ht="3" customHeight="1" s="56">
      <c r="A68" s="57" t="n"/>
    </row>
    <row r="69" ht="80.09999999999999" customHeight="1" s="56">
      <c r="A69" s="57" t="n"/>
      <c r="B69" s="30" t="inlineStr">
        <is>
          <t>FOLK LORE</t>
        </is>
      </c>
      <c r="C69" s="19">
        <f>IFERROR(VLOOKUP($C$4,_d_oils!$A:$AR,12,0),"")</f>
        <v/>
      </c>
      <c r="D69" s="57" t="n"/>
    </row>
    <row r="70" ht="3" customHeight="1" s="56">
      <c r="A70" s="57" t="n"/>
    </row>
    <row r="71" ht="39.95" customHeight="1" s="56">
      <c r="A71" s="57" t="n"/>
      <c r="B71" s="30" t="inlineStr">
        <is>
          <t>GEOLOGY</t>
        </is>
      </c>
      <c r="C71" s="19">
        <f>IFERROR(VLOOKUP($C$4,_d_oils!$A:$AR,17,0),"")</f>
        <v/>
      </c>
      <c r="D71" s="57" t="n"/>
    </row>
    <row r="72" ht="5.1" customHeight="1" s="56">
      <c r="A72" s="57" t="n"/>
    </row>
    <row r="73" ht="14.1" customHeight="1" s="56">
      <c r="A73" s="65" t="inlineStr">
        <is>
          <t xml:space="preserve">  ⚠  WARNING</t>
        </is>
      </c>
    </row>
    <row r="74" ht="35.1" customHeight="1" s="56">
      <c r="A74" s="57" t="n"/>
      <c r="B74" s="32" t="inlineStr">
        <is>
          <t>WARNING</t>
        </is>
      </c>
      <c r="C74" s="20">
        <f>IFERROR(IF(VLOOKUP($C$4,_d_oils!$A:$AR,18,0)="","No warnings recorded.",VLOOKUP($C$4,_d_oils!$A:$AR,18,0)),"")</f>
        <v/>
      </c>
      <c r="D74" s="57" t="n"/>
    </row>
    <row r="75" ht="5.1" customHeight="1" s="56">
      <c r="A75" s="57" t="n"/>
    </row>
    <row r="76" ht="18" customHeight="1" s="56">
      <c r="A76" s="81" t="inlineStr">
        <is>
          <t>The Greenman Magical Database  ✦  29 entries</t>
        </is>
      </c>
    </row>
  </sheetData>
  <mergeCells count="40">
    <mergeCell ref="A5:D5"/>
    <mergeCell ref="A17:D17"/>
    <mergeCell ref="A8:D8"/>
    <mergeCell ref="A53:D53"/>
    <mergeCell ref="A72:D72"/>
    <mergeCell ref="A10:D10"/>
    <mergeCell ref="A68:D68"/>
    <mergeCell ref="A13:D13"/>
    <mergeCell ref="A44:D44"/>
    <mergeCell ref="A40:D40"/>
    <mergeCell ref="A9:D9"/>
    <mergeCell ref="A58:D58"/>
    <mergeCell ref="A30:D30"/>
    <mergeCell ref="A39:D39"/>
    <mergeCell ref="A64:D64"/>
    <mergeCell ref="A73:D73"/>
    <mergeCell ref="A11:D11"/>
    <mergeCell ref="A36:D36"/>
    <mergeCell ref="A1:D1"/>
    <mergeCell ref="A70:D70"/>
    <mergeCell ref="A61:D61"/>
    <mergeCell ref="A6:D6"/>
    <mergeCell ref="A54:D54"/>
    <mergeCell ref="A7:D7"/>
    <mergeCell ref="A65:D65"/>
    <mergeCell ref="A41:D41"/>
    <mergeCell ref="A66:D66"/>
    <mergeCell ref="A4:B4"/>
    <mergeCell ref="A75:D75"/>
    <mergeCell ref="A18:D18"/>
    <mergeCell ref="A27:D27"/>
    <mergeCell ref="A50:D50"/>
    <mergeCell ref="A3:D3"/>
    <mergeCell ref="A26:D26"/>
    <mergeCell ref="A55:D55"/>
    <mergeCell ref="A33:D33"/>
    <mergeCell ref="A2:D2"/>
    <mergeCell ref="A47:D47"/>
    <mergeCell ref="A76:D76"/>
    <mergeCell ref="A14:D14"/>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200-000000000000}">
          <x14:formula1>
            <xm:f>_d_oils!$AR$2:$AR$30</xm:f>
          </x14:formula1>
          <xm:sqref>C4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D74"/>
  <sheetViews>
    <sheetView showGridLines="0" workbookViewId="0">
      <pane ySplit="4" topLeftCell="A5" activePane="bottomLeft" state="frozen"/>
      <selection pane="bottomLeft" activeCell="C4" sqref="C4"/>
    </sheetView>
  </sheetViews>
  <sheetFormatPr baseColWidth="8" defaultRowHeight="15"/>
  <cols>
    <col width="1.4765625" customWidth="1" style="56" min="1" max="1"/>
    <col width="14.9296875" customWidth="1" style="56" min="2" max="2"/>
    <col width="29.0546875" customWidth="1" style="56" min="3" max="3"/>
    <col width="1.4765625" customWidth="1" style="56" min="4" max="4"/>
  </cols>
  <sheetData>
    <row r="1" ht="3" customHeight="1" s="56">
      <c r="A1" s="86" t="n"/>
    </row>
    <row r="2" ht="44.1" customHeight="1" s="56">
      <c r="A2" s="90" t="inlineStr">
        <is>
          <t>᚛  The Greenman Runic Oracle  ᚛</t>
        </is>
      </c>
    </row>
    <row r="3" ht="3" customHeight="1" s="56">
      <c r="A3" s="55" t="n"/>
    </row>
    <row r="4" ht="32.1" customHeight="1" s="56">
      <c r="A4" s="88" t="inlineStr">
        <is>
          <t xml:space="preserve">  ᚛ Select Rune:</t>
        </is>
      </c>
      <c r="C4" s="25" t="inlineStr">
        <is>
          <t>KAUNO</t>
        </is>
      </c>
      <c r="D4" s="86" t="n"/>
    </row>
    <row r="5" ht="3" customHeight="1" s="56">
      <c r="A5" s="55" t="n"/>
    </row>
    <row r="6" ht="14.1" customHeight="1" s="56">
      <c r="A6" s="85" t="inlineStr">
        <is>
          <t xml:space="preserve">  ᚛  IDENTITY</t>
        </is>
      </c>
    </row>
    <row r="7" ht="42" customHeight="1" s="56">
      <c r="A7" s="87">
        <f>IFERROR(VLOOKUP($C$4,_d_runes!$A:$BA,1,0)&amp;"  ᚛  "&amp;VLOOKUP($C$4,_d_runes!$A:$BA,3,0),"")</f>
        <v/>
      </c>
    </row>
    <row r="8" ht="18" customHeight="1" s="56">
      <c r="A8" s="82">
        <f>IFERROR(VLOOKUP($C$4,_d_runes!$A:$BA,2,0),"")</f>
        <v/>
      </c>
    </row>
    <row r="9" ht="14.1" customHeight="1" s="56">
      <c r="A9" s="84">
        <f>IFERROR("Pronunciation: "&amp;VLOOKUP($C$4,_d_runes!$A:$BA,4,0)&amp;"   ·   Number: "&amp;VLOOKUP($C$4,_d_runes!$A:$BA,16,0),"")</f>
        <v/>
      </c>
    </row>
    <row r="10" ht="3" customHeight="1" s="56">
      <c r="A10" s="55" t="n"/>
    </row>
    <row r="11" ht="14.1" customHeight="1" s="56">
      <c r="A11" s="85" t="inlineStr">
        <is>
          <t xml:space="preserve">  🔮  MAGICAL USES</t>
        </is>
      </c>
    </row>
    <row r="12" ht="90" customHeight="1" s="56">
      <c r="A12" s="57" t="n"/>
      <c r="B12" s="10" t="inlineStr">
        <is>
          <t>MAGICAL USES</t>
        </is>
      </c>
      <c r="C12" s="11">
        <f>IFERROR(VLOOKUP($C$4,_d_runes!$A:$BA,5,0),"")</f>
        <v/>
      </c>
      <c r="D12" s="57" t="n"/>
    </row>
    <row r="13" ht="5.1" customHeight="1" s="56">
      <c r="A13" s="57" t="n"/>
    </row>
    <row r="14" ht="14.1" customHeight="1" s="56">
      <c r="A14" s="85" t="inlineStr">
        <is>
          <t xml:space="preserve">  💫  SPIRITUAL &amp; POWERS</t>
        </is>
      </c>
    </row>
    <row r="15" ht="45" customHeight="1" s="56">
      <c r="A15" s="57" t="n"/>
      <c r="B15" s="10" t="inlineStr">
        <is>
          <t>POWERS</t>
        </is>
      </c>
      <c r="C15" s="11">
        <f>IFERROR(VLOOKUP($C$4,_d_runes!$A:$BA,14,0),"")</f>
        <v/>
      </c>
      <c r="D15" s="57" t="n"/>
    </row>
    <row r="16" ht="45" customHeight="1" s="56">
      <c r="A16" s="57" t="n"/>
      <c r="B16" s="10" t="inlineStr">
        <is>
          <t>SPIRITUAL USES</t>
        </is>
      </c>
      <c r="C16" s="11">
        <f>IFERROR(VLOOKUP($C$4,_d_runes!$A:$BB,54,0),"")</f>
        <v/>
      </c>
      <c r="D16" s="57" t="n"/>
    </row>
    <row r="17" ht="5.1" customHeight="1" s="56">
      <c r="A17" s="57" t="n"/>
    </row>
    <row r="18" ht="14.1" customHeight="1" s="56">
      <c r="A18" s="83" t="inlineStr">
        <is>
          <t xml:space="preserve">  📖  CORRESPONDENCES</t>
        </is>
      </c>
    </row>
    <row r="19" ht="39.95" customHeight="1" s="56">
      <c r="A19" s="57" t="n"/>
      <c r="B19" s="10" t="inlineStr">
        <is>
          <t>ASSOCIATION</t>
        </is>
      </c>
      <c r="C19" s="11">
        <f>IFERROR(VLOOKUP($C$4,_d_runes!$A:$BA,6,0),"")</f>
        <v/>
      </c>
      <c r="D19" s="57" t="n"/>
    </row>
    <row r="20" ht="20.1" customHeight="1" s="56">
      <c r="A20" s="57" t="n"/>
      <c r="B20" s="10" t="inlineStr">
        <is>
          <t>ELEMENT</t>
        </is>
      </c>
      <c r="C20" s="11">
        <f>IFERROR(VLOOKUP($C$4,_d_runes!$A:$BA,8,0),"")</f>
        <v/>
      </c>
      <c r="D20" s="57" t="n"/>
    </row>
    <row r="21" ht="20.1" customHeight="1" s="56">
      <c r="A21" s="57" t="n"/>
      <c r="B21" s="10" t="inlineStr">
        <is>
          <t>ENERGY</t>
        </is>
      </c>
      <c r="C21" s="11">
        <f>IFERROR(VLOOKUP($C$4,_d_runes!$A:$BA,9,0),"")</f>
        <v/>
      </c>
      <c r="D21" s="57" t="n"/>
    </row>
    <row r="22" ht="20.1" customHeight="1" s="56">
      <c r="A22" s="57" t="n"/>
      <c r="B22" s="10" t="inlineStr">
        <is>
          <t>DAY</t>
        </is>
      </c>
      <c r="C22" s="11">
        <f>IFERROR(VLOOKUP($C$4,_d_runes!$A:$BA,10,0),"")</f>
        <v/>
      </c>
      <c r="D22" s="57" t="n"/>
    </row>
    <row r="23" ht="30" customHeight="1" s="56">
      <c r="A23" s="57" t="n"/>
      <c r="B23" s="10" t="inlineStr">
        <is>
          <t>DEITY</t>
        </is>
      </c>
      <c r="C23" s="11">
        <f>IFERROR(VLOOKUP($C$4,_d_runes!$A:$BA,11,0),"")</f>
        <v/>
      </c>
      <c r="D23" s="57" t="n"/>
    </row>
    <row r="24" ht="24.95" customHeight="1" s="56">
      <c r="A24" s="57" t="n"/>
      <c r="B24" s="10" t="inlineStr">
        <is>
          <t>SABBAT</t>
        </is>
      </c>
      <c r="C24" s="11">
        <f>IFERROR(VLOOKUP($C$4,_d_runes!$A:$BA,12,0),"")</f>
        <v/>
      </c>
      <c r="D24" s="57" t="n"/>
    </row>
    <row r="25" ht="20.1" customHeight="1" s="56">
      <c r="A25" s="57" t="n"/>
      <c r="B25" s="10" t="inlineStr">
        <is>
          <t>PLANET</t>
        </is>
      </c>
      <c r="C25" s="11">
        <f>IFERROR(VLOOKUP($C$4,_d_runes!$A:$BA,7,0),"")</f>
        <v/>
      </c>
      <c r="D25" s="57" t="n"/>
    </row>
    <row r="26" ht="20.1" customHeight="1" s="56">
      <c r="A26" s="57" t="n"/>
      <c r="B26" s="10" t="inlineStr">
        <is>
          <t>COLOR</t>
        </is>
      </c>
      <c r="C26" s="11">
        <f>IFERROR(VLOOKUP($C$4,_d_runes!$A:$BA,17,0),"")</f>
        <v/>
      </c>
      <c r="D26" s="57" t="n"/>
    </row>
    <row r="27" ht="20.1" customHeight="1" s="56">
      <c r="A27" s="57" t="n"/>
      <c r="B27" s="10" t="inlineStr">
        <is>
          <t>TREE</t>
        </is>
      </c>
      <c r="C27" s="11">
        <f>IFERROR(VLOOKUP($C$4,_d_runes!$A:$BA,18,0),"")</f>
        <v/>
      </c>
      <c r="D27" s="57" t="n"/>
    </row>
    <row r="28" ht="5.1" customHeight="1" s="56">
      <c r="A28" s="57" t="n"/>
    </row>
    <row r="29" ht="14.1" customHeight="1" s="56">
      <c r="A29" s="83" t="inlineStr">
        <is>
          <t xml:space="preserve">  🌿  ASSOCIATED HERBS</t>
        </is>
      </c>
    </row>
    <row r="30" ht="20.1" customHeight="1" s="56">
      <c r="A30" s="57" t="n"/>
      <c r="B30" s="10" t="inlineStr">
        <is>
          <t>HERB 1</t>
        </is>
      </c>
      <c r="C30" s="22">
        <f>IFERROR(VLOOKUP($C$4,_d_runes!$A:$BA,21,0),"")</f>
        <v/>
      </c>
      <c r="D30" s="57" t="n"/>
    </row>
    <row r="31" ht="129" customHeight="1" s="56">
      <c r="A31" s="57" t="n"/>
      <c r="B31" s="23" t="inlineStr">
        <is>
          <t xml:space="preserve">  MAGICAL USES</t>
        </is>
      </c>
      <c r="C31" s="22">
        <f>IFERROR(VLOOKUP($C$4,_d_runes!$A:$BA,22,0),"")</f>
        <v/>
      </c>
      <c r="D31" s="57" t="n"/>
    </row>
    <row r="32" ht="3" customHeight="1" s="56">
      <c r="A32" s="57" t="n"/>
    </row>
    <row r="33" ht="20.1" customHeight="1" s="56">
      <c r="A33" s="57" t="n"/>
      <c r="B33" s="10" t="inlineStr">
        <is>
          <t>HERB 2</t>
        </is>
      </c>
      <c r="C33" s="22">
        <f>IFERROR(VLOOKUP($C$4,_d_runes!$A:$BA,23,0),"")</f>
        <v/>
      </c>
      <c r="D33" s="57" t="n"/>
    </row>
    <row r="34" ht="45" customHeight="1" s="56">
      <c r="A34" s="57" t="n"/>
      <c r="B34" s="23" t="inlineStr">
        <is>
          <t xml:space="preserve">  MAGICAL USES</t>
        </is>
      </c>
      <c r="C34" s="22">
        <f>IFERROR(VLOOKUP($C$4,_d_runes!$A:$BA,24,0),"")</f>
        <v/>
      </c>
      <c r="D34" s="57" t="n"/>
    </row>
    <row r="35" ht="3" customHeight="1" s="56">
      <c r="A35" s="57" t="n"/>
    </row>
    <row r="36" ht="20.1" customHeight="1" s="56">
      <c r="A36" s="57" t="n"/>
      <c r="B36" s="10" t="inlineStr">
        <is>
          <t>HERB 3</t>
        </is>
      </c>
      <c r="C36" s="22">
        <f>IFERROR(VLOOKUP($C$4,_d_runes!$A:$BA,25,0),"")</f>
        <v/>
      </c>
      <c r="D36" s="57" t="n"/>
    </row>
    <row r="37" ht="45" customHeight="1" s="56">
      <c r="A37" s="57" t="n"/>
      <c r="B37" s="23" t="inlineStr">
        <is>
          <t xml:space="preserve">  MAGICAL USES</t>
        </is>
      </c>
      <c r="C37" s="22">
        <f>IFERROR(VLOOKUP($C$4,_d_runes!$A:$BA,26,0),"")</f>
        <v/>
      </c>
      <c r="D37" s="57" t="n"/>
    </row>
    <row r="38" ht="3" customHeight="1" s="56">
      <c r="A38" s="57" t="n"/>
    </row>
    <row r="39" ht="20.1" customHeight="1" s="56">
      <c r="A39" s="57" t="n"/>
      <c r="B39" s="10" t="inlineStr">
        <is>
          <t>HERB 4</t>
        </is>
      </c>
      <c r="C39" s="22">
        <f>IFERROR(VLOOKUP($C$4,_d_runes!$A:$BA,27,0),"")</f>
        <v/>
      </c>
      <c r="D39" s="57" t="n"/>
    </row>
    <row r="40" ht="45" customHeight="1" s="56">
      <c r="A40" s="57" t="n"/>
      <c r="B40" s="23" t="inlineStr">
        <is>
          <t xml:space="preserve">  MAGICAL USES</t>
        </is>
      </c>
      <c r="C40" s="22">
        <f>IFERROR(VLOOKUP($C$4,_d_runes!$A:$BA,28,0),"")</f>
        <v/>
      </c>
      <c r="D40" s="57" t="n"/>
    </row>
    <row r="41" ht="3" customHeight="1" s="56">
      <c r="A41" s="57" t="n"/>
    </row>
    <row r="42" ht="5.1" customHeight="1" s="56">
      <c r="A42" s="57" t="n"/>
    </row>
    <row r="43" ht="14.1" customHeight="1" s="56">
      <c r="A43" s="83" t="inlineStr">
        <is>
          <t xml:space="preserve">  ◈  ASSOCIATED CRYSTALS</t>
        </is>
      </c>
    </row>
    <row r="44" ht="20.1" customHeight="1" s="56">
      <c r="A44" s="57" t="n"/>
      <c r="B44" s="10" t="inlineStr">
        <is>
          <t>CRYSTAL 1</t>
        </is>
      </c>
      <c r="C44" s="14">
        <f>IFERROR(VLOOKUP($C$4,_d_runes!$A:$BA,33,0),"")</f>
        <v/>
      </c>
      <c r="D44" s="57" t="n"/>
    </row>
    <row r="45" ht="35.1" customHeight="1" s="56">
      <c r="A45" s="57" t="n"/>
      <c r="B45" s="15" t="inlineStr">
        <is>
          <t xml:space="preserve">  POWERS</t>
        </is>
      </c>
      <c r="C45" s="14">
        <f>IFERROR(VLOOKUP($C$4,_d_runes!$A:$BA,34,0),"")</f>
        <v/>
      </c>
      <c r="D45" s="57" t="n"/>
    </row>
    <row r="46" ht="3" customHeight="1" s="56">
      <c r="A46" s="57" t="n"/>
    </row>
    <row r="47" ht="20.1" customHeight="1" s="56">
      <c r="A47" s="57" t="n"/>
      <c r="B47" s="10" t="inlineStr">
        <is>
          <t>CRYSTAL 2</t>
        </is>
      </c>
      <c r="C47" s="14">
        <f>IFERROR(VLOOKUP($C$4,_d_runes!$A:$BA,35,0),"")</f>
        <v/>
      </c>
      <c r="D47" s="57" t="n"/>
    </row>
    <row r="48" ht="35.1" customHeight="1" s="56">
      <c r="A48" s="57" t="n"/>
      <c r="B48" s="15" t="inlineStr">
        <is>
          <t xml:space="preserve">  POWERS</t>
        </is>
      </c>
      <c r="C48" s="14">
        <f>IFERROR(VLOOKUP($C$4,_d_runes!$A:$BA,36,0),"")</f>
        <v/>
      </c>
      <c r="D48" s="57" t="n"/>
    </row>
    <row r="49" ht="3" customHeight="1" s="56">
      <c r="A49" s="57" t="n"/>
    </row>
    <row r="50" ht="20.1" customHeight="1" s="56">
      <c r="A50" s="57" t="n"/>
      <c r="B50" s="10" t="inlineStr">
        <is>
          <t>CRYSTAL 3</t>
        </is>
      </c>
      <c r="C50" s="14">
        <f>IFERROR(VLOOKUP($C$4,_d_runes!$A:$BA,37,0),"")</f>
        <v/>
      </c>
      <c r="D50" s="57" t="n"/>
    </row>
    <row r="51" ht="35.1" customHeight="1" s="56">
      <c r="A51" s="57" t="n"/>
      <c r="B51" s="15" t="inlineStr">
        <is>
          <t xml:space="preserve">  POWERS</t>
        </is>
      </c>
      <c r="C51" s="14">
        <f>IFERROR(VLOOKUP($C$4,_d_runes!$A:$BA,38,0),"")</f>
        <v/>
      </c>
      <c r="D51" s="57" t="n"/>
    </row>
    <row r="52" ht="3" customHeight="1" s="56">
      <c r="A52" s="57" t="n"/>
    </row>
    <row r="53" ht="20.1" customHeight="1" s="56">
      <c r="A53" s="57" t="n"/>
      <c r="B53" s="10" t="inlineStr">
        <is>
          <t>CRYSTAL 4</t>
        </is>
      </c>
      <c r="C53" s="14">
        <f>IFERROR(VLOOKUP($C$4,_d_runes!$A:$BA,39,0),"")</f>
        <v/>
      </c>
      <c r="D53" s="57" t="n"/>
    </row>
    <row r="54" ht="35.1" customHeight="1" s="56">
      <c r="A54" s="57" t="n"/>
      <c r="B54" s="15" t="inlineStr">
        <is>
          <t xml:space="preserve">  POWERS</t>
        </is>
      </c>
      <c r="C54" s="14">
        <f>IFERROR(VLOOKUP($C$4,_d_runes!$A:$BA,40,0),"")</f>
        <v/>
      </c>
      <c r="D54" s="57" t="n"/>
    </row>
    <row r="55" ht="3" customHeight="1" s="56">
      <c r="A55" s="57" t="n"/>
    </row>
    <row r="56" ht="5.1" customHeight="1" s="56">
      <c r="A56" s="57" t="n"/>
    </row>
    <row r="57" ht="14.1" customHeight="1" s="56">
      <c r="A57" s="83" t="inlineStr">
        <is>
          <t xml:space="preserve">  🫙  ASSOCIATED OILS</t>
        </is>
      </c>
    </row>
    <row r="58" ht="20.1" customHeight="1" s="56">
      <c r="A58" s="57" t="n"/>
      <c r="B58" s="10" t="inlineStr">
        <is>
          <t>OIL 1</t>
        </is>
      </c>
      <c r="C58" s="12">
        <f>IFERROR(VLOOKUP($C$4,_d_runes!$A:$BA,45,0),"")</f>
        <v/>
      </c>
      <c r="D58" s="57" t="n"/>
    </row>
    <row r="59" ht="39.95" customHeight="1" s="56">
      <c r="A59" s="57" t="n"/>
      <c r="B59" s="13" t="inlineStr">
        <is>
          <t xml:space="preserve">  USES</t>
        </is>
      </c>
      <c r="C59" s="12">
        <f>IFERROR(VLOOKUP($C$4,_d_runes!$A:$BA,46,0),"")</f>
        <v/>
      </c>
      <c r="D59" s="57" t="n"/>
    </row>
    <row r="60" ht="3" customHeight="1" s="56">
      <c r="A60" s="57" t="n"/>
    </row>
    <row r="61" ht="20.1" customHeight="1" s="56">
      <c r="A61" s="57" t="n"/>
      <c r="B61" s="10" t="inlineStr">
        <is>
          <t>OIL 2</t>
        </is>
      </c>
      <c r="C61" s="12">
        <f>IFERROR(VLOOKUP($C$4,_d_runes!$A:$BA,47,0),"")</f>
        <v/>
      </c>
      <c r="D61" s="57" t="n"/>
    </row>
    <row r="62" ht="39.95" customHeight="1" s="56">
      <c r="A62" s="57" t="n"/>
      <c r="B62" s="13" t="inlineStr">
        <is>
          <t xml:space="preserve">  USES</t>
        </is>
      </c>
      <c r="C62" s="12">
        <f>IFERROR(VLOOKUP($C$4,_d_runes!$A:$BA,48,0),"")</f>
        <v/>
      </c>
      <c r="D62" s="57" t="n"/>
    </row>
    <row r="63" ht="3" customHeight="1" s="56">
      <c r="A63" s="57" t="n"/>
    </row>
    <row r="64" ht="20.1" customHeight="1" s="56">
      <c r="A64" s="57" t="n"/>
      <c r="B64" s="10" t="inlineStr">
        <is>
          <t>OIL 3</t>
        </is>
      </c>
      <c r="C64" s="12">
        <f>IFERROR(VLOOKUP($C$4,_d_runes!$A:$BA,49,0),"")</f>
        <v/>
      </c>
      <c r="D64" s="57" t="n"/>
    </row>
    <row r="65" ht="39.95" customHeight="1" s="56">
      <c r="A65" s="57" t="n"/>
      <c r="B65" s="13" t="inlineStr">
        <is>
          <t xml:space="preserve">  USES</t>
        </is>
      </c>
      <c r="C65" s="12">
        <f>IFERROR(VLOOKUP($C$4,_d_runes!$A:$BA,50,0),"")</f>
        <v/>
      </c>
      <c r="D65" s="57" t="n"/>
    </row>
    <row r="66" ht="3" customHeight="1" s="56">
      <c r="A66" s="57" t="n"/>
    </row>
    <row r="67" ht="5.1" customHeight="1" s="56">
      <c r="A67" s="57" t="n"/>
    </row>
    <row r="68" ht="14.1" customHeight="1" s="56">
      <c r="A68" s="83" t="inlineStr">
        <is>
          <t xml:space="preserve">  📜  DESCRIPTION, FOLKLORE &amp; GEOLOGY</t>
        </is>
      </c>
    </row>
    <row r="69" ht="99.95" customHeight="1" s="56">
      <c r="A69" s="57" t="n"/>
      <c r="B69" s="31" t="inlineStr">
        <is>
          <t>DESCRIPTION</t>
        </is>
      </c>
      <c r="C69" s="19">
        <f>IFERROR(VLOOKUP($C$4,_d_runes!$A:$BA,15,0),"")</f>
        <v/>
      </c>
      <c r="D69" s="57" t="n"/>
    </row>
    <row r="70" ht="3" customHeight="1" s="56">
      <c r="A70" s="57" t="n"/>
    </row>
    <row r="71" ht="80.09999999999999" customHeight="1" s="56">
      <c r="A71" s="57" t="n"/>
      <c r="B71" s="31" t="inlineStr">
        <is>
          <t>FOLK LORE</t>
        </is>
      </c>
      <c r="C71" s="19">
        <f>IFERROR(VLOOKUP($C$4,_d_runes!$A:$BA,13,0),"")</f>
        <v/>
      </c>
      <c r="D71" s="57" t="n"/>
    </row>
    <row r="72" ht="3" customHeight="1" s="56">
      <c r="A72" s="57" t="n"/>
    </row>
    <row r="73" ht="5.1" customHeight="1" s="56">
      <c r="A73" s="57" t="n"/>
    </row>
    <row r="74" ht="18" customHeight="1" s="56">
      <c r="A74" s="89" t="inlineStr">
        <is>
          <t>The Greenman Magical Database  ✦  24 entries</t>
        </is>
      </c>
    </row>
  </sheetData>
  <mergeCells count="38">
    <mergeCell ref="A5:D5"/>
    <mergeCell ref="A17:D17"/>
    <mergeCell ref="A8:D8"/>
    <mergeCell ref="A35:D35"/>
    <mergeCell ref="A38:D38"/>
    <mergeCell ref="A72:D72"/>
    <mergeCell ref="A29:D29"/>
    <mergeCell ref="A52:D52"/>
    <mergeCell ref="A43:D43"/>
    <mergeCell ref="A63:D63"/>
    <mergeCell ref="A10:D10"/>
    <mergeCell ref="A28:D28"/>
    <mergeCell ref="A13:D13"/>
    <mergeCell ref="A68:D68"/>
    <mergeCell ref="A9:D9"/>
    <mergeCell ref="A67:D67"/>
    <mergeCell ref="A73:D73"/>
    <mergeCell ref="A49:D49"/>
    <mergeCell ref="A11:D11"/>
    <mergeCell ref="A60:D60"/>
    <mergeCell ref="A1:D1"/>
    <mergeCell ref="A70:D70"/>
    <mergeCell ref="A6:D6"/>
    <mergeCell ref="A7:D7"/>
    <mergeCell ref="A41:D41"/>
    <mergeCell ref="A46:D46"/>
    <mergeCell ref="A66:D66"/>
    <mergeCell ref="A4:B4"/>
    <mergeCell ref="A18:D18"/>
    <mergeCell ref="A56:D56"/>
    <mergeCell ref="A74:D74"/>
    <mergeCell ref="A3:D3"/>
    <mergeCell ref="A55:D55"/>
    <mergeCell ref="A57:D57"/>
    <mergeCell ref="A2:D2"/>
    <mergeCell ref="A42:D42"/>
    <mergeCell ref="A32:D32"/>
    <mergeCell ref="A14:D14"/>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300-000000000000}">
          <x14:formula1>
            <xm:f>_d_runes!$BA$2:$BA$25</xm:f>
          </x14:formula1>
          <xm:sqref>C4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D70"/>
  <sheetViews>
    <sheetView showGridLines="0" workbookViewId="0">
      <pane ySplit="4" topLeftCell="A14" activePane="bottomLeft" state="frozen"/>
      <selection pane="bottomLeft" activeCell="C4" sqref="C4"/>
    </sheetView>
  </sheetViews>
  <sheetFormatPr baseColWidth="8" defaultRowHeight="15"/>
  <cols>
    <col width="1.4765625" customWidth="1" style="56" min="1" max="1"/>
    <col width="14.9296875" customWidth="1" style="56" min="2" max="2"/>
    <col width="29.0546875" customWidth="1" style="56" min="3" max="3"/>
    <col width="1.4765625" customWidth="1" style="56" min="4" max="4"/>
  </cols>
  <sheetData>
    <row r="1" ht="3" customHeight="1" s="56">
      <c r="A1" s="94" t="n"/>
    </row>
    <row r="2" ht="44.1" customHeight="1" s="56">
      <c r="A2" s="99" t="inlineStr">
        <is>
          <t>☽  The Greenman Deity Oracle  ☽</t>
        </is>
      </c>
    </row>
    <row r="3" ht="3" customHeight="1" s="56">
      <c r="A3" s="91" t="n"/>
    </row>
    <row r="4" ht="32.1" customHeight="1" s="56">
      <c r="A4" s="98" t="inlineStr">
        <is>
          <t xml:space="preserve">  ☽ Select Deity:</t>
        </is>
      </c>
      <c r="C4" s="37" t="inlineStr">
        <is>
          <t>AMBERELLA</t>
        </is>
      </c>
      <c r="D4" s="94" t="n"/>
    </row>
    <row r="5" ht="3" customHeight="1" s="56">
      <c r="A5" s="91" t="n"/>
    </row>
    <row r="6" ht="14.1" customHeight="1" s="56">
      <c r="A6" s="96" t="inlineStr">
        <is>
          <t xml:space="preserve">  ☽  IDENTITY</t>
        </is>
      </c>
    </row>
    <row r="7" ht="42" customHeight="1" s="56">
      <c r="A7" s="97">
        <f>IFERROR("☽  "&amp;VLOOKUP($C$4,_d_deities!$A:$BD,1,0)&amp;"  ☽","")</f>
        <v/>
      </c>
    </row>
    <row r="8" ht="20.1" customHeight="1" s="56">
      <c r="A8" s="92">
        <f>IFERROR(VLOOKUP($C$4,_d_deities!$A:$BD,2,0)&amp;"   ·   "&amp;VLOOKUP($C$4,_d_deities!$A:$BD,3,0)&amp;"   ·   "&amp;VLOOKUP($C$4,_d_deities!$A:$BD,7,0),"")</f>
        <v/>
      </c>
    </row>
    <row r="9" ht="3" customHeight="1" s="56">
      <c r="A9" s="91" t="n"/>
    </row>
    <row r="10" ht="14.1" customHeight="1" s="56">
      <c r="A10" s="93" t="inlineStr">
        <is>
          <t xml:space="preserve">  📖  DESCRIPTION</t>
        </is>
      </c>
    </row>
    <row r="11" ht="50.1" customHeight="1" s="56">
      <c r="A11" s="57" t="n"/>
      <c r="B11" s="38" t="inlineStr">
        <is>
          <t>DESCRIPTION</t>
        </is>
      </c>
      <c r="C11" s="26">
        <f>IFERROR(VLOOKUP($C$4,_d_deities!$A:$BD,10,0),"")</f>
        <v/>
      </c>
      <c r="D11" s="57" t="n"/>
    </row>
    <row r="12" ht="5.1" customHeight="1" s="56">
      <c r="A12" s="57" t="n"/>
    </row>
    <row r="13" ht="14.1" customHeight="1" s="56">
      <c r="A13" s="93" t="inlineStr">
        <is>
          <t xml:space="preserve">  🔮  MAGICAL USES</t>
        </is>
      </c>
    </row>
    <row r="14" ht="80.09999999999999" customHeight="1" s="56">
      <c r="A14" s="57" t="n"/>
      <c r="B14" s="38" t="inlineStr">
        <is>
          <t>MAGICAL USES</t>
        </is>
      </c>
      <c r="C14" s="9">
        <f>IFERROR(VLOOKUP($C$4,_d_deities!$A:$BD,8,0),"")</f>
        <v/>
      </c>
      <c r="D14" s="57" t="n"/>
    </row>
    <row r="15" ht="5.1" customHeight="1" s="56">
      <c r="A15" s="57" t="n"/>
    </row>
    <row r="16" ht="14.1" customHeight="1" s="56">
      <c r="A16" s="93" t="inlineStr">
        <is>
          <t xml:space="preserve">  🌿  GREEN ENERGY</t>
        </is>
      </c>
    </row>
    <row r="17" ht="69.95" customHeight="1" s="56">
      <c r="A17" s="57" t="n"/>
      <c r="B17" s="38" t="inlineStr">
        <is>
          <t>GREEN ENERGY</t>
        </is>
      </c>
      <c r="C17" s="28">
        <f>IFERROR(VLOOKUP($C$4,_d_deities!$A:$BD,12,0),"")</f>
        <v/>
      </c>
      <c r="D17" s="57" t="n"/>
    </row>
    <row r="18" ht="5.1" customHeight="1" s="56">
      <c r="A18" s="57" t="n"/>
    </row>
    <row r="19" ht="14.1" customHeight="1" s="56">
      <c r="A19" s="93" t="inlineStr">
        <is>
          <t xml:space="preserve">  📖  ASSOCIATIONS</t>
        </is>
      </c>
    </row>
    <row r="20" ht="20.1" customHeight="1" s="56">
      <c r="A20" s="57" t="n"/>
      <c r="B20" s="10" t="inlineStr">
        <is>
          <t>ELEMENT</t>
        </is>
      </c>
      <c r="C20" s="11">
        <f>IFERROR(VLOOKUP($C$4,_d_deities!$A:$BD,4,0),"")</f>
        <v/>
      </c>
      <c r="D20" s="57" t="n"/>
    </row>
    <row r="21" ht="20.1" customHeight="1" s="56">
      <c r="A21" s="57" t="n"/>
      <c r="B21" s="10" t="inlineStr">
        <is>
          <t>PLANET</t>
        </is>
      </c>
      <c r="C21" s="11">
        <f>IFERROR(VLOOKUP($C$4,_d_deities!$A:$BD,5,0),"")</f>
        <v/>
      </c>
      <c r="D21" s="57" t="n"/>
    </row>
    <row r="22" ht="20.1" customHeight="1" s="56">
      <c r="A22" s="57" t="n"/>
      <c r="B22" s="10" t="inlineStr">
        <is>
          <t>SACRED DAY</t>
        </is>
      </c>
      <c r="C22" s="11">
        <f>IFERROR(VLOOKUP($C$4,_d_deities!$A:$BD,6,0),"")</f>
        <v/>
      </c>
      <c r="D22" s="57" t="n"/>
    </row>
    <row r="23" ht="20.1" customHeight="1" s="56">
      <c r="A23" s="57" t="n"/>
      <c r="B23" s="10" t="inlineStr">
        <is>
          <t>SEASON</t>
        </is>
      </c>
      <c r="C23" s="11">
        <f>IFERROR(VLOOKUP($C$4,_d_deities!$A:$BD,7,0),"")</f>
        <v/>
      </c>
      <c r="D23" s="57" t="n"/>
    </row>
    <row r="24" ht="20.1" customHeight="1" s="56">
      <c r="A24" s="57" t="n"/>
      <c r="B24" s="10" t="inlineStr">
        <is>
          <t>POLARITY</t>
        </is>
      </c>
      <c r="C24" s="11">
        <f>IFERROR(VLOOKUP($C$4,_d_deities!$A:$BD,3,0),"")</f>
        <v/>
      </c>
      <c r="D24" s="57" t="n"/>
    </row>
    <row r="25" ht="20.1" customHeight="1" s="56">
      <c r="A25" s="57" t="n"/>
      <c r="B25" s="10" t="inlineStr">
        <is>
          <t>TYPE</t>
        </is>
      </c>
      <c r="C25" s="11">
        <f>IFERROR(VLOOKUP($C$4,_d_deities!$A:$BD,2,0),"")</f>
        <v/>
      </c>
      <c r="D25" s="57" t="n"/>
    </row>
    <row r="26" ht="5.1" customHeight="1" s="56">
      <c r="A26" s="57" t="n"/>
    </row>
    <row r="27" ht="14.1" customHeight="1" s="56">
      <c r="A27" s="93" t="inlineStr">
        <is>
          <t xml:space="preserve">  🌿  ASSOCIATED HERBS</t>
        </is>
      </c>
    </row>
    <row r="28" ht="20.1" customHeight="1" s="56">
      <c r="A28" s="57" t="n"/>
      <c r="B28" s="10" t="inlineStr">
        <is>
          <t>HERB 1</t>
        </is>
      </c>
      <c r="C28" s="22">
        <f>IFERROR(VLOOKUP($C$4,_d_deities!$A:$BD,13,0),"")</f>
        <v/>
      </c>
      <c r="D28" s="57" t="n"/>
    </row>
    <row r="29" ht="45" customHeight="1" s="56">
      <c r="A29" s="57" t="n"/>
      <c r="B29" s="23" t="inlineStr">
        <is>
          <t xml:space="preserve">  MAGICAL USES</t>
        </is>
      </c>
      <c r="C29" s="22">
        <f>IFERROR(VLOOKUP($C$4,_d_deities!$A:$BD,14,0),"")</f>
        <v/>
      </c>
      <c r="D29" s="57" t="n"/>
    </row>
    <row r="30" ht="3" customHeight="1" s="56">
      <c r="A30" s="57" t="n"/>
    </row>
    <row r="31" ht="20.1" customHeight="1" s="56">
      <c r="A31" s="57" t="n"/>
      <c r="B31" s="10" t="inlineStr">
        <is>
          <t>HERB 2</t>
        </is>
      </c>
      <c r="C31" s="22">
        <f>IFERROR(VLOOKUP($C$4,_d_deities!$A:$BD,15,0),"")</f>
        <v/>
      </c>
      <c r="D31" s="57" t="n"/>
    </row>
    <row r="32" ht="45" customHeight="1" s="56">
      <c r="A32" s="57" t="n"/>
      <c r="B32" s="23" t="inlineStr">
        <is>
          <t xml:space="preserve">  MAGICAL USES</t>
        </is>
      </c>
      <c r="C32" s="22">
        <f>IFERROR(VLOOKUP($C$4,_d_deities!$A:$BD,16,0),"")</f>
        <v/>
      </c>
      <c r="D32" s="57" t="n"/>
    </row>
    <row r="33" ht="3" customHeight="1" s="56">
      <c r="A33" s="57" t="n"/>
    </row>
    <row r="34" ht="20.1" customHeight="1" s="56">
      <c r="A34" s="57" t="n"/>
      <c r="B34" s="10" t="inlineStr">
        <is>
          <t>HERB 3</t>
        </is>
      </c>
      <c r="C34" s="22">
        <f>IFERROR(VLOOKUP($C$4,_d_deities!$A:$BD,17,0),"")</f>
        <v/>
      </c>
      <c r="D34" s="57" t="n"/>
    </row>
    <row r="35" ht="45" customHeight="1" s="56">
      <c r="A35" s="57" t="n"/>
      <c r="B35" s="23" t="inlineStr">
        <is>
          <t xml:space="preserve">  MAGICAL USES</t>
        </is>
      </c>
      <c r="C35" s="22">
        <f>IFERROR(VLOOKUP($C$4,_d_deities!$A:$BD,18,0),"")</f>
        <v/>
      </c>
      <c r="D35" s="57" t="n"/>
    </row>
    <row r="36" ht="3" customHeight="1" s="56">
      <c r="A36" s="57" t="n"/>
    </row>
    <row r="37" ht="20.1" customHeight="1" s="56">
      <c r="A37" s="57" t="n"/>
      <c r="B37" s="10" t="inlineStr">
        <is>
          <t>HERB 4</t>
        </is>
      </c>
      <c r="C37" s="22">
        <f>IFERROR(VLOOKUP($C$4,_d_deities!$A:$BD,19,0),"")</f>
        <v/>
      </c>
      <c r="D37" s="57" t="n"/>
    </row>
    <row r="38" ht="45" customHeight="1" s="56">
      <c r="A38" s="57" t="n"/>
      <c r="B38" s="23" t="inlineStr">
        <is>
          <t xml:space="preserve">  MAGICAL USES</t>
        </is>
      </c>
      <c r="C38" s="22">
        <f>IFERROR(VLOOKUP($C$4,_d_deities!$A:$BD,20,0),"")</f>
        <v/>
      </c>
      <c r="D38" s="57" t="n"/>
    </row>
    <row r="39" ht="3" customHeight="1" s="56">
      <c r="A39" s="57" t="n"/>
    </row>
    <row r="40" ht="20.1" customHeight="1" s="56">
      <c r="A40" s="57" t="n"/>
      <c r="B40" s="10" t="inlineStr">
        <is>
          <t>HERB 5</t>
        </is>
      </c>
      <c r="C40" s="22">
        <f>IFERROR(VLOOKUP($C$4,_d_deities!$A:$BD,21,0),"")</f>
        <v/>
      </c>
      <c r="D40" s="57" t="n"/>
    </row>
    <row r="41" ht="45" customHeight="1" s="56">
      <c r="A41" s="57" t="n"/>
      <c r="B41" s="23" t="inlineStr">
        <is>
          <t xml:space="preserve">  MAGICAL USES</t>
        </is>
      </c>
      <c r="C41" s="22">
        <f>IFERROR(VLOOKUP($C$4,_d_deities!$A:$BD,22,0),"")</f>
        <v/>
      </c>
      <c r="D41" s="57" t="n"/>
    </row>
    <row r="42" ht="3" customHeight="1" s="56">
      <c r="A42" s="57" t="n"/>
    </row>
    <row r="43" ht="20.1" customHeight="1" s="56">
      <c r="A43" s="57" t="n"/>
      <c r="B43" s="10" t="inlineStr">
        <is>
          <t>HERB 6</t>
        </is>
      </c>
      <c r="C43" s="22">
        <f>IFERROR(VLOOKUP($C$4,_d_deities!$A:$BD,23,0),"")</f>
        <v/>
      </c>
      <c r="D43" s="57" t="n"/>
    </row>
    <row r="44" ht="45" customHeight="1" s="56">
      <c r="A44" s="57" t="n"/>
      <c r="B44" s="23" t="inlineStr">
        <is>
          <t xml:space="preserve">  MAGICAL USES</t>
        </is>
      </c>
      <c r="C44" s="22">
        <f>IFERROR(VLOOKUP($C$4,_d_deities!$A:$BD,24,0),"")</f>
        <v/>
      </c>
      <c r="D44" s="57" t="n"/>
    </row>
    <row r="45" ht="3" customHeight="1" s="56">
      <c r="A45" s="57" t="n"/>
    </row>
    <row r="46" ht="5.1" customHeight="1" s="56">
      <c r="A46" s="57" t="n"/>
    </row>
    <row r="47" ht="14.1" customHeight="1" s="56">
      <c r="A47" s="93" t="inlineStr">
        <is>
          <t xml:space="preserve">  ◈  ASSOCIATED CRYSTALS</t>
        </is>
      </c>
    </row>
    <row r="48" ht="60" customHeight="1" s="56">
      <c r="A48" s="57" t="n"/>
      <c r="B48" s="38" t="inlineStr">
        <is>
          <t>CRYSTALS</t>
        </is>
      </c>
      <c r="C48" s="14">
        <f>IFERROR(VLOOKUP($C$4,_d_deities!$A:$BD,53,0),"")</f>
        <v/>
      </c>
      <c r="D48" s="57" t="n"/>
    </row>
    <row r="49" ht="5.1" customHeight="1" s="56">
      <c r="A49" s="57" t="n"/>
    </row>
    <row r="50" ht="14.1" customHeight="1" s="56">
      <c r="A50" s="93" t="inlineStr">
        <is>
          <t xml:space="preserve">  🫙  ASSOCIATED OILS</t>
        </is>
      </c>
    </row>
    <row r="51" ht="50.1" customHeight="1" s="56">
      <c r="A51" s="57" t="n"/>
      <c r="B51" s="38" t="inlineStr">
        <is>
          <t>OILS</t>
        </is>
      </c>
      <c r="C51" s="12">
        <f>IFERROR(VLOOKUP($C$4,_d_deities!$A:$BD,54,0),"")</f>
        <v/>
      </c>
      <c r="D51" s="57" t="n"/>
    </row>
    <row r="52" ht="5.1" customHeight="1" s="56">
      <c r="A52" s="57" t="n"/>
    </row>
    <row r="53" ht="14.1" customHeight="1" s="56">
      <c r="A53" s="93" t="inlineStr">
        <is>
          <t xml:space="preserve">  ᚛  ASSOCIATED RUNES</t>
        </is>
      </c>
    </row>
    <row r="54" ht="20.1" customHeight="1" s="56">
      <c r="A54" s="57" t="n"/>
      <c r="B54" s="10" t="inlineStr">
        <is>
          <t>RUNE 1</t>
        </is>
      </c>
      <c r="C54" s="16">
        <f>IFERROR(IF(VLOOKUP($C$4,_d_deities!$A:$BD,41,0)="","",VLOOKUP($C$4,_d_deities!$A:$BD,41,0)&amp;"  ("&amp;VLOOKUP($C$4,_d_deities!$A:$BD,42,0)&amp;")"),"")</f>
        <v/>
      </c>
      <c r="D54" s="57" t="n"/>
    </row>
    <row r="55" ht="45" customHeight="1" s="56">
      <c r="A55" s="57" t="n"/>
      <c r="B55" s="17" t="inlineStr">
        <is>
          <t xml:space="preserve">  MAGICAL USES</t>
        </is>
      </c>
      <c r="C55" s="16">
        <f>IFERROR(VLOOKUP($C$4,_d_deities!$A:$BD,43,0),"")</f>
        <v/>
      </c>
      <c r="D55" s="57" t="n"/>
    </row>
    <row r="56" ht="3" customHeight="1" s="56">
      <c r="A56" s="57" t="n"/>
    </row>
    <row r="57" ht="20.1" customHeight="1" s="56">
      <c r="A57" s="57" t="n"/>
      <c r="B57" s="10" t="inlineStr">
        <is>
          <t>RUNE 2</t>
        </is>
      </c>
      <c r="C57" s="16">
        <f>IFERROR(IF(VLOOKUP($C$4,_d_deities!$A:$BD,44,0)="","",VLOOKUP($C$4,_d_deities!$A:$BD,44,0)&amp;"  ("&amp;VLOOKUP($C$4,_d_deities!$A:$BD,45,0)&amp;")"),"")</f>
        <v/>
      </c>
      <c r="D57" s="57" t="n"/>
    </row>
    <row r="58" ht="45" customHeight="1" s="56">
      <c r="A58" s="57" t="n"/>
      <c r="B58" s="17" t="inlineStr">
        <is>
          <t xml:space="preserve">  MAGICAL USES</t>
        </is>
      </c>
      <c r="C58" s="16">
        <f>IFERROR(VLOOKUP($C$4,_d_deities!$A:$BD,46,0),"")</f>
        <v/>
      </c>
      <c r="D58" s="57" t="n"/>
    </row>
    <row r="59" ht="3" customHeight="1" s="56">
      <c r="A59" s="57" t="n"/>
    </row>
    <row r="60" ht="20.1" customHeight="1" s="56">
      <c r="A60" s="57" t="n"/>
      <c r="B60" s="10" t="inlineStr">
        <is>
          <t>RUNE 3</t>
        </is>
      </c>
      <c r="C60" s="16">
        <f>IFERROR(IF(VLOOKUP($C$4,_d_deities!$A:$BD,47,0)="","",VLOOKUP($C$4,_d_deities!$A:$BD,47,0)&amp;"  ("&amp;VLOOKUP($C$4,_d_deities!$A:$BD,48,0)&amp;")"),"")</f>
        <v/>
      </c>
      <c r="D60" s="57" t="n"/>
    </row>
    <row r="61" ht="45" customHeight="1" s="56">
      <c r="A61" s="57" t="n"/>
      <c r="B61" s="17" t="inlineStr">
        <is>
          <t xml:space="preserve">  MAGICAL USES</t>
        </is>
      </c>
      <c r="C61" s="16">
        <f>IFERROR(VLOOKUP($C$4,_d_deities!$A:$BD,49,0),"")</f>
        <v/>
      </c>
      <c r="D61" s="57" t="n"/>
    </row>
    <row r="62" ht="3" customHeight="1" s="56">
      <c r="A62" s="57" t="n"/>
    </row>
    <row r="63" ht="20.1" customHeight="1" s="56">
      <c r="A63" s="57" t="n"/>
      <c r="B63" s="10" t="inlineStr">
        <is>
          <t>RUNE 4</t>
        </is>
      </c>
      <c r="C63" s="16">
        <f>IFERROR(IF(VLOOKUP($C$4,_d_deities!$A:$BD,50,0)="","",VLOOKUP($C$4,_d_deities!$A:$BD,50,0)&amp;"  ("&amp;VLOOKUP($C$4,_d_deities!$A:$BD,51,0)&amp;")"),"")</f>
        <v/>
      </c>
      <c r="D63" s="57" t="n"/>
    </row>
    <row r="64" ht="45" customHeight="1" s="56">
      <c r="A64" s="57" t="n"/>
      <c r="B64" s="17" t="inlineStr">
        <is>
          <t xml:space="preserve">  MAGICAL USES</t>
        </is>
      </c>
      <c r="C64" s="16">
        <f>IFERROR(VLOOKUP($C$4,_d_deities!$A:$BD,52,0),"")</f>
        <v/>
      </c>
      <c r="D64" s="57" t="n"/>
    </row>
    <row r="65" ht="3" customHeight="1" s="56">
      <c r="A65" s="57" t="n"/>
    </row>
    <row r="66" ht="5.1" customHeight="1" s="56">
      <c r="A66" s="57" t="n"/>
    </row>
    <row r="67" ht="14.1" customHeight="1" s="56">
      <c r="A67" s="93" t="inlineStr">
        <is>
          <t xml:space="preserve">  ✨  FAMOUS MAGIC &amp; MYTHOLOGY</t>
        </is>
      </c>
    </row>
    <row r="68" ht="99.95" customHeight="1" s="56">
      <c r="A68" s="57" t="n"/>
      <c r="B68" s="38" t="inlineStr">
        <is>
          <t>FAMOUS MAGIC</t>
        </is>
      </c>
      <c r="C68" s="27">
        <f>IFERROR(VLOOKUP($C$4,_d_deities!$A:$BD,11,0),"")</f>
        <v/>
      </c>
      <c r="D68" s="57" t="n"/>
    </row>
    <row r="69" ht="5.1" customHeight="1" s="56">
      <c r="A69" s="57" t="n"/>
    </row>
    <row r="70" ht="18" customHeight="1" s="56">
      <c r="A70" s="95" t="inlineStr">
        <is>
          <t>The Greenman Magical Database  ✦  105 deities &amp; entities</t>
        </is>
      </c>
    </row>
  </sheetData>
  <mergeCells count="38">
    <mergeCell ref="A5:D5"/>
    <mergeCell ref="A8:D8"/>
    <mergeCell ref="A53:D53"/>
    <mergeCell ref="A62:D62"/>
    <mergeCell ref="A52:D52"/>
    <mergeCell ref="A19:D19"/>
    <mergeCell ref="A10:D10"/>
    <mergeCell ref="A13:D13"/>
    <mergeCell ref="A9:D9"/>
    <mergeCell ref="A67:D67"/>
    <mergeCell ref="A30:D30"/>
    <mergeCell ref="A39:D39"/>
    <mergeCell ref="A15:D15"/>
    <mergeCell ref="A59:D59"/>
    <mergeCell ref="A49:D49"/>
    <mergeCell ref="A36:D36"/>
    <mergeCell ref="A1:D1"/>
    <mergeCell ref="A45:D45"/>
    <mergeCell ref="A70:D70"/>
    <mergeCell ref="A6:D6"/>
    <mergeCell ref="A69:D69"/>
    <mergeCell ref="A7:D7"/>
    <mergeCell ref="A65:D65"/>
    <mergeCell ref="A16:D16"/>
    <mergeCell ref="A46:D46"/>
    <mergeCell ref="A66:D66"/>
    <mergeCell ref="A4:B4"/>
    <mergeCell ref="A18:D18"/>
    <mergeCell ref="A27:D27"/>
    <mergeCell ref="A56:D56"/>
    <mergeCell ref="A12:D12"/>
    <mergeCell ref="A50:D50"/>
    <mergeCell ref="A26:D26"/>
    <mergeCell ref="A3:D3"/>
    <mergeCell ref="A33:D33"/>
    <mergeCell ref="A2:D2"/>
    <mergeCell ref="A47:D47"/>
    <mergeCell ref="A42:D42"/>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400-000000000000}">
          <x14:formula1>
            <xm:f>_d_deities!$BC$2:$BC$106</xm:f>
          </x14:formula1>
          <xm:sqref>C4</xm:sqref>
        </x14:dataValidation>
      </x14:dataValidations>
    </ext>
  </extLst>
</worksheet>
</file>

<file path=xl/worksheets/sheet6.xml><?xml version="1.0" encoding="utf-8"?>
<worksheet xmlns="http://schemas.openxmlformats.org/spreadsheetml/2006/main">
  <sheetPr>
    <outlinePr summaryBelow="1" summaryRight="1"/>
    <pageSetUpPr/>
  </sheetPr>
  <dimension ref="A1:C49"/>
  <sheetViews>
    <sheetView showGridLines="0" topLeftCell="A2" workbookViewId="0">
      <selection activeCell="A1" sqref="A1"/>
    </sheetView>
  </sheetViews>
  <sheetFormatPr baseColWidth="8" defaultRowHeight="15"/>
  <cols>
    <col width="2.015625" customWidth="1" style="56" min="1" max="1"/>
    <col width="52.05859375" customWidth="1" style="56" min="2" max="2"/>
    <col width="2.015625" customWidth="1" style="56" min="3" max="3"/>
  </cols>
  <sheetData>
    <row r="1" ht="3.95" customHeight="1" s="56">
      <c r="A1" s="101" t="n"/>
    </row>
    <row r="2" ht="50.1" customHeight="1" s="56">
      <c r="A2" s="106" t="inlineStr">
        <is>
          <t>✦  The Greenman Magical Database  ✦</t>
        </is>
      </c>
    </row>
    <row r="3" ht="3.95" customHeight="1" s="56">
      <c r="A3" s="104" t="n"/>
    </row>
    <row r="4" ht="26.1" customHeight="1" s="56">
      <c r="A4" s="105" t="inlineStr">
        <is>
          <t>📋  How To Use</t>
        </is>
      </c>
    </row>
    <row r="5" ht="6" customHeight="1" s="56">
      <c r="A5" s="7" t="n"/>
      <c r="B5" s="7" t="n"/>
      <c r="C5" s="7" t="n"/>
    </row>
    <row r="6" ht="30" customHeight="1" s="56">
      <c r="A6" s="100" t="inlineStr">
        <is>
          <t>Use the dropdown on each sheet to select an entry. All fields update instantly.</t>
        </is>
      </c>
    </row>
    <row r="7" ht="6" customHeight="1" s="56">
      <c r="A7" s="7" t="n"/>
      <c r="B7" s="7" t="n"/>
      <c r="C7" s="7" t="n"/>
    </row>
    <row r="8" ht="21.95" customHeight="1" s="56">
      <c r="A8" s="102" t="inlineStr">
        <is>
          <t>Contents</t>
        </is>
      </c>
    </row>
    <row r="9" ht="27.95" customHeight="1" s="56">
      <c r="A9" s="100" t="inlineStr">
        <is>
          <t>🌿  Herb Lookup  —  106 herbs · magical uses · correspondences · oils, crystals &amp; runes linked</t>
        </is>
      </c>
    </row>
    <row r="10" ht="3" customHeight="1" s="56">
      <c r="A10" s="7" t="n"/>
      <c r="B10" s="7" t="n"/>
      <c r="C10" s="7" t="n"/>
    </row>
    <row r="11" ht="27.95" customHeight="1" s="56">
      <c r="A11" s="100" t="inlineStr">
        <is>
          <t>◈  Crystal Lookup  —  65 crystals · powers &amp; spiritual uses · linked herbs &amp; runes · geology</t>
        </is>
      </c>
    </row>
    <row r="12" ht="3" customHeight="1" s="56">
      <c r="A12" s="7" t="n"/>
      <c r="B12" s="7" t="n"/>
      <c r="C12" s="7" t="n"/>
    </row>
    <row r="13" ht="27.95" customHeight="1" s="56">
      <c r="A13" s="100" t="inlineStr">
        <is>
          <t>🫙  Oil Lookup  —  29 oils · magical &amp; spiritual uses · linked herbs &amp; crystals · folk lore</t>
        </is>
      </c>
    </row>
    <row r="14" ht="3" customHeight="1" s="56">
      <c r="A14" s="7" t="n"/>
      <c r="B14" s="7" t="n"/>
      <c r="C14" s="7" t="n"/>
    </row>
    <row r="15" ht="27.95" customHeight="1" s="56">
      <c r="A15" s="100" t="inlineStr">
        <is>
          <t>᚛  Rune Lookup  —  24 runes · all correspondences · every linked herb, crystal &amp; oil</t>
        </is>
      </c>
    </row>
    <row r="16" ht="3" customHeight="1" s="56">
      <c r="A16" s="7" t="n"/>
      <c r="B16" s="7" t="n"/>
      <c r="C16" s="7" t="n"/>
    </row>
    <row r="17" ht="6" customHeight="1" s="56">
      <c r="A17" s="7" t="n"/>
      <c r="B17" s="7" t="n"/>
      <c r="C17" s="7" t="n"/>
    </row>
    <row r="18" ht="20.1" customHeight="1" s="56">
      <c r="A18" s="103" t="inlineStr">
        <is>
          <t>✦  The Greenman Magical Database</t>
        </is>
      </c>
    </row>
    <row r="19">
      <c r="A19" s="7" t="n"/>
      <c r="B19" s="7" t="n"/>
      <c r="C19" s="7" t="n"/>
    </row>
    <row r="20">
      <c r="A20" s="7" t="n"/>
      <c r="B20" s="7" t="n"/>
      <c r="C20" s="7" t="n"/>
    </row>
    <row r="21">
      <c r="A21" s="7" t="n"/>
      <c r="B21" s="7" t="n"/>
      <c r="C21" s="7" t="n"/>
    </row>
    <row r="22">
      <c r="A22" s="7" t="n"/>
      <c r="B22" s="7" t="n"/>
      <c r="C22" s="7" t="n"/>
    </row>
    <row r="23">
      <c r="A23" s="7" t="n"/>
      <c r="B23" s="7" t="n"/>
      <c r="C23" s="7" t="n"/>
    </row>
    <row r="24">
      <c r="A24" s="7" t="n"/>
      <c r="B24" s="7" t="n"/>
      <c r="C24" s="7" t="n"/>
    </row>
    <row r="25">
      <c r="A25" s="7" t="n"/>
      <c r="B25" s="7" t="n"/>
      <c r="C25" s="7" t="n"/>
    </row>
    <row r="26">
      <c r="A26" s="7" t="n"/>
      <c r="B26" s="7" t="n"/>
      <c r="C26" s="7" t="n"/>
    </row>
    <row r="27">
      <c r="A27" s="7" t="n"/>
      <c r="B27" s="7" t="n"/>
      <c r="C27" s="7" t="n"/>
    </row>
    <row r="28">
      <c r="A28" s="7" t="n"/>
      <c r="B28" s="7" t="n"/>
      <c r="C28" s="7" t="n"/>
    </row>
    <row r="29">
      <c r="A29" s="7" t="n"/>
      <c r="B29" s="7" t="n"/>
      <c r="C29" s="7" t="n"/>
    </row>
    <row r="30">
      <c r="A30" s="7" t="n"/>
      <c r="B30" s="7" t="n"/>
      <c r="C30" s="7" t="n"/>
    </row>
    <row r="31">
      <c r="A31" s="7" t="n"/>
      <c r="B31" s="7" t="n"/>
      <c r="C31" s="7" t="n"/>
    </row>
    <row r="32">
      <c r="A32" s="7" t="n"/>
      <c r="B32" s="7" t="n"/>
      <c r="C32" s="7" t="n"/>
    </row>
    <row r="33">
      <c r="A33" s="7" t="n"/>
      <c r="B33" s="7" t="n"/>
      <c r="C33" s="7" t="n"/>
    </row>
    <row r="34">
      <c r="A34" s="7" t="n"/>
      <c r="B34" s="7" t="n"/>
      <c r="C34" s="7" t="n"/>
    </row>
    <row r="35">
      <c r="A35" s="7" t="n"/>
      <c r="B35" s="7" t="n"/>
      <c r="C35" s="7" t="n"/>
    </row>
    <row r="36">
      <c r="A36" s="7" t="n"/>
      <c r="B36" s="7" t="n"/>
      <c r="C36" s="7" t="n"/>
    </row>
    <row r="37">
      <c r="A37" s="7" t="n"/>
      <c r="B37" s="7" t="n"/>
      <c r="C37" s="7" t="n"/>
    </row>
    <row r="38">
      <c r="A38" s="7" t="n"/>
      <c r="B38" s="7" t="n"/>
      <c r="C38" s="7" t="n"/>
    </row>
    <row r="39">
      <c r="A39" s="7" t="n"/>
      <c r="B39" s="7" t="n"/>
      <c r="C39" s="7" t="n"/>
    </row>
    <row r="40">
      <c r="A40" s="7" t="n"/>
      <c r="B40" s="7" t="n"/>
      <c r="C40" s="7" t="n"/>
    </row>
    <row r="41">
      <c r="A41" s="7" t="n"/>
      <c r="B41" s="7" t="n"/>
      <c r="C41" s="7" t="n"/>
    </row>
    <row r="42">
      <c r="A42" s="7" t="n"/>
      <c r="B42" s="7" t="n"/>
      <c r="C42" s="7" t="n"/>
    </row>
    <row r="43">
      <c r="A43" s="7" t="n"/>
      <c r="B43" s="7" t="n"/>
      <c r="C43" s="7" t="n"/>
    </row>
    <row r="44">
      <c r="A44" s="7" t="n"/>
      <c r="B44" s="7" t="n"/>
      <c r="C44" s="7" t="n"/>
    </row>
    <row r="45">
      <c r="A45" s="7" t="n"/>
      <c r="B45" s="7" t="n"/>
      <c r="C45" s="7" t="n"/>
    </row>
    <row r="46">
      <c r="A46" s="7" t="n"/>
      <c r="B46" s="7" t="n"/>
      <c r="C46" s="7" t="n"/>
    </row>
    <row r="47">
      <c r="A47" s="7" t="n"/>
      <c r="B47" s="7" t="n"/>
      <c r="C47" s="7" t="n"/>
    </row>
    <row r="48">
      <c r="A48" s="7" t="n"/>
      <c r="B48" s="7" t="n"/>
      <c r="C48" s="7" t="n"/>
    </row>
    <row r="49">
      <c r="A49" s="7" t="n"/>
      <c r="B49" s="7" t="n"/>
      <c r="C49" s="7" t="n"/>
    </row>
  </sheetData>
  <mergeCells count="11">
    <mergeCell ref="A13:C13"/>
    <mergeCell ref="A11:C11"/>
    <mergeCell ref="A1:C1"/>
    <mergeCell ref="A8:C8"/>
    <mergeCell ref="A6:C6"/>
    <mergeCell ref="A18:C18"/>
    <mergeCell ref="A9:C9"/>
    <mergeCell ref="A3:C3"/>
    <mergeCell ref="A15:C15"/>
    <mergeCell ref="A4:C4"/>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zoomScaleNormal="100" workbookViewId="0">
      <pane ySplit="3" topLeftCell="A4" activePane="bottomLeft" state="frozen"/>
      <selection activeCell="D1" sqref="D1"/>
      <selection pane="bottomLeft" activeCell="D16" sqref="D16"/>
    </sheetView>
  </sheetViews>
  <sheetFormatPr baseColWidth="8" defaultColWidth="8.7421875" defaultRowHeight="15"/>
  <cols>
    <col width="22.05859375" customWidth="1" style="56" min="1" max="1"/>
    <col width="39.953125" customWidth="1" style="56" min="2" max="2"/>
    <col width="13.98828125" customWidth="1" style="56" min="3" max="3"/>
    <col width="59.99609375" customWidth="1" style="56" min="4" max="4"/>
    <col width="45.0625" customWidth="1" style="56" min="5" max="5"/>
  </cols>
  <sheetData>
    <row r="1" ht="37.5" customHeight="1" s="56">
      <c r="A1" s="108" t="inlineStr">
        <is>
          <t>The Greenman Magic — Workbook Index</t>
        </is>
      </c>
    </row>
    <row r="2" ht="19.5" customHeight="1" s="56">
      <c r="A2" s="107" t="inlineStr">
        <is>
          <t>A complete magical reference database — herbs, crystals, oils, runes, deities, elements, candles, numerology, planetary hours</t>
        </is>
      </c>
    </row>
    <row r="3" ht="31.5" customHeight="1" s="56">
      <c r="A3" s="1" t="inlineStr">
        <is>
          <t>Sheet Name</t>
        </is>
      </c>
      <c r="B3" s="1" t="inlineStr">
        <is>
          <t>Purpose</t>
        </is>
      </c>
      <c r="C3" s="1" t="inlineStr">
        <is>
          <t>Rows of Data</t>
        </is>
      </c>
      <c r="D3" s="1" t="inlineStr">
        <is>
          <t>Key Columns</t>
        </is>
      </c>
      <c r="E3" s="1" t="inlineStr">
        <is>
          <t>Notes</t>
        </is>
      </c>
    </row>
    <row r="4">
      <c r="A4" s="2" t="inlineStr">
        <is>
          <t>Index</t>
        </is>
      </c>
      <c r="B4" s="3" t="inlineStr">
        <is>
          <t>Navigation overview of entire workbook</t>
        </is>
      </c>
      <c r="C4" s="2" t="inlineStr">
        <is>
          <t>—</t>
        </is>
      </c>
      <c r="D4" s="3" t="inlineStr">
        <is>
          <t>Sheet Name, Purpose, Key Columns, Notes</t>
        </is>
      </c>
      <c r="E4" s="3" t="inlineStr">
        <is>
          <t>You are here</t>
        </is>
      </c>
    </row>
    <row r="5" ht="28.5" customHeight="1" s="56">
      <c r="A5" s="2" t="inlineStr">
        <is>
          <t>Spell Types</t>
        </is>
      </c>
      <c r="B5" s="3" t="inlineStr">
        <is>
          <t>60 spell and charm types with moon phase guidance</t>
        </is>
      </c>
      <c r="C5" s="2" t="inlineStr">
        <is>
          <t>60</t>
        </is>
      </c>
      <c r="D5" s="3" t="inlineStr">
        <is>
          <t>Category, Spell/Charm Type, Moon Phase</t>
        </is>
      </c>
      <c r="E5" s="3" t="inlineStr">
        <is>
          <t>Anchor list for spell builder logic</t>
        </is>
      </c>
    </row>
    <row r="6" ht="37.5" customHeight="1" s="56">
      <c r="A6" s="4" t="inlineStr">
        <is>
          <t>Herbs</t>
        </is>
      </c>
      <c r="B6" s="5" t="inlineStr">
        <is>
          <t>106 herbs with full magical, folkloric and elemental profiles</t>
        </is>
      </c>
      <c r="C6" s="4" t="inlineStr">
        <is>
          <t>106</t>
        </is>
      </c>
      <c r="D6" s="5" t="inlineStr">
        <is>
          <t>Name, Ye Olde Name, Latin Name, Magical Uses, Association, Planet, Element, Energy, Day, Deity, Sabbat, Folk Lore, Powers, Spiritual Uses, Description, Oil Name, Geology, Warning</t>
        </is>
      </c>
      <c r="E6" s="5" t="inlineStr">
        <is>
          <t>Core ingredient database. Warnings highlighted in amber.</t>
        </is>
      </c>
    </row>
    <row r="7" ht="37.5" customHeight="1" s="56">
      <c r="A7" s="2" t="inlineStr">
        <is>
          <t>Crystals</t>
        </is>
      </c>
      <c r="B7" s="3" t="inlineStr">
        <is>
          <t>65 crystals with magical properties, deity links and spiritual uses</t>
        </is>
      </c>
      <c r="C7" s="2" t="inlineStr">
        <is>
          <t>65</t>
        </is>
      </c>
      <c r="D7" s="3" t="inlineStr">
        <is>
          <t>Name, Ye Olde Name, Latin Name, Magical Uses, Association, Planet, Element, Energy, Day, Deity, Sabbat, Folk Lore, Powers, Spiritual Uses, Description, Oil Name, Geology, Warning</t>
        </is>
      </c>
      <c r="E7" s="3" t="inlineStr">
        <is>
          <t>Shares column structure with Herbs</t>
        </is>
      </c>
    </row>
    <row r="8" ht="37.5" customHeight="1" s="56">
      <c r="A8" s="4" t="inlineStr">
        <is>
          <t>Oils</t>
        </is>
      </c>
      <c r="B8" s="5" t="inlineStr">
        <is>
          <t>29 magical oils with planetary, deity and sabbat correspondences</t>
        </is>
      </c>
      <c r="C8" s="4" t="inlineStr">
        <is>
          <t>29</t>
        </is>
      </c>
      <c r="D8" s="5" t="inlineStr">
        <is>
          <t>Name, Ye Olde Name, Latin Name, Magical Uses, Association, Planet, Element, Energy, Day, Deity, Sabbat, Folklore, Powers, Spiritual Uses, Description, Oil Name, Geology, Warning</t>
        </is>
      </c>
      <c r="E8" s="5" t="inlineStr">
        <is>
          <t>Selected separately in spell construction</t>
        </is>
      </c>
    </row>
    <row r="9" ht="37.5" customHeight="1" s="56">
      <c r="A9" s="2" t="inlineStr">
        <is>
          <t>Runes</t>
        </is>
      </c>
      <c r="B9" s="3" t="inlineStr">
        <is>
          <t>24 runes with full runic profile, associated herbs and crystals</t>
        </is>
      </c>
      <c r="C9" s="2" t="inlineStr">
        <is>
          <t>24</t>
        </is>
      </c>
      <c r="D9" s="3" t="inlineStr">
        <is>
          <t>Name, Ye Olde Name, Letter, Pronunciation, Magical Uses, Association, Planet, Element, Energy, Day, Deity, Sabbat, Folk Lore, Powers, Description, Runic Number, Color, Tree, Associated Herbs, Associated Crystals</t>
        </is>
      </c>
      <c r="E9" s="3" t="inlineStr">
        <is>
          <t>Cross-reference columns link to herbs and crystals</t>
        </is>
      </c>
    </row>
    <row r="10" ht="25.5" customHeight="1" s="56">
      <c r="A10" s="4" t="inlineStr">
        <is>
          <t>Deities</t>
        </is>
      </c>
      <c r="B10" s="5" t="inlineStr">
        <is>
          <t>87 deities with magical profile, green energy and sacred associations</t>
        </is>
      </c>
      <c r="C10" s="4" t="inlineStr">
        <is>
          <t>87</t>
        </is>
      </c>
      <c r="D10" s="5" t="inlineStr">
        <is>
          <t>Name/Entity, Type, Polarity, Element, Planet, Sacred Day, Season, Magical Uses, Associated Herbs, Description, Famous Magic, Green Energy</t>
        </is>
      </c>
      <c r="E10" s="5" t="inlineStr">
        <is>
          <t>Master deity reference</t>
        </is>
      </c>
    </row>
    <row r="11" ht="25.5" customHeight="1" s="56">
      <c r="A11" s="2" t="inlineStr">
        <is>
          <t>Elements</t>
        </is>
      </c>
      <c r="B11" s="3" t="inlineStr">
        <is>
          <t>4 classical elements with direction, gender, energy and colours</t>
        </is>
      </c>
      <c r="C11" s="2" t="inlineStr">
        <is>
          <t>4</t>
        </is>
      </c>
      <c r="D11" s="3" t="inlineStr">
        <is>
          <t>Element, Gender, Direction, Energy, Colors</t>
        </is>
      </c>
      <c r="E11" s="3" t="inlineStr">
        <is>
          <t>Reference for elemental herb filtering</t>
        </is>
      </c>
    </row>
    <row r="12">
      <c r="A12" s="4" t="inlineStr">
        <is>
          <t>Candles</t>
        </is>
      </c>
      <c r="B12" s="5" t="inlineStr">
        <is>
          <t>13 candle colours with magical purpose and intention</t>
        </is>
      </c>
      <c r="C12" s="4" t="inlineStr">
        <is>
          <t>13</t>
        </is>
      </c>
      <c r="D12" s="5" t="inlineStr">
        <is>
          <t>Color, Magical Purpose</t>
        </is>
      </c>
      <c r="E12" s="5" t="inlineStr">
        <is>
          <t>Match candle colour to spell intention</t>
        </is>
      </c>
    </row>
    <row r="13" ht="25.5" customHeight="1" s="56">
      <c r="A13" s="2" t="inlineStr">
        <is>
          <t>Numerology</t>
        </is>
      </c>
      <c r="B13" s="3" t="inlineStr">
        <is>
          <t>9 numerological numbers with planetary and elemental links</t>
        </is>
      </c>
      <c r="C13" s="2" t="inlineStr">
        <is>
          <t>9</t>
        </is>
      </c>
      <c r="D13" s="3" t="inlineStr">
        <is>
          <t>Number, Planet, Element, Letters, Energies</t>
        </is>
      </c>
      <c r="E13" s="3" t="inlineStr">
        <is>
          <t>Links numbers to planets and elements</t>
        </is>
      </c>
    </row>
    <row r="14" ht="25.5" customHeight="1" s="56">
      <c r="A14" s="4" t="inlineStr">
        <is>
          <t>Planets</t>
        </is>
      </c>
      <c r="B14" s="5" t="inlineStr">
        <is>
          <t>168 planetary hour entries — ruling planet by day and hour</t>
        </is>
      </c>
      <c r="C14" s="4" t="inlineStr">
        <is>
          <t>168</t>
        </is>
      </c>
      <c r="D14" s="5" t="inlineStr">
        <is>
          <t>Day, Description, Planet</t>
        </is>
      </c>
      <c r="E14" s="5" t="inlineStr">
        <is>
          <t>Full 7-day planetary hour table from sunrise</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AG110"/>
  <sheetViews>
    <sheetView tabSelected="1" zoomScaleNormal="100" workbookViewId="0">
      <pane xSplit="1" ySplit="1" topLeftCell="B4" activePane="bottomRight" state="frozen"/>
      <selection pane="bottomLeft" activeCell="A2" sqref="A2"/>
      <selection pane="topRight" activeCell="B1" sqref="B1"/>
      <selection pane="bottomRight" activeCell="A1" sqref="A1:A1048576"/>
    </sheetView>
  </sheetViews>
  <sheetFormatPr baseColWidth="8" defaultColWidth="8.7421875" defaultRowHeight="15"/>
  <cols>
    <col width="19.90625" customWidth="1" style="56" min="1" max="1"/>
    <col width="32.015625" customWidth="1" style="56" min="2" max="2"/>
    <col width="16.0078125" customWidth="1" style="56" min="3" max="3"/>
    <col width="11.97265625" customWidth="1" style="56" min="4" max="6"/>
    <col width="13.98828125" customWidth="1" style="56" min="7" max="7"/>
    <col width="16.0078125" customWidth="1" style="56" min="8" max="8"/>
    <col width="13.98828125" customWidth="1" style="56" min="9" max="9"/>
    <col width="20.04296875" customWidth="1" style="56" min="10" max="10"/>
    <col width="9.953125" customWidth="1" style="56" min="11" max="11"/>
    <col width="25.01953125" customWidth="1" style="56" min="12" max="12"/>
    <col width="11.97265625" customWidth="1" style="56" min="13" max="13"/>
    <col width="50.04296875" customWidth="1" style="56" min="14" max="14"/>
    <col width="9.953125" customWidth="1" style="56" min="15" max="15"/>
    <col width="39.953125" customWidth="1" style="56" min="16" max="16"/>
    <col width="9.953125" customWidth="1" style="56" min="17" max="17"/>
    <col width="34.97265625" customWidth="1" style="56" min="18" max="18"/>
    <col width="9.953125" customWidth="1" style="56" min="19" max="19"/>
    <col width="29.99609375" customWidth="1" style="56" min="20" max="20"/>
    <col width="9.953125" customWidth="1" style="56" min="21" max="21"/>
    <col width="50.04296875" customWidth="1" style="56" min="22" max="22"/>
    <col width="9.953125" customWidth="1" style="56" min="23" max="23"/>
  </cols>
  <sheetData>
    <row r="1" ht="31.5" customHeight="1" s="56">
      <c r="A1" s="1" t="inlineStr">
        <is>
          <t>Category</t>
        </is>
      </c>
      <c r="B1" s="1" t="inlineStr">
        <is>
          <t>Spell/Charm Type</t>
        </is>
      </c>
      <c r="C1" s="1" t="inlineStr">
        <is>
          <t>Moon Phase</t>
        </is>
      </c>
      <c r="D1" s="39" t="inlineStr">
        <is>
          <t>Element</t>
        </is>
      </c>
      <c r="E1" s="39" t="inlineStr">
        <is>
          <t>Planet</t>
        </is>
      </c>
      <c r="F1" s="39" t="inlineStr">
        <is>
          <t>Sacred Day</t>
        </is>
      </c>
      <c r="G1" s="39" t="inlineStr">
        <is>
          <t>Candle Colour</t>
        </is>
      </c>
      <c r="H1" s="39" t="inlineStr">
        <is>
          <t>Elemental Direction</t>
        </is>
      </c>
      <c r="I1" s="39" t="inlineStr">
        <is>
          <t>Elemental Energy</t>
        </is>
      </c>
      <c r="J1" s="39" t="inlineStr">
        <is>
          <t>Elemental Colors</t>
        </is>
      </c>
      <c r="K1" s="39" t="inlineStr">
        <is>
          <t>Numerology Number</t>
        </is>
      </c>
      <c r="L1" s="39" t="inlineStr">
        <is>
          <t>Numerology Energies</t>
        </is>
      </c>
      <c r="M1" s="39" t="inlineStr">
        <is>
          <t>Herb Count</t>
        </is>
      </c>
      <c r="N1" s="39" t="inlineStr">
        <is>
          <t>Matching Herbs</t>
        </is>
      </c>
      <c r="O1" s="39" t="inlineStr">
        <is>
          <t>Herb Count Total</t>
        </is>
      </c>
      <c r="P1" s="39" t="inlineStr">
        <is>
          <t>Matching Crystals</t>
        </is>
      </c>
      <c r="Q1" s="39" t="inlineStr">
        <is>
          <t>Crystal Count</t>
        </is>
      </c>
      <c r="R1" s="39" t="inlineStr">
        <is>
          <t>Matching Oils</t>
        </is>
      </c>
      <c r="S1" s="39" t="inlineStr">
        <is>
          <t>Oil Count</t>
        </is>
      </c>
      <c r="T1" s="39" t="inlineStr">
        <is>
          <t>Matching Runes</t>
        </is>
      </c>
      <c r="U1" s="39" t="inlineStr">
        <is>
          <t>Rune Count</t>
        </is>
      </c>
      <c r="V1" s="39" t="inlineStr">
        <is>
          <t>Matching Deities</t>
        </is>
      </c>
      <c r="W1" s="39" t="inlineStr">
        <is>
          <t>Deity Count</t>
        </is>
      </c>
      <c r="X1" t="inlineStr">
        <is>
          <t>Greenman Energy Mode</t>
        </is>
      </c>
      <c r="Y1" t="inlineStr">
        <is>
          <t>Secondary Energy Hint</t>
        </is>
      </c>
      <c r="Z1" t="inlineStr">
        <is>
          <t>Recommended Spell Method</t>
        </is>
      </c>
      <c r="AA1" t="inlineStr">
        <is>
          <t>Jar Allowed</t>
        </is>
      </c>
      <c r="AB1" t="inlineStr">
        <is>
          <t>Smoke and Flame Allowed</t>
        </is>
      </c>
      <c r="AC1" t="inlineStr">
        <is>
          <t>Charm Bag Allowed</t>
        </is>
      </c>
      <c r="AD1" t="inlineStr">
        <is>
          <t>Wording Focus</t>
        </is>
      </c>
      <c r="AE1" t="inlineStr">
        <is>
          <t>Instruction Notes</t>
        </is>
      </c>
      <c r="AF1" t="inlineStr">
        <is>
          <t>Primary Placement</t>
        </is>
      </c>
      <c r="AG1" t="inlineStr">
        <is>
          <t>Other Placements</t>
        </is>
      </c>
    </row>
    <row r="2" ht="60" customHeight="1" s="56">
      <c r="A2" s="3" t="inlineStr">
        <is>
          <t>Over 18 🔞</t>
        </is>
      </c>
      <c r="B2" s="3" t="inlineStr">
        <is>
          <t>Aphrodisiac</t>
        </is>
      </c>
      <c r="C2" s="2" t="inlineStr">
        <is>
          <t>Waxing</t>
        </is>
      </c>
      <c r="D2" s="40" t="inlineStr">
        <is>
          <t>Fire</t>
        </is>
      </c>
      <c r="E2" s="40" t="inlineStr">
        <is>
          <t>Mars</t>
        </is>
      </c>
      <c r="F2" s="40" t="inlineStr">
        <is>
          <t>Tuesday</t>
        </is>
      </c>
      <c r="G2" s="40" t="inlineStr">
        <is>
          <t>Red</t>
        </is>
      </c>
      <c r="H2" s="40" t="inlineStr">
        <is>
          <t>South</t>
        </is>
      </c>
      <c r="I2" s="40" t="inlineStr">
        <is>
          <t>Projective</t>
        </is>
      </c>
      <c r="J2" s="40" t="inlineStr">
        <is>
          <t>Red, gold, crimson, orange, white</t>
        </is>
      </c>
      <c r="K2" s="40" t="inlineStr">
        <is>
          <t>9</t>
        </is>
      </c>
      <c r="L2" s="40" t="inlineStr">
        <is>
          <t>Aggression, conflict, dominance</t>
        </is>
      </c>
      <c r="M2" s="40" t="inlineStr">
        <is>
          <t>1, 3 or 7</t>
        </is>
      </c>
      <c r="N2" s="40" t="inlineStr">
        <is>
          <t>ACORN, BLACKBERRY LEAVES, CALAMUS ROOT, CARAWAY, CLOVER RED, GINGER ROOT, HIBISCUS, LADIES MANTLE, MUSTARD SEED WHITE, VIOLET LEAVES</t>
        </is>
      </c>
      <c r="O2" s="40" t="inlineStr">
        <is>
          <t>10</t>
        </is>
      </c>
      <c r="P2" s="40" t="inlineStr">
        <is>
          <t>Carnelian, Garnet, Lodestone, Red Jasper, Ruby, Unakite</t>
        </is>
      </c>
      <c r="Q2" s="40" t="inlineStr">
        <is>
          <t>6</t>
        </is>
      </c>
      <c r="R2" s="40" t="inlineStr">
        <is>
          <t>Vanilla, Ylang Ylang, Patchouli</t>
        </is>
      </c>
      <c r="S2" s="40" t="inlineStr">
        <is>
          <t>3</t>
        </is>
      </c>
      <c r="T2" s="40" t="inlineStr">
        <is>
          <t>FEHU, URUZ, GEBO, BERKANAN</t>
        </is>
      </c>
      <c r="U2" s="40" t="n">
        <v>4</v>
      </c>
      <c r="V2" s="40" t="inlineStr">
        <is>
          <t>AESCULAPUS, ALL GODDESSES, AMBERELLA, APHRODITE, ARADIA, ASTARTE, ATTIS, BALDUR &amp; HATHOR, BONA DEA, CEBELE, CUPID, CYBELE, EROS, HATHOR, HECATE, JANA, JUPITER, KWAI-YIN, KWAN-YIN AND BUDDHA, LUNA</t>
        </is>
      </c>
      <c r="W2" s="40" t="inlineStr">
        <is>
          <t>29</t>
        </is>
      </c>
      <c r="X2" t="inlineStr">
        <is>
          <t>Over 18</t>
        </is>
      </c>
      <c r="Y2" t="inlineStr">
        <is>
          <t>Draw</t>
        </is>
      </c>
      <c r="Z2" t="inlineStr">
        <is>
          <t>All Three / User Choice</t>
        </is>
      </c>
      <c r="AA2" t="inlineStr">
        <is>
          <t>Yes</t>
        </is>
      </c>
      <c r="AB2" t="inlineStr">
        <is>
          <t>Yes</t>
        </is>
      </c>
      <c r="AC2" t="inlineStr">
        <is>
          <t>Yes</t>
        </is>
      </c>
      <c r="AD2" t="inlineStr">
        <is>
          <t>Adult / serious working: let the user choose Jar, Smoke and Flame, or Charm after reading the method notes.</t>
        </is>
      </c>
      <c r="AE2" t="inlineStr">
        <is>
          <t>App should pull this row's Greenman Energy Mode from the main item sheets. Use Secondary Energy Hint only if a serious/adult spell still needs a Draw/Hold/Release/Open/Transform flavour.</t>
        </is>
      </c>
      <c r="AF2" t="inlineStr">
        <is>
          <t>Carry it close on your person</t>
        </is>
      </c>
      <c r="AG2" t="inlineStr">
        <is>
          <t>Gift to the intended | Place where it can be seen</t>
        </is>
      </c>
    </row>
    <row r="3" ht="60" customHeight="1" s="56">
      <c r="A3" s="5" t="inlineStr">
        <is>
          <t>Attraction, Love &amp; Relationships</t>
        </is>
      </c>
      <c r="B3" s="5" t="inlineStr">
        <is>
          <t>Attraction</t>
        </is>
      </c>
      <c r="C3" s="4" t="inlineStr">
        <is>
          <t>Waxing</t>
        </is>
      </c>
      <c r="D3" s="40" t="inlineStr">
        <is>
          <t>Water</t>
        </is>
      </c>
      <c r="E3" s="40" t="inlineStr">
        <is>
          <t>Venus</t>
        </is>
      </c>
      <c r="F3" s="40" t="inlineStr">
        <is>
          <t>Friday</t>
        </is>
      </c>
      <c r="G3" s="40" t="inlineStr">
        <is>
          <t>Pink</t>
        </is>
      </c>
      <c r="H3" s="40" t="inlineStr">
        <is>
          <t>West</t>
        </is>
      </c>
      <c r="I3" s="40" t="inlineStr">
        <is>
          <t>Receptive</t>
        </is>
      </c>
      <c r="J3" s="40" t="inlineStr">
        <is>
          <t>Blue, turquoise, green, grey, indigo, black</t>
        </is>
      </c>
      <c r="K3" s="40" t="inlineStr">
        <is>
          <t>6</t>
        </is>
      </c>
      <c r="L3" s="40" t="inlineStr">
        <is>
          <t>Emotions, magnetism, gods/goddesses, cats</t>
        </is>
      </c>
      <c r="M3" s="40" t="inlineStr">
        <is>
          <t>1, 3 or 7</t>
        </is>
      </c>
      <c r="N3" s="40" t="inlineStr">
        <is>
          <t>GOLDENROD, GOLDENSEAL ROOT, JASMINE, ROSE BUDS RED, ROSE PETALS, RUE</t>
        </is>
      </c>
      <c r="O3" s="40" t="inlineStr">
        <is>
          <t>6</t>
        </is>
      </c>
      <c r="P3" s="40" t="inlineStr">
        <is>
          <t>quartz Rose, Moonstone, Carnelian, Lapis Lazuli</t>
        </is>
      </c>
      <c r="Q3" s="40" t="n">
        <v>4</v>
      </c>
      <c r="R3" s="40" t="inlineStr">
        <is>
          <t>Clove Bud, Cinnamon</t>
        </is>
      </c>
      <c r="S3" s="40" t="inlineStr">
        <is>
          <t>2</t>
        </is>
      </c>
      <c r="T3" s="40" t="inlineStr">
        <is>
          <t>FEHU, GEBO</t>
        </is>
      </c>
      <c r="U3" s="40" t="inlineStr">
        <is>
          <t>2</t>
        </is>
      </c>
      <c r="V3" s="40" t="inlineStr">
        <is>
          <t>AESCULAPUS, ALL GODDESSES, AMBERELLA, APHRODITE, ARADIA, ASTARTE, ATTIS, BALDUR &amp; HATHOR, BONA DEA, CEBELE, CUPID, CYBELE, EROS, HATHOR, HECATE, JANA, JUPITER, KWAI-YIN, KWAN-YIN AND BUDDHA, LUNA</t>
        </is>
      </c>
      <c r="W3" s="40" t="inlineStr">
        <is>
          <t>28</t>
        </is>
      </c>
      <c r="X3" t="inlineStr">
        <is>
          <t>Draw</t>
        </is>
      </c>
      <c r="Y3" t="inlineStr">
        <is>
          <t>Draw</t>
        </is>
      </c>
      <c r="Z3" t="inlineStr">
        <is>
          <t>Spell Jar</t>
        </is>
      </c>
      <c r="AA3" t="inlineStr">
        <is>
          <t>Yes</t>
        </is>
      </c>
      <c r="AB3" t="inlineStr">
        <is>
          <t>Maybe</t>
        </is>
      </c>
      <c r="AC3" t="inlineStr">
        <is>
          <t>Yes</t>
        </is>
      </c>
      <c r="AD3" t="inlineStr">
        <is>
          <t>Draw, grow, sweeten, settle or carry relationship energy.</t>
        </is>
      </c>
      <c r="AE3" t="inlineStr">
        <is>
          <t>App should pull this row's Greenman Energy Mode from the main item sheets. Use Secondary Energy Hint only if a serious/adult spell still needs a Draw/Hold/Release/Open/Transform flavour.</t>
        </is>
      </c>
      <c r="AF3" t="inlineStr">
        <is>
          <t>Carry it close on your person</t>
        </is>
      </c>
      <c r="AG3" t="inlineStr">
        <is>
          <t>Gift to the intended | Place where it can be seen | Hang it in the home</t>
        </is>
      </c>
    </row>
    <row r="4" ht="60" customHeight="1" s="56">
      <c r="A4" s="3" t="inlineStr">
        <is>
          <t>Attraction, Love &amp; Relationships</t>
        </is>
      </c>
      <c r="B4" s="3" t="inlineStr">
        <is>
          <t>Exploring feelings</t>
        </is>
      </c>
      <c r="C4" s="2" t="inlineStr">
        <is>
          <t>Waxing</t>
        </is>
      </c>
      <c r="D4" s="40" t="inlineStr">
        <is>
          <t>Water</t>
        </is>
      </c>
      <c r="E4" s="40" t="inlineStr">
        <is>
          <t>Moon</t>
        </is>
      </c>
      <c r="F4" s="40" t="inlineStr">
        <is>
          <t>Monday</t>
        </is>
      </c>
      <c r="G4" s="40" t="inlineStr">
        <is>
          <t>Blue</t>
        </is>
      </c>
      <c r="H4" s="40" t="inlineStr">
        <is>
          <t>West</t>
        </is>
      </c>
      <c r="I4" s="40" t="inlineStr">
        <is>
          <t>Receptive</t>
        </is>
      </c>
      <c r="J4" s="40" t="inlineStr">
        <is>
          <t>Blue, turquoise, green, grey, indigo, black</t>
        </is>
      </c>
      <c r="K4" s="40" t="inlineStr">
        <is>
          <t>2</t>
        </is>
      </c>
      <c r="L4" s="40" t="inlineStr">
        <is>
          <t>Duality, balance, couples, partnerships</t>
        </is>
      </c>
      <c r="M4" s="40" t="inlineStr">
        <is>
          <t>1, 3 or 7</t>
        </is>
      </c>
      <c r="N4" s="40" t="inlineStr">
        <is>
          <t>LAVENDER FLOWERS, CHAMOMILE, VIOLET LEAVES, LEMON BALM, ROSE PETALS, YARROW, HEARTSEASE</t>
        </is>
      </c>
      <c r="O4" s="40" t="n">
        <v>7</v>
      </c>
      <c r="P4" s="40" t="inlineStr">
        <is>
          <t>Moonstone, Amethyst, Rhodocrosite, Lepidolite</t>
        </is>
      </c>
      <c r="Q4" s="40" t="n">
        <v>4</v>
      </c>
      <c r="R4" s="40" t="inlineStr">
        <is>
          <t>Lavender, Rose, Melissa, Geranium</t>
        </is>
      </c>
      <c r="S4" s="40" t="n">
        <v>4</v>
      </c>
      <c r="T4" s="40" t="inlineStr">
        <is>
          <t>LAGUZ, PERTH, MANNAZ, ANSUZ</t>
        </is>
      </c>
      <c r="U4" s="40" t="n">
        <v>4</v>
      </c>
      <c r="V4" s="40" t="inlineStr">
        <is>
          <t>SELENE, LUNA, PERSEPHONE, ISIS, ODIN, MERCURY, SATURN, PLUTO</t>
        </is>
      </c>
      <c r="W4" s="40" t="n">
        <v>8</v>
      </c>
      <c r="X4" t="inlineStr">
        <is>
          <t>Open / Reveal</t>
        </is>
      </c>
      <c r="Y4" t="inlineStr">
        <is>
          <t>Open / Reveal</t>
        </is>
      </c>
      <c r="Z4" t="inlineStr">
        <is>
          <t>Spell Jar</t>
        </is>
      </c>
      <c r="AA4" t="inlineStr">
        <is>
          <t>Yes</t>
        </is>
      </c>
      <c r="AB4" t="inlineStr">
        <is>
          <t>Maybe</t>
        </is>
      </c>
      <c r="AC4" t="inlineStr">
        <is>
          <t>Yes</t>
        </is>
      </c>
      <c r="AD4" t="inlineStr">
        <is>
          <t>Draw, grow, sweeten, settle or carry relationship energy.</t>
        </is>
      </c>
      <c r="AE4" t="inlineStr">
        <is>
          <t>App should pull this row's Greenman Energy Mode from the main item sheets. Use Secondary Energy Hint only if a serious/adult spell still needs a Draw/Hold/Release/Open/Transform flavour.</t>
        </is>
      </c>
      <c r="AF4" t="inlineStr">
        <is>
          <t>Carry it close on your person</t>
        </is>
      </c>
      <c r="AG4" t="inlineStr">
        <is>
          <t>Place where it can be seen | Hang it in the home</t>
        </is>
      </c>
    </row>
    <row r="5" ht="60" customHeight="1" s="56">
      <c r="A5" s="5" t="inlineStr">
        <is>
          <t>Over 18 🔞</t>
        </is>
      </c>
      <c r="B5" s="5" t="inlineStr">
        <is>
          <t>Fertility</t>
        </is>
      </c>
      <c r="C5" s="4" t="inlineStr">
        <is>
          <t>Waxing</t>
        </is>
      </c>
      <c r="D5" s="40" t="inlineStr">
        <is>
          <t>Earth</t>
        </is>
      </c>
      <c r="E5" s="40" t="inlineStr">
        <is>
          <t>Moon</t>
        </is>
      </c>
      <c r="F5" s="40" t="inlineStr">
        <is>
          <t>Monday</t>
        </is>
      </c>
      <c r="G5" s="40" t="inlineStr">
        <is>
          <t>Green</t>
        </is>
      </c>
      <c r="H5" s="40" t="inlineStr">
        <is>
          <t>North</t>
        </is>
      </c>
      <c r="I5" s="40" t="inlineStr">
        <is>
          <t>Receptive</t>
        </is>
      </c>
      <c r="J5" s="40" t="inlineStr">
        <is>
          <t>Black, green, yellow, brown</t>
        </is>
      </c>
      <c r="K5" s="40" t="inlineStr">
        <is>
          <t>2</t>
        </is>
      </c>
      <c r="L5" s="40" t="inlineStr">
        <is>
          <t>Duality, balance, couples, partnerships</t>
        </is>
      </c>
      <c r="M5" s="40" t="inlineStr">
        <is>
          <t>1, 3 or 7</t>
        </is>
      </c>
      <c r="N5" s="40" t="inlineStr">
        <is>
          <t>ACORN, ANISE, BASIL, BENZOIN, BLACK TEA, BLACKBERRY LEAVES, CARAWAY, CHAMOMILE, CINNAMON STICKS, CLOVER, CLOVER RED, CLOVES, COLTSFOOT, COMFREY, DILL, FENNEL (SEED), GARLIC POWDER, GOLDENSEAL ROOT, JASMINE, LADIES MANTLE, LAVENDER FLOWERS, LEMON BALM, LINSEED, MUSTARD SEED WHITE, NUTMEG POWDER, OAK MOSS, OAKBARK RED, PARSLEY, PEPPERMINT, PINE NUT, RUE, SAGE, THYME, VIOLET LEAVES, VIOLET</t>
        </is>
      </c>
      <c r="O5" s="40" t="inlineStr">
        <is>
          <t>35</t>
        </is>
      </c>
      <c r="P5" s="40" t="inlineStr">
        <is>
          <t>agate Botswana , agate Moss , Amazonite, Aventurine, Calcite, chrysophase, Citrine, Goldstone, Jade (jadeite), Lodestone, Pyrite (Fool's Gold), Rhodocrosite, Ruby, Sapphire, Serpentine, Topaz, Tourmalinee Black , Yellow Aventurine</t>
        </is>
      </c>
      <c r="Q5" s="40" t="inlineStr">
        <is>
          <t>18</t>
        </is>
      </c>
      <c r="R5" s="40" t="inlineStr">
        <is>
          <t>Bergamot, Cedarwood, Clove Bud, Geranium, Honeysuckle, Marjoram, Melissa, Neroli, Orange Bitter, Pine, Vanilla, Cinnamon, Ginger, Patchouli</t>
        </is>
      </c>
      <c r="S5" s="40" t="inlineStr">
        <is>
          <t>14</t>
        </is>
      </c>
      <c r="T5" s="40" t="inlineStr">
        <is>
          <t>FEHU, URUZ, WUNJO, JERA, SOWILO, BERKANAN, INGWAZ, OTHILA, DAGAZ</t>
        </is>
      </c>
      <c r="U5" s="40" t="inlineStr">
        <is>
          <t>9</t>
        </is>
      </c>
      <c r="V5" s="40" t="inlineStr">
        <is>
          <t>ALL GODDESSES, ALL LUNAR GODDESSES, ALLAT, AMATERASU, ARADIA, ARIANRHOD, ASTARTE, ATTIS, BAAL, BALDUR &amp; HATHOR, BONA DEA, CERES, CERRIDWEN, CRONOS, CUPRA, EROS, FILDIAS, GAIA, GOD AND GODDESS IN BALANCE, GREAT GODDESS. MANASA</t>
        </is>
      </c>
      <c r="W5" s="40" t="inlineStr">
        <is>
          <t>34</t>
        </is>
      </c>
      <c r="X5" t="inlineStr">
        <is>
          <t>Over 18</t>
        </is>
      </c>
      <c r="Y5" t="inlineStr">
        <is>
          <t>Draw</t>
        </is>
      </c>
      <c r="Z5" t="inlineStr">
        <is>
          <t>All Three / User Choice</t>
        </is>
      </c>
      <c r="AA5" t="inlineStr">
        <is>
          <t>Yes</t>
        </is>
      </c>
      <c r="AB5" t="inlineStr">
        <is>
          <t>Yes</t>
        </is>
      </c>
      <c r="AC5" t="inlineStr">
        <is>
          <t>Yes</t>
        </is>
      </c>
      <c r="AD5" t="inlineStr">
        <is>
          <t>Adult / serious working: let the user choose Jar, Smoke and Flame, or Charm after reading the method notes.</t>
        </is>
      </c>
      <c r="AE5" t="inlineStr">
        <is>
          <t>App should pull this row's Greenman Energy Mode from the main item sheets. Use Secondary Energy Hint only if a serious/adult spell still needs a Draw/Hold/Release/Open/Transform flavour.</t>
        </is>
      </c>
      <c r="AF5" t="inlineStr">
        <is>
          <t>Carry it close on your person</t>
        </is>
      </c>
      <c r="AG5" t="inlineStr">
        <is>
          <t>Bury in the earth | Place at a shrine or altar</t>
        </is>
      </c>
    </row>
    <row r="6" ht="60" customHeight="1" s="56">
      <c r="A6" s="3" t="inlineStr">
        <is>
          <t>Attraction, Love &amp; Relationships</t>
        </is>
      </c>
      <c r="B6" s="3" t="inlineStr">
        <is>
          <t>Fidelity</t>
        </is>
      </c>
      <c r="C6" s="2" t="inlineStr">
        <is>
          <t>Waxing</t>
        </is>
      </c>
      <c r="D6" s="40" t="inlineStr">
        <is>
          <t>Earth</t>
        </is>
      </c>
      <c r="E6" s="40" t="inlineStr">
        <is>
          <t>Venus</t>
        </is>
      </c>
      <c r="F6" s="40" t="inlineStr">
        <is>
          <t>Friday</t>
        </is>
      </c>
      <c r="G6" s="40" t="inlineStr">
        <is>
          <t>Pink</t>
        </is>
      </c>
      <c r="H6" s="40" t="inlineStr">
        <is>
          <t>North</t>
        </is>
      </c>
      <c r="I6" s="40" t="inlineStr">
        <is>
          <t>Receptive</t>
        </is>
      </c>
      <c r="J6" s="40" t="inlineStr">
        <is>
          <t>Black, green, yellow, brown</t>
        </is>
      </c>
      <c r="K6" s="40" t="inlineStr">
        <is>
          <t>6</t>
        </is>
      </c>
      <c r="L6" s="40" t="inlineStr">
        <is>
          <t>Emotions, magnetism, gods/goddesses, cats</t>
        </is>
      </c>
      <c r="M6" s="40" t="inlineStr">
        <is>
          <t>1, 3 or 7</t>
        </is>
      </c>
      <c r="N6" s="40" t="inlineStr">
        <is>
          <t>BASIL, CARAWAY, CLOVER, CLOVER RED, COMFREY, HIBISCUS, ORRIS ROOT POWDER, ROSEMARY, VIOLET LEAVES, VIOLET</t>
        </is>
      </c>
      <c r="O6" s="40" t="inlineStr">
        <is>
          <t>10</t>
        </is>
      </c>
      <c r="P6" s="40" t="inlineStr">
        <is>
          <t xml:space="preserve">Emerald, Lodestone, quartz Rose </t>
        </is>
      </c>
      <c r="Q6" s="40" t="inlineStr">
        <is>
          <t>3</t>
        </is>
      </c>
      <c r="R6" s="40" t="inlineStr">
        <is>
          <t>Lavender, Rose, Ylang Ylang</t>
        </is>
      </c>
      <c r="S6" s="40" t="n">
        <v>3</v>
      </c>
      <c r="T6" s="40" t="inlineStr">
        <is>
          <t>EHWAZ</t>
        </is>
      </c>
      <c r="U6" s="40" t="inlineStr">
        <is>
          <t>1</t>
        </is>
      </c>
      <c r="V6" s="40" t="inlineStr">
        <is>
          <t>VENUS, APHRODITE, HATHOR, FRIGG, FREY, JUPITER, ODIN</t>
        </is>
      </c>
      <c r="W6" s="40" t="n">
        <v>7</v>
      </c>
      <c r="X6" t="inlineStr">
        <is>
          <t>Hold</t>
        </is>
      </c>
      <c r="Y6" t="inlineStr">
        <is>
          <t>Hold</t>
        </is>
      </c>
      <c r="Z6" t="inlineStr">
        <is>
          <t>Spell Jar</t>
        </is>
      </c>
      <c r="AA6" t="inlineStr">
        <is>
          <t>Yes</t>
        </is>
      </c>
      <c r="AB6" t="inlineStr">
        <is>
          <t>Maybe</t>
        </is>
      </c>
      <c r="AC6" t="inlineStr">
        <is>
          <t>Yes</t>
        </is>
      </c>
      <c r="AD6" t="inlineStr">
        <is>
          <t>Draw, grow, sweeten, settle or carry relationship energy.</t>
        </is>
      </c>
      <c r="AE6" t="inlineStr">
        <is>
          <t>App should pull this row's Greenman Energy Mode from the main item sheets. Use Secondary Energy Hint only if a serious/adult spell still needs a Draw/Hold/Release/Open/Transform flavour.</t>
        </is>
      </c>
      <c r="AF6" t="inlineStr">
        <is>
          <t>Keep it hidden and safe</t>
        </is>
      </c>
      <c r="AG6" t="inlineStr">
        <is>
          <t>Hang it in the home | Bury in the earth</t>
        </is>
      </c>
    </row>
    <row r="7" ht="60" customHeight="1" s="56">
      <c r="A7" s="5" t="inlineStr">
        <is>
          <t>Attraction, Love &amp; Relationships</t>
        </is>
      </c>
      <c r="B7" s="5" t="inlineStr">
        <is>
          <t>Love</t>
        </is>
      </c>
      <c r="C7" s="4" t="inlineStr">
        <is>
          <t>Waxing</t>
        </is>
      </c>
      <c r="D7" s="40" t="inlineStr">
        <is>
          <t>Water</t>
        </is>
      </c>
      <c r="E7" s="40" t="inlineStr">
        <is>
          <t>Venus</t>
        </is>
      </c>
      <c r="F7" s="40" t="inlineStr">
        <is>
          <t>Friday</t>
        </is>
      </c>
      <c r="G7" s="40" t="inlineStr">
        <is>
          <t>Pink</t>
        </is>
      </c>
      <c r="H7" s="40" t="inlineStr">
        <is>
          <t>West</t>
        </is>
      </c>
      <c r="I7" s="40" t="inlineStr">
        <is>
          <t>Receptive</t>
        </is>
      </c>
      <c r="J7" s="40" t="inlineStr">
        <is>
          <t>Blue, turquoise, green, grey, indigo, black</t>
        </is>
      </c>
      <c r="K7" s="40" t="inlineStr">
        <is>
          <t>6</t>
        </is>
      </c>
      <c r="L7" s="40" t="inlineStr">
        <is>
          <t>Emotions, magnetism, gods/goddesses, cats</t>
        </is>
      </c>
      <c r="M7" s="40" t="inlineStr">
        <is>
          <t>1, 3 or 7</t>
        </is>
      </c>
      <c r="N7"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t>
        </is>
      </c>
      <c r="O7" s="40" t="inlineStr">
        <is>
          <t>67</t>
        </is>
      </c>
      <c r="P7"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7" s="40" t="inlineStr">
        <is>
          <t>32</t>
        </is>
      </c>
      <c r="R7" s="40" t="inlineStr">
        <is>
          <t>Apple, Bergamot, Clove Bud, Frankincense, Geranium, Juniper, Lavender, Lemon, Lemon Grass, Marjoram, Melissa, Neroli, Orange Bitter, Pine, Rose, Rosemary, Thyme, Vanilla, Ylang Ylang, Cinnamon, Ginger, Patchouli, Sandalwood In.</t>
        </is>
      </c>
      <c r="S7" s="40" t="inlineStr">
        <is>
          <t>23</t>
        </is>
      </c>
      <c r="T7" s="40" t="inlineStr">
        <is>
          <t>FEHU, ANSUZ, RAIDO, GEBO, WUNJO, PERTH, SOWILO, TIWAZ, EHWAZ, INGWAZ, OTHILA</t>
        </is>
      </c>
      <c r="U7" s="40" t="inlineStr">
        <is>
          <t>11</t>
        </is>
      </c>
      <c r="V7" s="40" t="inlineStr">
        <is>
          <t>AESCULAPUS, ALL, ALL GODDESSES, ALL LUNAR GODDESSES, ALLAT, AMATERASU, AMBERELLA, APHRODITE, ARADIA, ARES, ARIANRHOD, ARTEMIS, ASTARTE, ATTIS, BAAL, BACCHUS, BALDOR, BALDUR &amp; HATHOR, BEFANA, BONA DEA</t>
        </is>
      </c>
      <c r="W7" s="40" t="inlineStr">
        <is>
          <t>89</t>
        </is>
      </c>
      <c r="X7" t="inlineStr">
        <is>
          <t>Draw</t>
        </is>
      </c>
      <c r="Y7" t="inlineStr">
        <is>
          <t>Draw</t>
        </is>
      </c>
      <c r="Z7" t="inlineStr">
        <is>
          <t>Spell Jar</t>
        </is>
      </c>
      <c r="AA7" t="inlineStr">
        <is>
          <t>Yes</t>
        </is>
      </c>
      <c r="AB7" t="inlineStr">
        <is>
          <t>Maybe</t>
        </is>
      </c>
      <c r="AC7" t="inlineStr">
        <is>
          <t>Yes</t>
        </is>
      </c>
      <c r="AD7" t="inlineStr">
        <is>
          <t>Draw, grow, sweeten, settle or carry relationship energy.</t>
        </is>
      </c>
      <c r="AE7" t="inlineStr">
        <is>
          <t>App should pull this row's Greenman Energy Mode from the main item sheets. Use Secondary Energy Hint only if a serious/adult spell still needs a Draw/Hold/Release/Open/Transform flavour.</t>
        </is>
      </c>
      <c r="AF7" t="inlineStr">
        <is>
          <t>Place where it can be seen</t>
        </is>
      </c>
      <c r="AG7" t="inlineStr">
        <is>
          <t>Gift to the intended | Bury in the earth | Hang it in the home</t>
        </is>
      </c>
    </row>
    <row r="8" ht="60" customHeight="1" s="56">
      <c r="A8" s="3" t="inlineStr">
        <is>
          <t>Attraction, Love &amp; Relationships</t>
        </is>
      </c>
      <c r="B8" s="3" t="inlineStr">
        <is>
          <t>Love rituals</t>
        </is>
      </c>
      <c r="C8" s="2" t="inlineStr">
        <is>
          <t>Waxing</t>
        </is>
      </c>
      <c r="D8" s="40" t="inlineStr">
        <is>
          <t>Water</t>
        </is>
      </c>
      <c r="E8" s="40" t="inlineStr">
        <is>
          <t>Venus</t>
        </is>
      </c>
      <c r="F8" s="40" t="inlineStr">
        <is>
          <t>Friday</t>
        </is>
      </c>
      <c r="G8" s="40" t="inlineStr">
        <is>
          <t>Pink</t>
        </is>
      </c>
      <c r="H8" s="40" t="inlineStr">
        <is>
          <t>West</t>
        </is>
      </c>
      <c r="I8" s="40" t="inlineStr">
        <is>
          <t>Receptive</t>
        </is>
      </c>
      <c r="J8" s="40" t="inlineStr">
        <is>
          <t>Blue, turquoise, green, grey, indigo, black</t>
        </is>
      </c>
      <c r="K8" s="40" t="inlineStr">
        <is>
          <t>6</t>
        </is>
      </c>
      <c r="L8" s="40" t="inlineStr">
        <is>
          <t>Emotions, magnetism, gods/goddesses, cats</t>
        </is>
      </c>
      <c r="M8" s="40" t="inlineStr">
        <is>
          <t>1, 3 or 7</t>
        </is>
      </c>
      <c r="N8"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8" s="40" t="inlineStr">
        <is>
          <t>68</t>
        </is>
      </c>
      <c r="P8"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8" s="40" t="inlineStr">
        <is>
          <t>32</t>
        </is>
      </c>
      <c r="R8" s="40" t="inlineStr">
        <is>
          <t>Apple, Bergamot, Clove Bud, Frankincense, Geranium, Juniper, Lavender, Lemon, Lemon Grass, Marjoram, Melissa, Neroli, Orange Bitter, Pine, Rose, Rosemary, Thyme, Vanilla, Ylang Ylang, Cinnamon, Ginger, Patchouli, Sandalwood In.</t>
        </is>
      </c>
      <c r="S8" s="40" t="inlineStr">
        <is>
          <t>23</t>
        </is>
      </c>
      <c r="T8" s="40" t="inlineStr">
        <is>
          <t>FEHU, ANSUZ, RAIDO, GEBO, WUNJO, PERTH, SOWILO, TIWAZ, EHWAZ, INGWAZ, OTHILA</t>
        </is>
      </c>
      <c r="U8" s="40" t="inlineStr">
        <is>
          <t>11</t>
        </is>
      </c>
      <c r="V8" s="40" t="inlineStr">
        <is>
          <t>AESCULAPUS, ALL, ALL GODDESSES, ALL LUNAR GODDESSES, ALLAT, AMATERASU, AMBERELLA, APHRODITE, ARADIA, ARES, ARIANRHOD, ARTEMIS, ASTARTE, ATTIS, BAAL, BACCHUS, BALDOR, BALDUR &amp; HATHOR, BEFANA, BONA DEA</t>
        </is>
      </c>
      <c r="W8" s="40" t="inlineStr">
        <is>
          <t>89</t>
        </is>
      </c>
      <c r="X8" t="inlineStr">
        <is>
          <t>Draw</t>
        </is>
      </c>
      <c r="Y8" t="inlineStr">
        <is>
          <t>Draw</t>
        </is>
      </c>
      <c r="Z8" t="inlineStr">
        <is>
          <t>Spell Jar</t>
        </is>
      </c>
      <c r="AA8" t="inlineStr">
        <is>
          <t>Yes</t>
        </is>
      </c>
      <c r="AB8" t="inlineStr">
        <is>
          <t>Maybe</t>
        </is>
      </c>
      <c r="AC8" t="inlineStr">
        <is>
          <t>Yes</t>
        </is>
      </c>
      <c r="AD8" t="inlineStr">
        <is>
          <t>Draw, grow, sweeten, settle or carry relationship energy.</t>
        </is>
      </c>
      <c r="AE8" t="inlineStr">
        <is>
          <t>App should pull this row's Greenman Energy Mode from the main item sheets. Use Secondary Energy Hint only if a serious/adult spell still needs a Draw/Hold/Release/Open/Transform flavour.</t>
        </is>
      </c>
      <c r="AF8" t="inlineStr">
        <is>
          <t>Place at a shrine or altar</t>
        </is>
      </c>
      <c r="AG8" t="inlineStr">
        <is>
          <t>Place where it can be seen | Gift to the intended | Carry it close on your person</t>
        </is>
      </c>
    </row>
    <row r="9" ht="60" customHeight="1" s="56">
      <c r="A9" s="5" t="inlineStr">
        <is>
          <t>Attraction, Love &amp; Relationships</t>
        </is>
      </c>
      <c r="B9" s="5" t="inlineStr">
        <is>
          <t>Love spells</t>
        </is>
      </c>
      <c r="C9" s="4" t="inlineStr">
        <is>
          <t>Waxing</t>
        </is>
      </c>
      <c r="D9" s="40" t="inlineStr">
        <is>
          <t>Water</t>
        </is>
      </c>
      <c r="E9" s="40" t="inlineStr">
        <is>
          <t>Venus</t>
        </is>
      </c>
      <c r="F9" s="40" t="inlineStr">
        <is>
          <t>Friday</t>
        </is>
      </c>
      <c r="G9" s="40" t="inlineStr">
        <is>
          <t>Pink</t>
        </is>
      </c>
      <c r="H9" s="40" t="inlineStr">
        <is>
          <t>West</t>
        </is>
      </c>
      <c r="I9" s="40" t="inlineStr">
        <is>
          <t>Receptive</t>
        </is>
      </c>
      <c r="J9" s="40" t="inlineStr">
        <is>
          <t>Blue, turquoise, green, grey, indigo, black</t>
        </is>
      </c>
      <c r="K9" s="40" t="inlineStr">
        <is>
          <t>6</t>
        </is>
      </c>
      <c r="L9" s="40" t="inlineStr">
        <is>
          <t>Emotions, magnetism, gods/goddesses, cats</t>
        </is>
      </c>
      <c r="M9" s="40" t="inlineStr">
        <is>
          <t>1, 3 or 7</t>
        </is>
      </c>
      <c r="N9" s="40" t="inlineStr">
        <is>
          <t>ROSE PETALS, LAVENDER FLOWERS, JASMINE, ROSE BUDS RED, ORRIS ROOT POWDER, VIOLET LEAVES, YARROW</t>
        </is>
      </c>
      <c r="O9" s="40" t="n">
        <v>7</v>
      </c>
      <c r="P9" s="40" t="inlineStr">
        <is>
          <t>quartz Rose, Moonstone, Emerald, Lapis Lazuli</t>
        </is>
      </c>
      <c r="Q9" s="40" t="n">
        <v>4</v>
      </c>
      <c r="R9" s="40" t="inlineStr">
        <is>
          <t>Rose, Ylang Ylang, Neroli, Lavender</t>
        </is>
      </c>
      <c r="S9" s="40" t="n">
        <v>4</v>
      </c>
      <c r="T9" s="40" t="inlineStr">
        <is>
          <t>FEHU, GEBO, WUNJO, BERKANAN</t>
        </is>
      </c>
      <c r="U9" s="40" t="n">
        <v>4</v>
      </c>
      <c r="V9" s="40" t="inlineStr">
        <is>
          <t>APHRODITE, VENUS, HATHOR, FREYJA, EROS, FREY, CUPID, DIANA</t>
        </is>
      </c>
      <c r="W9" s="40" t="n">
        <v>8</v>
      </c>
      <c r="X9" t="inlineStr">
        <is>
          <t>Draw</t>
        </is>
      </c>
      <c r="Y9" t="inlineStr">
        <is>
          <t>Draw</t>
        </is>
      </c>
      <c r="Z9" t="inlineStr">
        <is>
          <t>Spell Jar</t>
        </is>
      </c>
      <c r="AA9" t="inlineStr">
        <is>
          <t>Yes</t>
        </is>
      </c>
      <c r="AB9" t="inlineStr">
        <is>
          <t>Maybe</t>
        </is>
      </c>
      <c r="AC9" t="inlineStr">
        <is>
          <t>Yes</t>
        </is>
      </c>
      <c r="AD9" t="inlineStr">
        <is>
          <t>Draw, grow, sweeten, settle or carry relationship energy.</t>
        </is>
      </c>
      <c r="AE9" t="inlineStr">
        <is>
          <t>App should pull this row's Greenman Energy Mode from the main item sheets. Use Secondary Energy Hint only if a serious/adult spell still needs a Draw/Hold/Release/Open/Transform flavour.</t>
        </is>
      </c>
      <c r="AF9" t="inlineStr">
        <is>
          <t>Place where it can be seen</t>
        </is>
      </c>
      <c r="AG9" t="inlineStr">
        <is>
          <t>Gift to the intended | Bury in the earth</t>
        </is>
      </c>
    </row>
    <row r="10" ht="60" customHeight="1" s="56">
      <c r="A10" s="3" t="inlineStr">
        <is>
          <t>Protection, Banishing &amp; Warding</t>
        </is>
      </c>
      <c r="B10" s="3" t="inlineStr">
        <is>
          <t>Anti-theft</t>
        </is>
      </c>
      <c r="C10" s="2" t="inlineStr">
        <is>
          <t>Waning</t>
        </is>
      </c>
      <c r="D10" s="40" t="inlineStr">
        <is>
          <t>Earth</t>
        </is>
      </c>
      <c r="E10" s="40" t="inlineStr">
        <is>
          <t>Saturn</t>
        </is>
      </c>
      <c r="F10" s="40" t="inlineStr">
        <is>
          <t>Saturday</t>
        </is>
      </c>
      <c r="G10" s="40" t="inlineStr">
        <is>
          <t>Black</t>
        </is>
      </c>
      <c r="H10" s="40" t="inlineStr">
        <is>
          <t>North</t>
        </is>
      </c>
      <c r="I10" s="40" t="inlineStr">
        <is>
          <t>Receptive</t>
        </is>
      </c>
      <c r="J10" s="40" t="inlineStr">
        <is>
          <t>Black, green, yellow, brown</t>
        </is>
      </c>
      <c r="K10" s="40" t="inlineStr">
        <is>
          <t>8</t>
        </is>
      </c>
      <c r="L10" s="40" t="inlineStr">
        <is>
          <t>Material aspects, travel, protection, discipline</t>
        </is>
      </c>
      <c r="M10" s="40" t="inlineStr">
        <is>
          <t>1, 3 or 7</t>
        </is>
      </c>
      <c r="N10" s="40" t="inlineStr">
        <is>
          <t>BASIL, CARAWAY, COMFREY, DILL, JUNIPER BERRIES, ROSEMARY</t>
        </is>
      </c>
      <c r="O10" s="40" t="inlineStr">
        <is>
          <t>6</t>
        </is>
      </c>
      <c r="P10" s="40" t="inlineStr">
        <is>
          <t>Jet, Obsidian, Onyx, Tiger Eye gold</t>
        </is>
      </c>
      <c r="Q10" s="40" t="n">
        <v>4</v>
      </c>
      <c r="R10" s="40" t="inlineStr">
        <is>
          <t>Frankincense, Cedarwood, Rosemary</t>
        </is>
      </c>
      <c r="S10" s="40" t="n">
        <v>3</v>
      </c>
      <c r="T10" s="40" t="inlineStr">
        <is>
          <t>FEHU, GEBO</t>
        </is>
      </c>
      <c r="U10" s="40" t="inlineStr">
        <is>
          <t>2</t>
        </is>
      </c>
      <c r="V10" s="40" t="inlineStr">
        <is>
          <t>GREAT GODDESS. MANASA, PLUTO</t>
        </is>
      </c>
      <c r="W10" s="40" t="inlineStr">
        <is>
          <t>2</t>
        </is>
      </c>
      <c r="X10" t="inlineStr">
        <is>
          <t>Hold</t>
        </is>
      </c>
      <c r="Y10" t="inlineStr">
        <is>
          <t>Hold</t>
        </is>
      </c>
      <c r="Z10" t="inlineStr">
        <is>
          <t>Spell Jar</t>
        </is>
      </c>
      <c r="AA10" t="inlineStr">
        <is>
          <t>Yes</t>
        </is>
      </c>
      <c r="AB10" t="inlineStr">
        <is>
          <t>Maybe</t>
        </is>
      </c>
      <c r="AC10" t="inlineStr">
        <is>
          <t>Yes</t>
        </is>
      </c>
      <c r="AD10" t="inlineStr">
        <is>
          <t>Hold boundaries, guard, ward and keep protection steady.</t>
        </is>
      </c>
      <c r="AE10" t="inlineStr">
        <is>
          <t>App should pull this row's Greenman Energy Mode from the main item sheets. Use Secondary Energy Hint only if a serious/adult spell still needs a Draw/Hold/Release/Open/Transform flavour.</t>
        </is>
      </c>
      <c r="AF10" t="inlineStr">
        <is>
          <t>Keep it hidden and safe</t>
        </is>
      </c>
      <c r="AG10" t="inlineStr">
        <is>
          <t>Hang it in the home | Bury in the earth</t>
        </is>
      </c>
    </row>
    <row r="11" ht="60" customHeight="1" s="56">
      <c r="A11" s="5" t="inlineStr">
        <is>
          <t>Over 18 🔞</t>
        </is>
      </c>
      <c r="B11" s="5" t="inlineStr">
        <is>
          <t>Banishing</t>
        </is>
      </c>
      <c r="C11" s="4" t="inlineStr">
        <is>
          <t>Waning/Dark</t>
        </is>
      </c>
      <c r="D11" s="40" t="inlineStr">
        <is>
          <t>Fire</t>
        </is>
      </c>
      <c r="E11" s="40" t="inlineStr">
        <is>
          <t>Mars</t>
        </is>
      </c>
      <c r="F11" s="40" t="inlineStr">
        <is>
          <t>Tuesday</t>
        </is>
      </c>
      <c r="G11" s="40" t="inlineStr">
        <is>
          <t>Black</t>
        </is>
      </c>
      <c r="H11" s="40" t="inlineStr">
        <is>
          <t>South</t>
        </is>
      </c>
      <c r="I11" s="40" t="inlineStr">
        <is>
          <t>Projective</t>
        </is>
      </c>
      <c r="J11" s="40" t="inlineStr">
        <is>
          <t>Red, gold, crimson, orange, white</t>
        </is>
      </c>
      <c r="K11" s="40" t="inlineStr">
        <is>
          <t>9</t>
        </is>
      </c>
      <c r="L11" s="40" t="inlineStr">
        <is>
          <t>Aggression, conflict, dominance</t>
        </is>
      </c>
      <c r="M11" s="40" t="inlineStr">
        <is>
          <t>1, 3 or 7</t>
        </is>
      </c>
      <c r="N11" s="40" t="inlineStr">
        <is>
          <t>AGRIMONY, ANISE, BASIL, BAY LAUREL, CAMPHOR SYNTHETIC, CEDARWOOD (HIMALAYAN), CHIVE, CLOVER, CLOVER RED, CLOVES, COMFREY, DEVILS CLAW ROOT, DRAGON'S BLOOD, FRANKINCENSE, GARLIC POWDER, HOREHOUND, HYSSOP, JUNIPER BERRIES, LAVENDER FLOWERS, LEMON VERBENA, LEMONGRASS, MULLEIN, MUSTARD SEED WHITE, MYRRH GUM, OAKLEAF, PENNYROYAL, PEPPERMINT, PINE NUT, ROSE HIP, ROSEMARY, RUE, SAGE, SANDALWOOD RED, SANDALWOOD WHITE, SEA SALT, THYME, VALERIAN ROOT, VERVAIN, VIOLET, WITCH HAZEL LEAVES, BLACK SALT, WORMWOOD</t>
        </is>
      </c>
      <c r="O11" s="40" t="inlineStr">
        <is>
          <t>42</t>
        </is>
      </c>
      <c r="P11" s="40" t="inlineStr">
        <is>
          <t xml:space="preserve">Aquamarine, Hematite, Lepidolite, Obsidian, quartz smokey , quartz snow , Serpentine, Tourmalinee Black </t>
        </is>
      </c>
      <c r="Q11" s="40" t="inlineStr">
        <is>
          <t>8</t>
        </is>
      </c>
      <c r="R11" s="40" t="inlineStr">
        <is>
          <t>Fir Needle, Frankincense, Lemon Grass, Sandalwood w.i., Tea Tree, Ylang Ylang</t>
        </is>
      </c>
      <c r="S11" s="40" t="inlineStr">
        <is>
          <t>6</t>
        </is>
      </c>
      <c r="T11" s="40" t="inlineStr">
        <is>
          <t>THURISAZ, HAGALAZ, IHWAZ, ALGIZ, LAGUZ</t>
        </is>
      </c>
      <c r="U11" s="40" t="inlineStr">
        <is>
          <t>5</t>
        </is>
      </c>
      <c r="V11" s="40" t="inlineStr">
        <is>
          <t>AMBERELLA, ARTEMIS, BALDOR, CUPRA, DIANA, FLIDAIS, HECATE, HEL, HYGIA, ISIS, JUTERNA, KWAN-YIN AND BUDDHA, LUNA, MARS, SHIVA, THOR, ZEUS</t>
        </is>
      </c>
      <c r="W11" s="40" t="inlineStr">
        <is>
          <t>17</t>
        </is>
      </c>
      <c r="X11" t="inlineStr">
        <is>
          <t>Over 18</t>
        </is>
      </c>
      <c r="Y11" t="inlineStr">
        <is>
          <t>Release</t>
        </is>
      </c>
      <c r="Z11" t="inlineStr">
        <is>
          <t>All Three / User Choice</t>
        </is>
      </c>
      <c r="AA11" t="inlineStr">
        <is>
          <t>Yes</t>
        </is>
      </c>
      <c r="AB11" t="inlineStr">
        <is>
          <t>Yes</t>
        </is>
      </c>
      <c r="AC11" t="inlineStr">
        <is>
          <t>Yes</t>
        </is>
      </c>
      <c r="AD11" t="inlineStr">
        <is>
          <t>Adult / serious working: let the user choose Jar, Smoke and Flame, or Charm after reading the method notes.</t>
        </is>
      </c>
      <c r="AE11" t="inlineStr">
        <is>
          <t>App should pull this row's Greenman Energy Mode from the main item sheets. Use Secondary Energy Hint only if a serious/adult spell still needs a Draw/Hold/Release/Open/Transform flavour.</t>
        </is>
      </c>
      <c r="AF11" t="inlineStr">
        <is>
          <t>Bury in the earth</t>
        </is>
      </c>
      <c r="AG11" t="inlineStr">
        <is>
          <t>Burn and release, no remains | Leave in running water</t>
        </is>
      </c>
    </row>
    <row r="12" ht="60" customHeight="1" s="56">
      <c r="A12" s="3" t="inlineStr">
        <is>
          <t>Over 18 🔞</t>
        </is>
      </c>
      <c r="B12" s="3" t="inlineStr">
        <is>
          <t>Exorcism</t>
        </is>
      </c>
      <c r="C12" s="2" t="inlineStr">
        <is>
          <t>Waning/Dark</t>
        </is>
      </c>
      <c r="D12" s="40" t="inlineStr">
        <is>
          <t>Fire</t>
        </is>
      </c>
      <c r="E12" s="40" t="inlineStr">
        <is>
          <t>Mars</t>
        </is>
      </c>
      <c r="F12" s="40" t="inlineStr">
        <is>
          <t>Tuesday</t>
        </is>
      </c>
      <c r="G12" s="40" t="inlineStr">
        <is>
          <t>Red</t>
        </is>
      </c>
      <c r="H12" s="40" t="inlineStr">
        <is>
          <t>South</t>
        </is>
      </c>
      <c r="I12" s="40" t="inlineStr">
        <is>
          <t>Projective</t>
        </is>
      </c>
      <c r="J12" s="40" t="inlineStr">
        <is>
          <t>Red, gold, crimson, orange, white</t>
        </is>
      </c>
      <c r="K12" s="40" t="inlineStr">
        <is>
          <t>9</t>
        </is>
      </c>
      <c r="L12" s="40" t="inlineStr">
        <is>
          <t>Aggression, conflict, dominance</t>
        </is>
      </c>
      <c r="M12" s="40" t="inlineStr">
        <is>
          <t>1, 3 or 7</t>
        </is>
      </c>
      <c r="N12" s="40" t="inlineStr">
        <is>
          <t>AGRIMONY, ANISE, BASIL, BAY LAUREL, CAMPHOR SYNTHETIC, CEDARWOOD (HIMALAYAN), CHIVE, CLOVER, CLOVER RED, CLOVES, COMFREY, DEVILS CLAW ROOT, DRAGON'S BLOOD, FRANKINCENSE, GARLIC POWDER, HOREHOUND, HYSSOP, JUNIPER BERRIES, LAVENDER FLOWERS, LEMON VERBENA, LEMONGRASS, MULLEIN, MUSTARD SEED WHITE, MYRRH GUM, OAKLEAF, PENNYROYAL, PEPPERMINT, PINE NUT, ROSE HIP, ROSEMARY, RUE, SAGE, SANDALWOOD RED, SANDALWOOD WHITE, SEA SALT, THYME, VALERIAN ROOT, VERVAIN, VIOLET, WITCH HAZEL LEAVES, BLACK SALT</t>
        </is>
      </c>
      <c r="O12" s="40" t="inlineStr">
        <is>
          <t>41</t>
        </is>
      </c>
      <c r="P12" s="40" t="inlineStr">
        <is>
          <t xml:space="preserve">Aquamarine, Hematite, Lepidolite, Obsidian, quartz smokey , quartz snow , Serpentine, Tourmalinee Black </t>
        </is>
      </c>
      <c r="Q12" s="40" t="inlineStr">
        <is>
          <t>8</t>
        </is>
      </c>
      <c r="R12" s="40" t="inlineStr">
        <is>
          <t>Fir Needle, Frankincense, Lemon Grass, Sandalwood w.i., Tea Tree, Ylang Ylang</t>
        </is>
      </c>
      <c r="S12" s="40" t="inlineStr">
        <is>
          <t>6</t>
        </is>
      </c>
      <c r="T12" s="40" t="inlineStr">
        <is>
          <t>THURISAZ, HAGALAZ, IHWAZ, ALGIZ, LAGUZ</t>
        </is>
      </c>
      <c r="U12" s="40" t="inlineStr">
        <is>
          <t>5</t>
        </is>
      </c>
      <c r="V12" s="40" t="inlineStr">
        <is>
          <t>AMBERELLA, ARTEMIS, BALDOR, CUPRA, DIANA, FLIDAIS, HECATE, HEL, HYGIA, ISIS, JUTERNA, KWAN-YIN AND BUDDHA, LUNA, MARS, SHIVA, THOR, ZEUS</t>
        </is>
      </c>
      <c r="W12" s="40" t="inlineStr">
        <is>
          <t>17</t>
        </is>
      </c>
      <c r="X12" t="inlineStr">
        <is>
          <t>Over 18</t>
        </is>
      </c>
      <c r="Y12" t="inlineStr">
        <is>
          <t>Release</t>
        </is>
      </c>
      <c r="Z12" t="inlineStr">
        <is>
          <t>All Three / User Choice</t>
        </is>
      </c>
      <c r="AA12" t="inlineStr">
        <is>
          <t>Yes</t>
        </is>
      </c>
      <c r="AB12" t="inlineStr">
        <is>
          <t>Yes</t>
        </is>
      </c>
      <c r="AC12" t="inlineStr">
        <is>
          <t>Yes</t>
        </is>
      </c>
      <c r="AD12" t="inlineStr">
        <is>
          <t>Adult / serious working: let the user choose Jar, Smoke and Flame, or Charm after reading the method notes.</t>
        </is>
      </c>
      <c r="AE12" t="inlineStr">
        <is>
          <t>App should pull this row's Greenman Energy Mode from the main item sheets. Use Secondary Energy Hint only if a serious/adult spell still needs a Draw/Hold/Release/Open/Transform flavour.</t>
        </is>
      </c>
      <c r="AF12" t="inlineStr">
        <is>
          <t>Burn and release, no remains</t>
        </is>
      </c>
      <c r="AG12" t="inlineStr">
        <is>
          <t>Bury in the earth</t>
        </is>
      </c>
    </row>
    <row r="13" ht="60" customHeight="1" s="56">
      <c r="A13" s="5" t="inlineStr">
        <is>
          <t>Protection, Banishing &amp; Warding</t>
        </is>
      </c>
      <c r="B13" s="5" t="inlineStr">
        <is>
          <t>Nightmare prevention</t>
        </is>
      </c>
      <c r="C13" s="4" t="inlineStr">
        <is>
          <t>Waning</t>
        </is>
      </c>
      <c r="D13" s="40" t="inlineStr">
        <is>
          <t>Air</t>
        </is>
      </c>
      <c r="E13" s="40" t="inlineStr">
        <is>
          <t>Moon</t>
        </is>
      </c>
      <c r="F13" s="40" t="inlineStr">
        <is>
          <t>Monday</t>
        </is>
      </c>
      <c r="G13" s="40" t="inlineStr">
        <is>
          <t>White</t>
        </is>
      </c>
      <c r="H13" s="40" t="inlineStr">
        <is>
          <t>East</t>
        </is>
      </c>
      <c r="I13" s="40" t="inlineStr">
        <is>
          <t>Projective</t>
        </is>
      </c>
      <c r="J13" s="40" t="inlineStr">
        <is>
          <t>Yellow, white, crimson</t>
        </is>
      </c>
      <c r="K13" s="40" t="inlineStr">
        <is>
          <t>2</t>
        </is>
      </c>
      <c r="L13" s="40" t="inlineStr">
        <is>
          <t>Duality, balance, couples, partnerships</t>
        </is>
      </c>
      <c r="M13" s="40" t="inlineStr">
        <is>
          <t>1, 3 or 7</t>
        </is>
      </c>
      <c r="N13" s="40" t="inlineStr">
        <is>
          <t>ANISE, CHAMOMILE, DILL, GARLIC POWDER, JASMINE, LAVENDER FLOWERS, MULLEIN, OAKBARK RED, PEPPERMINT, ROSEMARY, THYME, VALERIAN ROOT</t>
        </is>
      </c>
      <c r="O13" s="40" t="inlineStr">
        <is>
          <t>12</t>
        </is>
      </c>
      <c r="P13" s="40" t="inlineStr">
        <is>
          <t>Lepidolite, Red Jasper, Ruby</t>
        </is>
      </c>
      <c r="Q13" s="40" t="inlineStr">
        <is>
          <t>3</t>
        </is>
      </c>
      <c r="R13" s="40" t="inlineStr">
        <is>
          <t>Cedarwood</t>
        </is>
      </c>
      <c r="S13" s="40" t="inlineStr">
        <is>
          <t>1</t>
        </is>
      </c>
      <c r="T13" s="40" t="inlineStr">
        <is>
          <t>LAGUZ</t>
        </is>
      </c>
      <c r="U13" s="40" t="inlineStr">
        <is>
          <t>1</t>
        </is>
      </c>
      <c r="V13" s="40" t="inlineStr">
        <is>
          <t>SELENE, LUNA, HECATE, DIANA, ODIN, SATURN, MERCURY</t>
        </is>
      </c>
      <c r="W13" s="40" t="n">
        <v>7</v>
      </c>
      <c r="X13" t="inlineStr">
        <is>
          <t>Hold</t>
        </is>
      </c>
      <c r="Y13" t="inlineStr">
        <is>
          <t>Hold</t>
        </is>
      </c>
      <c r="Z13" t="inlineStr">
        <is>
          <t>Spell Jar</t>
        </is>
      </c>
      <c r="AA13" t="inlineStr">
        <is>
          <t>Yes</t>
        </is>
      </c>
      <c r="AB13" t="inlineStr">
        <is>
          <t>Maybe</t>
        </is>
      </c>
      <c r="AC13" t="inlineStr">
        <is>
          <t>Yes</t>
        </is>
      </c>
      <c r="AD13" t="inlineStr">
        <is>
          <t>Hold boundaries, guard, ward and keep protection steady.</t>
        </is>
      </c>
      <c r="AE13" t="inlineStr">
        <is>
          <t>App should pull this row's Greenman Energy Mode from the main item sheets. Use Secondary Energy Hint only if a serious/adult spell still needs a Draw/Hold/Release/Open/Transform flavour.</t>
        </is>
      </c>
      <c r="AF13" t="inlineStr">
        <is>
          <t>Keep it hidden and safe</t>
        </is>
      </c>
      <c r="AG13" t="inlineStr">
        <is>
          <t>Hang it in the home | Carry it close on your person</t>
        </is>
      </c>
    </row>
    <row r="14" ht="60" customHeight="1" s="56">
      <c r="A14" s="3" t="inlineStr">
        <is>
          <t>Protection, Banishing &amp; Warding</t>
        </is>
      </c>
      <c r="B14" s="3" t="inlineStr">
        <is>
          <t>Protection</t>
        </is>
      </c>
      <c r="C14" s="2" t="inlineStr">
        <is>
          <t>Waning</t>
        </is>
      </c>
      <c r="D14" s="40" t="inlineStr">
        <is>
          <t>Fire</t>
        </is>
      </c>
      <c r="E14" s="40" t="inlineStr">
        <is>
          <t>Mars</t>
        </is>
      </c>
      <c r="F14" s="40" t="inlineStr">
        <is>
          <t>Tuesday</t>
        </is>
      </c>
      <c r="G14" s="40" t="inlineStr">
        <is>
          <t>Red</t>
        </is>
      </c>
      <c r="H14" s="40" t="inlineStr">
        <is>
          <t>South</t>
        </is>
      </c>
      <c r="I14" s="40" t="inlineStr">
        <is>
          <t>Projective</t>
        </is>
      </c>
      <c r="J14" s="40" t="inlineStr">
        <is>
          <t>Red, gold, crimson, orange, white</t>
        </is>
      </c>
      <c r="K14" s="40" t="inlineStr">
        <is>
          <t>9</t>
        </is>
      </c>
      <c r="L14" s="40" t="inlineStr">
        <is>
          <t>Aggression, conflict, dominance</t>
        </is>
      </c>
      <c r="M14" s="40" t="inlineStr">
        <is>
          <t>1, 3 or 7</t>
        </is>
      </c>
      <c r="N14" s="40" t="inlineStr">
        <is>
          <t>ACORN, AGRIMONY, ANISE, BASIL, BAY LAUREL, BLACKBERRY LEAVES, CARAWAY, CEDARWOOD (HIMALAYAN), CINNAMON STICKS, CLOVER, CLOVES, DEVILS CLAW ROOT, DILL, ELDERFLOWER, FENNEL (SEED), GARLIC POWDER, HOREHOUND, HYSSOP, JUNIPER BERRIES, LADIES MANTLE, LAVENDER FLOWERS, MULLEIN, MUSTARD SEED WHITE, MYRRH GUM, NETTLE, OAKBARK RED, SWEET MYRRH, OREGANO, PARSLEY, PENNYROYAL, PEPPERMINT, PINE NUT, RASPBERRY LEAF, ROSE BUDS RED, ROSEMARY, RUE, SANDALWOOD RED, SANDALWOOD WHITE, ST JOHN'S WORT, THYME, VALERIAN ROOT, VERVAIN, VIOLET LEAVES, VIOLET, WILLOW BARK, WINTERGREEN, WITCH HAZEL BARK, WITCH HAZEL LEAVES, BLACK SALT</t>
        </is>
      </c>
      <c r="O14" s="40" t="inlineStr">
        <is>
          <t>49</t>
        </is>
      </c>
      <c r="P14" s="40" t="inlineStr">
        <is>
          <t>Amethyst, Apache Tears, Aquamarine, Aventurine, chrysophase, Quartz Clear , Emerald, Garnet, Hematite, Iolite, Jade (jadeite), Jet, Labradorite, Lapis Lazuli, Malachite, Obsidian, obsidian snowflake, Onyx, Opal pink, Peridot, quartz rutilated , quartz smokey , Red Jasper, Ruby, Sodalite, Tiger Eye gold, Tourmalinee Black , Turquoise, Amber</t>
        </is>
      </c>
      <c r="Q14" s="40" t="inlineStr">
        <is>
          <t>29</t>
        </is>
      </c>
      <c r="R14" s="40" t="inlineStr">
        <is>
          <t>Cedarwood, Clove Bud, Fir Needle, Frankincense, Geranium, Honeysuckle, Juniper, Marjoram, Pine, Rose, Rosemary, Sandalwood w.i., Tea Tree, Ylang Ylang, Cinnamon, Sandalwood In.</t>
        </is>
      </c>
      <c r="S14" s="40" t="inlineStr">
        <is>
          <t>16</t>
        </is>
      </c>
      <c r="T14" s="40" t="inlineStr">
        <is>
          <t>URUZ, THURISAZ, HAGALAZ, ISA, IHWAZ, ALGIZ, TIWAZ, OTHILA</t>
        </is>
      </c>
      <c r="U14" s="40" t="inlineStr">
        <is>
          <t>8</t>
        </is>
      </c>
      <c r="V14" s="40" t="inlineStr">
        <is>
          <t>AMBERELLA, ARTEMIS, BALDOR, CUPRA, DIANA, FLIDAIS, HECATE, HYGIA, ISIS, KWAN-YIN AND BUDDHA, LUNA, MARS, SECH, SHIVA, THE GREAT MOTHER, THOR, ZEUS, FRIGG, HOLDA</t>
        </is>
      </c>
      <c r="W14" s="40" t="inlineStr">
        <is>
          <t>19</t>
        </is>
      </c>
      <c r="X14" t="inlineStr">
        <is>
          <t>Hold</t>
        </is>
      </c>
      <c r="Y14" t="inlineStr">
        <is>
          <t>Hold</t>
        </is>
      </c>
      <c r="Z14" t="inlineStr">
        <is>
          <t>Spell Jar</t>
        </is>
      </c>
      <c r="AA14" t="inlineStr">
        <is>
          <t>Yes</t>
        </is>
      </c>
      <c r="AB14" t="inlineStr">
        <is>
          <t>Maybe</t>
        </is>
      </c>
      <c r="AC14" t="inlineStr">
        <is>
          <t>Yes</t>
        </is>
      </c>
      <c r="AD14" t="inlineStr">
        <is>
          <t>Hold boundaries, guard, ward and keep protection steady.</t>
        </is>
      </c>
      <c r="AE14" t="inlineStr">
        <is>
          <t>App should pull this row's Greenman Energy Mode from the main item sheets. Use Secondary Energy Hint only if a serious/adult spell still needs a Draw/Hold/Release/Open/Transform flavour.</t>
        </is>
      </c>
      <c r="AF14" t="inlineStr">
        <is>
          <t>Carry it close on your person</t>
        </is>
      </c>
      <c r="AG14" t="inlineStr">
        <is>
          <t>Hang it in the home | Keep it hidden and safe | Bury in the earth</t>
        </is>
      </c>
    </row>
    <row r="15" ht="60" customHeight="1" s="56">
      <c r="A15" s="5" t="inlineStr">
        <is>
          <t>Over 18 🔞</t>
        </is>
      </c>
      <c r="B15" s="5" t="inlineStr">
        <is>
          <t>Protection (hexes/evil)</t>
        </is>
      </c>
      <c r="C15" s="4" t="inlineStr">
        <is>
          <t>Waning</t>
        </is>
      </c>
      <c r="D15" s="40" t="inlineStr">
        <is>
          <t>Fire</t>
        </is>
      </c>
      <c r="E15" s="40" t="inlineStr">
        <is>
          <t>Mars</t>
        </is>
      </c>
      <c r="F15" s="40" t="inlineStr">
        <is>
          <t>Tuesday</t>
        </is>
      </c>
      <c r="G15" s="40" t="inlineStr">
        <is>
          <t>Black</t>
        </is>
      </c>
      <c r="H15" s="40" t="inlineStr">
        <is>
          <t>South</t>
        </is>
      </c>
      <c r="I15" s="40" t="inlineStr">
        <is>
          <t>Projective</t>
        </is>
      </c>
      <c r="J15" s="40" t="inlineStr">
        <is>
          <t>Red, gold, crimson, orange, white</t>
        </is>
      </c>
      <c r="K15" s="40" t="inlineStr">
        <is>
          <t>9</t>
        </is>
      </c>
      <c r="L15" s="40" t="inlineStr">
        <is>
          <t>Aggression, conflict, dominance</t>
        </is>
      </c>
      <c r="M15" s="40" t="inlineStr">
        <is>
          <t>1, 3 or 7</t>
        </is>
      </c>
      <c r="N15" s="40" t="inlineStr">
        <is>
          <t>AGRIMONY, ANISE, BASIL, BAY LAUREL, CHIVE, CLOVES, COLTSFOOT, DILL, DRAGON'S BLOOD, ELDERFLOWER, FENNEL (SEED), GINGER ROOT, HOREHOUND, LAVENDER FLOWERS, LEMONGRASS, LINSEED, MULLEIN, MUSTARD SEED WHITE, MYRRH GUM, OAKLEAF, SWEET MYRRH, PENNYROYAL, PEPPERMINT, PINE NUT, ROSEMARY, RUE, SAGE, SANDALWOOD RED, TANSY, VERVAIN, BLACK SALT</t>
        </is>
      </c>
      <c r="O15" s="40" t="inlineStr">
        <is>
          <t>31</t>
        </is>
      </c>
      <c r="P15" s="40" t="inlineStr">
        <is>
          <t>Obsidian, obsidian snowflake, Tourmalinee Black , Turquoise, Amber</t>
        </is>
      </c>
      <c r="Q15" s="40" t="inlineStr">
        <is>
          <t>5</t>
        </is>
      </c>
      <c r="R15" s="40" t="inlineStr">
        <is>
          <t>Frankincense</t>
        </is>
      </c>
      <c r="S15" s="40" t="inlineStr">
        <is>
          <t>1</t>
        </is>
      </c>
      <c r="T15" s="40" t="inlineStr">
        <is>
          <t>THURISAZ, KAUNO, HAGALAZ, ALGIZ</t>
        </is>
      </c>
      <c r="U15" s="40" t="inlineStr">
        <is>
          <t>4</t>
        </is>
      </c>
      <c r="V15" s="40" t="inlineStr">
        <is>
          <t>AESCULAPUS, AMATERASU, AMBERELLA, ARTEMIS, ASTARTE, BALDOR, BONA DEA, BRIGID, CUPRA, DIANA, DIONYSUS, FLIDAIS, HECATE, HYGIA, ISIS, JUTERNA, KWAI-YIN, KWAN-YIN AND BUDDHA, LUNA, MARS</t>
        </is>
      </c>
      <c r="W15" s="40" t="inlineStr">
        <is>
          <t>28</t>
        </is>
      </c>
      <c r="X15" t="inlineStr">
        <is>
          <t>Over 18</t>
        </is>
      </c>
      <c r="Y15" t="inlineStr">
        <is>
          <t>Hold</t>
        </is>
      </c>
      <c r="Z15" t="inlineStr">
        <is>
          <t>All Three / User Choice</t>
        </is>
      </c>
      <c r="AA15" t="inlineStr">
        <is>
          <t>Yes</t>
        </is>
      </c>
      <c r="AB15" t="inlineStr">
        <is>
          <t>Yes</t>
        </is>
      </c>
      <c r="AC15" t="inlineStr">
        <is>
          <t>Yes</t>
        </is>
      </c>
      <c r="AD15" t="inlineStr">
        <is>
          <t>Adult / serious working: let the user choose Jar, Smoke and Flame, or Charm after reading the method notes.</t>
        </is>
      </c>
      <c r="AE15" t="inlineStr">
        <is>
          <t>App should pull this row's Greenman Energy Mode from the main item sheets. Use Secondary Energy Hint only if a serious/adult spell still needs a Draw/Hold/Release/Open/Transform flavour.</t>
        </is>
      </c>
      <c r="AF15" t="inlineStr">
        <is>
          <t>Carry it close on your person</t>
        </is>
      </c>
      <c r="AG15" t="inlineStr">
        <is>
          <t>Hang it in the home | Keep it hidden and safe</t>
        </is>
      </c>
    </row>
    <row r="16" ht="60" customHeight="1" s="56">
      <c r="A16" s="3" t="inlineStr">
        <is>
          <t>Protection, Banishing &amp; Warding</t>
        </is>
      </c>
      <c r="B16" s="3" t="inlineStr">
        <is>
          <t>Warding</t>
        </is>
      </c>
      <c r="C16" s="2" t="inlineStr">
        <is>
          <t>Waning</t>
        </is>
      </c>
      <c r="D16" s="40" t="inlineStr">
        <is>
          <t>Earth</t>
        </is>
      </c>
      <c r="E16" s="40" t="inlineStr">
        <is>
          <t>Saturn</t>
        </is>
      </c>
      <c r="F16" s="40" t="inlineStr">
        <is>
          <t>Saturday</t>
        </is>
      </c>
      <c r="G16" s="40" t="inlineStr">
        <is>
          <t>Black</t>
        </is>
      </c>
      <c r="H16" s="40" t="inlineStr">
        <is>
          <t>North</t>
        </is>
      </c>
      <c r="I16" s="40" t="inlineStr">
        <is>
          <t>Receptive</t>
        </is>
      </c>
      <c r="J16" s="40" t="inlineStr">
        <is>
          <t>Black, green, yellow, brown</t>
        </is>
      </c>
      <c r="K16" s="40" t="inlineStr">
        <is>
          <t>8</t>
        </is>
      </c>
      <c r="L16" s="40" t="inlineStr">
        <is>
          <t>Material aspects, travel, protection, discipline</t>
        </is>
      </c>
      <c r="M16" s="40" t="inlineStr">
        <is>
          <t>1, 3 or 7</t>
        </is>
      </c>
      <c r="N16" s="40" t="inlineStr">
        <is>
          <t>AGRIMONY, ANISE, BASIL, BAY LAUREL, CHIVE, CLOVES, COLTSFOOT, DILL, DRAGON'S BLOOD, ELDERFLOWER, FENNEL (SEED), GINGER ROOT, HOREHOUND, LAVENDER FLOWERS, LEMONGRASS, LINSEED, MULLEIN, MUSTARD SEED WHITE, MYRRH GUM, OAKLEAF, SWEET MYRRH, PENNYROYAL, PEPPERMINT, PINE NUT, ROSEMARY, RUE, SAGE, SANDALWOOD RED, TANSY, VERVAIN, BLACK SALT</t>
        </is>
      </c>
      <c r="O16" s="40" t="inlineStr">
        <is>
          <t>31</t>
        </is>
      </c>
      <c r="P16" s="40" t="inlineStr">
        <is>
          <t>Obsidian, obsidian snowflake, Tourmalinee Black , Turquoise, Amber</t>
        </is>
      </c>
      <c r="Q16" s="40" t="inlineStr">
        <is>
          <t>5</t>
        </is>
      </c>
      <c r="R16" s="40" t="inlineStr">
        <is>
          <t>Frankincense</t>
        </is>
      </c>
      <c r="S16" s="40" t="inlineStr">
        <is>
          <t>1</t>
        </is>
      </c>
      <c r="T16" s="40" t="inlineStr">
        <is>
          <t>THURISAZ, KAUNO, HAGALAZ, ALGIZ</t>
        </is>
      </c>
      <c r="U16" s="40" t="inlineStr">
        <is>
          <t>4</t>
        </is>
      </c>
      <c r="V16" s="40" t="inlineStr">
        <is>
          <t>AESCULAPUS, AMATERASU, AMBERELLA, ARTEMIS, ASTARTE, BALDOR, BONA DEA, BRIGID, CUPRA, DIANA, DIONYSUS, FLIDAIS, HECATE, HYGIA, ISIS, JUTERNA, KWAI-YIN, KWAN-YIN AND BUDDHA, LUNA, MARS</t>
        </is>
      </c>
      <c r="W16" s="40" t="inlineStr">
        <is>
          <t>28</t>
        </is>
      </c>
      <c r="X16" t="inlineStr">
        <is>
          <t>Hold</t>
        </is>
      </c>
      <c r="Y16" t="inlineStr">
        <is>
          <t>Hold</t>
        </is>
      </c>
      <c r="Z16" t="inlineStr">
        <is>
          <t>Spell Jar</t>
        </is>
      </c>
      <c r="AA16" t="inlineStr">
        <is>
          <t>Yes</t>
        </is>
      </c>
      <c r="AB16" t="inlineStr">
        <is>
          <t>Maybe</t>
        </is>
      </c>
      <c r="AC16" t="inlineStr">
        <is>
          <t>Yes</t>
        </is>
      </c>
      <c r="AD16" t="inlineStr">
        <is>
          <t>Hold boundaries, guard, ward and keep protection steady.</t>
        </is>
      </c>
      <c r="AE16" t="inlineStr">
        <is>
          <t>App should pull this row's Greenman Energy Mode from the main item sheets. Use Secondary Energy Hint only if a serious/adult spell still needs a Draw/Hold/Release/Open/Transform flavour.</t>
        </is>
      </c>
      <c r="AF16" t="inlineStr">
        <is>
          <t>Hang it in the home</t>
        </is>
      </c>
      <c r="AG16" t="inlineStr">
        <is>
          <t>Keep it hidden and safe | Bury in the earth</t>
        </is>
      </c>
    </row>
    <row r="17" ht="60" customHeight="1" s="56">
      <c r="A17" s="5" t="inlineStr">
        <is>
          <t>Divination, Dreams &amp; Psychic Work</t>
        </is>
      </c>
      <c r="B17" s="5" t="inlineStr">
        <is>
          <t>Clairvoyance</t>
        </is>
      </c>
      <c r="C17" s="4" t="inlineStr">
        <is>
          <t>Waxing/Full</t>
        </is>
      </c>
      <c r="D17" s="40" t="inlineStr">
        <is>
          <t>Air</t>
        </is>
      </c>
      <c r="E17" s="40" t="inlineStr">
        <is>
          <t>Mercury</t>
        </is>
      </c>
      <c r="F17" s="40" t="inlineStr">
        <is>
          <t>Wednesday</t>
        </is>
      </c>
      <c r="G17" s="40" t="inlineStr">
        <is>
          <t>Yellow</t>
        </is>
      </c>
      <c r="H17" s="40" t="inlineStr">
        <is>
          <t>East</t>
        </is>
      </c>
      <c r="I17" s="40" t="inlineStr">
        <is>
          <t>Projective</t>
        </is>
      </c>
      <c r="J17" s="40" t="inlineStr">
        <is>
          <t>Yellow, white, crimson</t>
        </is>
      </c>
      <c r="K17" s="40" t="inlineStr">
        <is>
          <t>5</t>
        </is>
      </c>
      <c r="L17" s="40" t="inlineStr">
        <is>
          <t>Communication, fulfilment</t>
        </is>
      </c>
      <c r="M17" s="40" t="inlineStr">
        <is>
          <t>1 or 3</t>
        </is>
      </c>
      <c r="N17" s="40" t="inlineStr">
        <is>
          <t>ANISE, BASIL, BAY LAUREL, CAMPHOR SYNTHETIC, CINNAMON STICKS, CLEAVERS, CLOVES, COLTSFOOT, GARLIC POWDER, GINGER ROOT, JUNIPER BERRIES, LAVENDER FLOWERS, LEMON BALM, NUTMEG POWDER, OAKBARK RED, OREGANO, PARSLEY, PEPPERMINT, ROSE BUDS RED, ROSEMARY, SAGE, SANDALWOOD RED, SANDALWOOD WHITE, SEA SALT, THYME</t>
        </is>
      </c>
      <c r="O17" s="40" t="inlineStr">
        <is>
          <t>25</t>
        </is>
      </c>
      <c r="P17" s="40" t="inlineStr">
        <is>
          <t>agate Blue Lace , agate Moss , Amazonite, Amethyst, Apache Tears, Aquamarine, Calcite, Carnelian, Quartz Clear , Emerald, Flourite, Fuchsite, Howlite, Iolite, Jet, Kyanite, Labradorite, Lapis Lazuli, Moonstone, obsidian snowflake, Opal pink, Peridot, Petrified Wood, quartz rutilated , Sapphire, Seraphinite, Serpentine, Sodalite, Sugilite, Sunstone, Tanzanite, Tiger Eye gold, Topaz, Turquoise, Yellow Aventurine</t>
        </is>
      </c>
      <c r="Q17" s="40" t="inlineStr">
        <is>
          <t>35</t>
        </is>
      </c>
      <c r="R17" s="40" t="inlineStr">
        <is>
          <t>Bergamot, Honeysuckle, Lavender, Neroli, Peppermint, Sandalwood In.</t>
        </is>
      </c>
      <c r="S17" s="40" t="inlineStr">
        <is>
          <t>6</t>
        </is>
      </c>
      <c r="T17" s="40" t="inlineStr">
        <is>
          <t>ANSUZ, PERTH, SOWILO, TIWAZ, LAGUZ, DAGAZ</t>
        </is>
      </c>
      <c r="U17" s="40" t="inlineStr">
        <is>
          <t>6</t>
        </is>
      </c>
      <c r="V17" s="40" t="inlineStr">
        <is>
          <t>ALL GODDESSES, ALL LUNAR GODDESSES, ARADIA, ARES, ARIANRHOD, BEFANA, CUPRA, DIANA, GOD AND GODDESS IN BALANCE, HECATE, KWAI-YIN, LOKI, LUNA, MOTHER GODESS, NUIT, RA, SELENE, SOL, SOPHIA, TITIANA</t>
        </is>
      </c>
      <c r="W17" s="40" t="inlineStr">
        <is>
          <t>26</t>
        </is>
      </c>
      <c r="X17" t="inlineStr">
        <is>
          <t>Open / Reveal</t>
        </is>
      </c>
      <c r="Y17" t="inlineStr">
        <is>
          <t>Open / Reveal</t>
        </is>
      </c>
      <c r="Z17" t="inlineStr">
        <is>
          <t>Smoke and Flame</t>
        </is>
      </c>
      <c r="AA17" t="inlineStr">
        <is>
          <t>Maybe</t>
        </is>
      </c>
      <c r="AB17" t="inlineStr">
        <is>
          <t>Yes</t>
        </is>
      </c>
      <c r="AC17" t="inlineStr">
        <is>
          <t>Yes</t>
        </is>
      </c>
      <c r="AD17" t="inlineStr">
        <is>
          <t>Open sight, smoke, dream roads and hidden knowledge.</t>
        </is>
      </c>
      <c r="AE17" t="inlineStr">
        <is>
          <t>App should pull this row's Greenman Energy Mode from the main item sheets. Use Secondary Energy Hint only if a serious/adult spell still needs a Draw/Hold/Release/Open/Transform flavour.</t>
        </is>
      </c>
      <c r="AF17" t="inlineStr">
        <is>
          <t>Carry it close on your person</t>
        </is>
      </c>
      <c r="AG17" t="inlineStr">
        <is>
          <t>Place at a shrine or altar | Place in a tree</t>
        </is>
      </c>
    </row>
    <row r="18" ht="60" customHeight="1" s="56">
      <c r="A18" s="3" t="inlineStr">
        <is>
          <t>Divination, Dreams &amp; Psychic Work</t>
        </is>
      </c>
      <c r="B18" s="3" t="inlineStr">
        <is>
          <t>Divination</t>
        </is>
      </c>
      <c r="C18" s="2" t="inlineStr">
        <is>
          <t>Full</t>
        </is>
      </c>
      <c r="D18" s="40" t="inlineStr">
        <is>
          <t>Air</t>
        </is>
      </c>
      <c r="E18" s="40" t="inlineStr">
        <is>
          <t>Mercury</t>
        </is>
      </c>
      <c r="F18" s="40" t="inlineStr">
        <is>
          <t>Wednesday</t>
        </is>
      </c>
      <c r="G18" s="40" t="inlineStr">
        <is>
          <t>Yellow</t>
        </is>
      </c>
      <c r="H18" s="40" t="inlineStr">
        <is>
          <t>East</t>
        </is>
      </c>
      <c r="I18" s="40" t="inlineStr">
        <is>
          <t>Projective</t>
        </is>
      </c>
      <c r="J18" s="40" t="inlineStr">
        <is>
          <t>Yellow, white, crimson</t>
        </is>
      </c>
      <c r="K18" s="40" t="inlineStr">
        <is>
          <t>5</t>
        </is>
      </c>
      <c r="L18" s="40" t="inlineStr">
        <is>
          <t>Communication, fulfilment</t>
        </is>
      </c>
      <c r="M18" s="40" t="inlineStr">
        <is>
          <t>1 or 3</t>
        </is>
      </c>
      <c r="N18" s="40" t="inlineStr">
        <is>
          <t>ANISE, BASIL, BAY LAUREL, BLACK TEA, CINNAMON STICKS, CLOVES, COLTSFOOT, COMFREY, FENNEL (SEED), GARLIC POWDER, GOLDENROD, JASMINE, LAVENDER FLOWERS, NUTMEG POWDER, ORRIS ROOT POWDER, PARSLEY, PEPPERMINT, PINE NUT, ROSE BUDS PINK, ROSE BUDS RED, SAGE, SANDALWOOD WHITE, THYME, VIOLET LEAVES, VIOLET, YARROW</t>
        </is>
      </c>
      <c r="O18" s="40" t="inlineStr">
        <is>
          <t>26</t>
        </is>
      </c>
      <c r="P18" s="40" t="inlineStr">
        <is>
          <t>Emerald, Jet, Moonstone, obsidian snowflake, Onyx, Sapphire, Tanzanite</t>
        </is>
      </c>
      <c r="Q18" s="40" t="inlineStr">
        <is>
          <t>7</t>
        </is>
      </c>
      <c r="R18" s="40" t="inlineStr">
        <is>
          <t>Lemon Grass, Orange Bitter</t>
        </is>
      </c>
      <c r="S18" s="40" t="inlineStr">
        <is>
          <t>2</t>
        </is>
      </c>
      <c r="T18" s="40" t="inlineStr">
        <is>
          <t>ANSUZ, PERTH, LAGUZ</t>
        </is>
      </c>
      <c r="U18" s="40" t="inlineStr">
        <is>
          <t>3</t>
        </is>
      </c>
      <c r="V18" s="40" t="inlineStr">
        <is>
          <t>ALL GODDESSES, ALL LUNAR GODDESSES, ARADIA, ARES, ARIANRHOD, BEFANA, CUPRA, DIANA, GOD AND GODDESS IN BALANCE, HECATE, KWAI-YIN, LUNA, MOTHER GODESS, NUIT, RA, SELENE, SOL, SOPHIA, TITIANA, VAC</t>
        </is>
      </c>
      <c r="W18" s="40" t="inlineStr">
        <is>
          <t>28</t>
        </is>
      </c>
      <c r="X18" t="inlineStr">
        <is>
          <t>Open / Reveal</t>
        </is>
      </c>
      <c r="Y18" t="inlineStr">
        <is>
          <t>Open / Reveal</t>
        </is>
      </c>
      <c r="Z18" t="inlineStr">
        <is>
          <t>Smoke and Flame</t>
        </is>
      </c>
      <c r="AA18" t="inlineStr">
        <is>
          <t>Maybe</t>
        </is>
      </c>
      <c r="AB18" t="inlineStr">
        <is>
          <t>Yes</t>
        </is>
      </c>
      <c r="AC18" t="inlineStr">
        <is>
          <t>Yes</t>
        </is>
      </c>
      <c r="AD18" t="inlineStr">
        <is>
          <t>Open sight, smoke, dream roads and hidden knowledge.</t>
        </is>
      </c>
      <c r="AE18" t="inlineStr">
        <is>
          <t>App should pull this row's Greenman Energy Mode from the main item sheets. Use Secondary Energy Hint only if a serious/adult spell still needs a Draw/Hold/Release/Open/Transform flavour.</t>
        </is>
      </c>
      <c r="AF18" t="inlineStr">
        <is>
          <t>Place at a shrine or altar</t>
        </is>
      </c>
      <c r="AG18" t="inlineStr">
        <is>
          <t>Carry it close on your person | Place in a tree</t>
        </is>
      </c>
    </row>
    <row r="19" ht="60" customHeight="1" s="56">
      <c r="A19" s="5" t="inlineStr">
        <is>
          <t>Divination, Dreams &amp; Psychic Work</t>
        </is>
      </c>
      <c r="B19" s="5" t="inlineStr">
        <is>
          <t>Prophetic dreams</t>
        </is>
      </c>
      <c r="C19" s="4" t="inlineStr">
        <is>
          <t>Full</t>
        </is>
      </c>
      <c r="D19" s="40" t="inlineStr">
        <is>
          <t>Water</t>
        </is>
      </c>
      <c r="E19" s="40" t="inlineStr">
        <is>
          <t>Moon</t>
        </is>
      </c>
      <c r="F19" s="40" t="inlineStr">
        <is>
          <t>Monday</t>
        </is>
      </c>
      <c r="G19" s="40" t="inlineStr">
        <is>
          <t>Blue</t>
        </is>
      </c>
      <c r="H19" s="40" t="inlineStr">
        <is>
          <t>West</t>
        </is>
      </c>
      <c r="I19" s="40" t="inlineStr">
        <is>
          <t>Receptive</t>
        </is>
      </c>
      <c r="J19" s="40" t="inlineStr">
        <is>
          <t>Blue, turquoise, green, grey, indigo, black</t>
        </is>
      </c>
      <c r="K19" s="40" t="inlineStr">
        <is>
          <t>2</t>
        </is>
      </c>
      <c r="L19" s="40" t="inlineStr">
        <is>
          <t>Duality, balance, couples, partnerships</t>
        </is>
      </c>
      <c r="M19" s="40" t="inlineStr">
        <is>
          <t>1 or 3</t>
        </is>
      </c>
      <c r="N19" s="40" t="inlineStr">
        <is>
          <t>BASIL, BAY LAUREL, CAMPHOR SYNTHETIC, CARAWAY, COLTSFOOT, EYEBRIGHT, GOLDENROD, JASMINE, LAVENDER FLOWERS, LEMON VERBENA, MARIGOLD, MULLEIN, NUTMEG POWDER, OAKBARK RED, ORRIS ROOT POWDER, PEPPERMINT, ROSE BUDS RED, ROSE PETALS, ROSEMARY, THYME, VIOLET LEAVES, VIOLET</t>
        </is>
      </c>
      <c r="O19" s="40" t="inlineStr">
        <is>
          <t>22</t>
        </is>
      </c>
      <c r="P19" s="40" t="inlineStr">
        <is>
          <t>Amethyst, Opal pink, Peridot, Pyrite (Fool's Gold), Sugilite</t>
        </is>
      </c>
      <c r="Q19" s="40" t="inlineStr">
        <is>
          <t>5</t>
        </is>
      </c>
      <c r="R19" s="40" t="inlineStr">
        <is>
          <t>Lavender, Sandalwood In., Juniper, Melissa</t>
        </is>
      </c>
      <c r="S19" s="40" t="n">
        <v>4</v>
      </c>
      <c r="T19" s="40" t="inlineStr">
        <is>
          <t>ANSUZ, PERTH, SOWILO, MANNAZ</t>
        </is>
      </c>
      <c r="U19" s="40" t="inlineStr">
        <is>
          <t>4</t>
        </is>
      </c>
      <c r="V19" s="40" t="inlineStr">
        <is>
          <t>ALL GODDESSES, ALL LUNAR GODDESSES, ARADIA, ARES, ARIANRHOD, BEFANA, CUPRA, DIANA, GOD AND GODDESS IN BALANCE, HECATE, JUTERNA, KWAI-YIN, LUNA, MOTHER GODESS, NUIT, RA, SELENE, SOL, SOPHIA, TITIANA</t>
        </is>
      </c>
      <c r="W19" s="40" t="inlineStr">
        <is>
          <t>25</t>
        </is>
      </c>
      <c r="X19" t="inlineStr">
        <is>
          <t>Open / Reveal</t>
        </is>
      </c>
      <c r="Y19" t="inlineStr">
        <is>
          <t>Open / Reveal</t>
        </is>
      </c>
      <c r="Z19" t="inlineStr">
        <is>
          <t>Smoke and Flame</t>
        </is>
      </c>
      <c r="AA19" t="inlineStr">
        <is>
          <t>Maybe</t>
        </is>
      </c>
      <c r="AB19" t="inlineStr">
        <is>
          <t>Yes</t>
        </is>
      </c>
      <c r="AC19" t="inlineStr">
        <is>
          <t>Yes</t>
        </is>
      </c>
      <c r="AD19" t="inlineStr">
        <is>
          <t>Open sight, smoke, dream roads and hidden knowledge.</t>
        </is>
      </c>
      <c r="AE19" t="inlineStr">
        <is>
          <t>App should pull this row's Greenman Energy Mode from the main item sheets. Use Secondary Energy Hint only if a serious/adult spell still needs a Draw/Hold/Release/Open/Transform flavour.</t>
        </is>
      </c>
      <c r="AF19" t="inlineStr">
        <is>
          <t>Keep it hidden and safe</t>
        </is>
      </c>
      <c r="AG19" t="inlineStr">
        <is>
          <t>Place at a shrine or altar | Carry it close on your person</t>
        </is>
      </c>
    </row>
    <row r="20" ht="60" customHeight="1" s="56">
      <c r="A20" s="3" t="inlineStr">
        <is>
          <t>Divination, Dreams &amp; Psychic Work</t>
        </is>
      </c>
      <c r="B20" s="3" t="inlineStr">
        <is>
          <t>Negating dreams</t>
        </is>
      </c>
      <c r="C20" s="2" t="inlineStr">
        <is>
          <t>Waning</t>
        </is>
      </c>
      <c r="D20" s="40" t="inlineStr">
        <is>
          <t>Water</t>
        </is>
      </c>
      <c r="E20" s="40" t="inlineStr">
        <is>
          <t>Moon</t>
        </is>
      </c>
      <c r="F20" s="40" t="inlineStr">
        <is>
          <t>Monday</t>
        </is>
      </c>
      <c r="G20" s="40" t="inlineStr">
        <is>
          <t>Blue</t>
        </is>
      </c>
      <c r="H20" s="40" t="inlineStr">
        <is>
          <t>West</t>
        </is>
      </c>
      <c r="I20" s="40" t="inlineStr">
        <is>
          <t>Receptive</t>
        </is>
      </c>
      <c r="J20" s="40" t="inlineStr">
        <is>
          <t>Blue, turquoise, green, grey, indigo, black</t>
        </is>
      </c>
      <c r="K20" s="40" t="inlineStr">
        <is>
          <t>2</t>
        </is>
      </c>
      <c r="L20" s="40" t="inlineStr">
        <is>
          <t>Duality, balance, couples, partnerships</t>
        </is>
      </c>
      <c r="M20" s="40" t="inlineStr">
        <is>
          <t>1 or 3</t>
        </is>
      </c>
      <c r="N20" s="40" t="inlineStr">
        <is>
          <t>ANISE, CHAMOMILE, DILL, GARLIC POWDER, JASMINE, LAVENDER FLOWERS, MULLEIN, OAKBARK RED, PEPPERMINT, ROSEMARY, THYME, VALERIAN ROOT</t>
        </is>
      </c>
      <c r="O20" s="40" t="inlineStr">
        <is>
          <t>12</t>
        </is>
      </c>
      <c r="P20" s="40" t="inlineStr">
        <is>
          <t>Lepidolite, Red Jasper, Ruby</t>
        </is>
      </c>
      <c r="Q20" s="40" t="inlineStr">
        <is>
          <t>3</t>
        </is>
      </c>
      <c r="R20" s="40" t="inlineStr">
        <is>
          <t>Cedarwood</t>
        </is>
      </c>
      <c r="S20" s="40" t="inlineStr">
        <is>
          <t>1</t>
        </is>
      </c>
      <c r="T20" s="40" t="inlineStr">
        <is>
          <t>LAGUZ</t>
        </is>
      </c>
      <c r="U20" s="40" t="inlineStr">
        <is>
          <t>1</t>
        </is>
      </c>
      <c r="V20" s="40" t="inlineStr">
        <is>
          <t>SELENE, LUNA, HECATE, DIANA, ODIN, SATURN, MERCURY</t>
        </is>
      </c>
      <c r="W20" s="40" t="n">
        <v>7</v>
      </c>
      <c r="X20" t="inlineStr">
        <is>
          <t>Release</t>
        </is>
      </c>
      <c r="Y20" t="inlineStr">
        <is>
          <t>Release</t>
        </is>
      </c>
      <c r="Z20" t="inlineStr">
        <is>
          <t>Smoke and Flame</t>
        </is>
      </c>
      <c r="AA20" t="inlineStr">
        <is>
          <t>Maybe</t>
        </is>
      </c>
      <c r="AB20" t="inlineStr">
        <is>
          <t>Yes</t>
        </is>
      </c>
      <c r="AC20" t="inlineStr">
        <is>
          <t>Yes</t>
        </is>
      </c>
      <c r="AD20" t="inlineStr">
        <is>
          <t>Open sight, smoke, dream roads and hidden knowledge.</t>
        </is>
      </c>
      <c r="AE20" t="inlineStr">
        <is>
          <t>App should pull this row's Greenman Energy Mode from the main item sheets. Use Secondary Energy Hint only if a serious/adult spell still needs a Draw/Hold/Release/Open/Transform flavour.</t>
        </is>
      </c>
      <c r="AF20" t="inlineStr">
        <is>
          <t>Bury in the earth</t>
        </is>
      </c>
      <c r="AG20" t="inlineStr">
        <is>
          <t>Leave in running water | Burn and release, no remains</t>
        </is>
      </c>
    </row>
    <row r="21" ht="60" customHeight="1" s="56">
      <c r="A21" s="5" t="inlineStr">
        <is>
          <t>Divination, Dreams &amp; Psychic Work</t>
        </is>
      </c>
      <c r="B21" s="5" t="inlineStr">
        <is>
          <t>Subconscious work</t>
        </is>
      </c>
      <c r="C21" s="4" t="inlineStr">
        <is>
          <t>Dark</t>
        </is>
      </c>
      <c r="D21" s="40" t="inlineStr">
        <is>
          <t>Water</t>
        </is>
      </c>
      <c r="E21" s="40" t="inlineStr">
        <is>
          <t>Moon</t>
        </is>
      </c>
      <c r="F21" s="40" t="inlineStr">
        <is>
          <t>Monday</t>
        </is>
      </c>
      <c r="G21" s="40" t="inlineStr">
        <is>
          <t>Black</t>
        </is>
      </c>
      <c r="H21" s="40" t="inlineStr">
        <is>
          <t>West</t>
        </is>
      </c>
      <c r="I21" s="40" t="inlineStr">
        <is>
          <t>Receptive</t>
        </is>
      </c>
      <c r="J21" s="40" t="inlineStr">
        <is>
          <t>Blue, turquoise, green, grey, indigo, black</t>
        </is>
      </c>
      <c r="K21" s="40" t="inlineStr">
        <is>
          <t>2</t>
        </is>
      </c>
      <c r="L21" s="40" t="inlineStr">
        <is>
          <t>Duality, balance, couples, partnerships</t>
        </is>
      </c>
      <c r="M21" s="40" t="inlineStr">
        <is>
          <t>1 or 3</t>
        </is>
      </c>
      <c r="N21" s="40" t="inlineStr">
        <is>
          <t>BASIL, BAY LAUREL, CAMPHOR SYNTHETIC, CARAWAY, COLTSFOOT, EYEBRIGHT, GOLDENROD, JASMINE, LAVENDER FLOWERS, LEMON VERBENA, MARIGOLD, MULLEIN, NUTMEG POWDER, OAKBARK RED, ORRIS ROOT POWDER, PEPPERMINT, ROSE BUDS RED, ROSE PETALS, ROSEMARY, THYME, VIOLET LEAVES, VIOLET</t>
        </is>
      </c>
      <c r="O21" s="40" t="inlineStr">
        <is>
          <t>22</t>
        </is>
      </c>
      <c r="P21" s="40" t="inlineStr">
        <is>
          <t>Amethyst, Opal pink, Peridot, Pyrite (Fool's Gold), Sugilite</t>
        </is>
      </c>
      <c r="Q21" s="40" t="inlineStr">
        <is>
          <t>5</t>
        </is>
      </c>
      <c r="R21" s="40" t="inlineStr">
        <is>
          <t>Sandalwood In., Frankincense, Lavender, Patchouli</t>
        </is>
      </c>
      <c r="S21" s="40" t="n">
        <v>4</v>
      </c>
      <c r="T21" s="40" t="inlineStr">
        <is>
          <t>ANSUZ, PERTH, SOWILO, MANNAZ</t>
        </is>
      </c>
      <c r="U21" s="40" t="inlineStr">
        <is>
          <t>4</t>
        </is>
      </c>
      <c r="V21" s="40" t="inlineStr">
        <is>
          <t>ALL GODDESSES, ALL LUNAR GODDESSES, ARADIA, ARES, ARIANRHOD, BEFANA, CUPRA, DIANA, GOD AND GODDESS IN BALANCE, HECATE, JUTERNA, KWAI-YIN, LUNA, MOTHER GODESS, NUIT, RA, SELENE, SOL, SOPHIA, TITIANA</t>
        </is>
      </c>
      <c r="W21" s="40" t="inlineStr">
        <is>
          <t>25</t>
        </is>
      </c>
      <c r="X21" t="inlineStr">
        <is>
          <t>Open / Reveal</t>
        </is>
      </c>
      <c r="Y21" t="inlineStr">
        <is>
          <t>Open / Reveal</t>
        </is>
      </c>
      <c r="Z21" t="inlineStr">
        <is>
          <t>Smoke and Flame</t>
        </is>
      </c>
      <c r="AA21" t="inlineStr">
        <is>
          <t>Maybe</t>
        </is>
      </c>
      <c r="AB21" t="inlineStr">
        <is>
          <t>Yes</t>
        </is>
      </c>
      <c r="AC21" t="inlineStr">
        <is>
          <t>Yes</t>
        </is>
      </c>
      <c r="AD21" t="inlineStr">
        <is>
          <t>Open sight, smoke, dream roads and hidden knowledge.</t>
        </is>
      </c>
      <c r="AE21" t="inlineStr">
        <is>
          <t>App should pull this row's Greenman Energy Mode from the main item sheets. Use Secondary Energy Hint only if a serious/adult spell still needs a Draw/Hold/Release/Open/Transform flavour.</t>
        </is>
      </c>
      <c r="AF21" t="inlineStr">
        <is>
          <t>Carry it close on your person</t>
        </is>
      </c>
      <c r="AG21" t="inlineStr">
        <is>
          <t>Place at a shrine or altar | Keep it hidden and safe</t>
        </is>
      </c>
    </row>
    <row r="22" ht="60" customHeight="1" s="56">
      <c r="A22" s="3" t="inlineStr">
        <is>
          <t>Cleansing, Purification &amp; Healing</t>
        </is>
      </c>
      <c r="B22" s="3" t="inlineStr">
        <is>
          <t>Cleansing</t>
        </is>
      </c>
      <c r="C22" s="2" t="inlineStr">
        <is>
          <t>Waning</t>
        </is>
      </c>
      <c r="D22" s="40" t="inlineStr">
        <is>
          <t>Water</t>
        </is>
      </c>
      <c r="E22" s="40" t="inlineStr">
        <is>
          <t>Moon</t>
        </is>
      </c>
      <c r="F22" s="40" t="inlineStr">
        <is>
          <t>Monday</t>
        </is>
      </c>
      <c r="G22" s="40" t="inlineStr">
        <is>
          <t>White</t>
        </is>
      </c>
      <c r="H22" s="40" t="inlineStr">
        <is>
          <t>West</t>
        </is>
      </c>
      <c r="I22" s="40" t="inlineStr">
        <is>
          <t>Receptive</t>
        </is>
      </c>
      <c r="J22" s="40" t="inlineStr">
        <is>
          <t>Blue, turquoise, green, grey, indigo, black</t>
        </is>
      </c>
      <c r="K22" s="40" t="inlineStr">
        <is>
          <t>2</t>
        </is>
      </c>
      <c r="L22" s="40" t="inlineStr">
        <is>
          <t>Duality, balance, couples, partnerships</t>
        </is>
      </c>
      <c r="M22" s="40" t="inlineStr">
        <is>
          <t>1, 3 or 7</t>
        </is>
      </c>
      <c r="N22" s="40" t="inlineStr">
        <is>
          <t>AGRIMONY, ANISE, BASIL, BAY LAUREL, CAMPHOR SYNTHETIC, CEDARWOOD (HIMALAYAN), CHIVE, CLOVER, CLOVER RED, CLOVES, COMFREY, DEVILS CLAW ROOT, DRAGON'S BLOOD, FRANKINCENSE, GARLIC POWDER, HOREHOUND, HYSSOP, JUNIPER BERRIES, LAVENDER FLOWERS, LEMON VERBENA, LEMONGRASS, MULLEIN, MUSTARD SEED WHITE, MYRRH GUM, OAKLEAF, PENNYROYAL, PEPPERMINT, PINE NUT, ROSE HIP, ROSEMARY, RUE, SAGE, SANDALWOOD RED, SANDALWOOD WHITE, SEA SALT, THYME, VALERIAN ROOT, VERVAIN, VIOLET, WITCH HAZEL LEAVES, BLACK SALT, WORMWOOD</t>
        </is>
      </c>
      <c r="O22" s="40" t="inlineStr">
        <is>
          <t>42</t>
        </is>
      </c>
      <c r="P22" s="40" t="inlineStr">
        <is>
          <t xml:space="preserve">Aquamarine, Hematite, Lepidolite, Obsidian, quartz smokey , quartz snow , Serpentine, Tourmalinee Black </t>
        </is>
      </c>
      <c r="Q22" s="40" t="inlineStr">
        <is>
          <t>8</t>
        </is>
      </c>
      <c r="R22" s="40" t="inlineStr">
        <is>
          <t>Fir Needle, Frankincense, Lemon Grass, Sandalwood w.i., Tea Tree, Ylang Ylang</t>
        </is>
      </c>
      <c r="S22" s="40" t="inlineStr">
        <is>
          <t>6</t>
        </is>
      </c>
      <c r="T22" s="40" t="inlineStr">
        <is>
          <t>THURISAZ, HAGALAZ, IHWAZ, ALGIZ, LAGUZ</t>
        </is>
      </c>
      <c r="U22" s="40" t="inlineStr">
        <is>
          <t>5</t>
        </is>
      </c>
      <c r="V22" s="40" t="inlineStr">
        <is>
          <t>AMBERELLA, ARTEMIS, BALDOR, CUPRA, DIANA, FLIDAIS, HECATE, HEL, HYGIA, ISIS, JUTERNA, KWAN-YIN AND BUDDHA, LUNA, MARS, SHIVA, THOR, ZEUS</t>
        </is>
      </c>
      <c r="W22" s="40" t="inlineStr">
        <is>
          <t>17</t>
        </is>
      </c>
      <c r="X22" t="inlineStr">
        <is>
          <t>Release</t>
        </is>
      </c>
      <c r="Y22" t="inlineStr">
        <is>
          <t>Release</t>
        </is>
      </c>
      <c r="Z22" t="inlineStr">
        <is>
          <t>Smoke and Flame</t>
        </is>
      </c>
      <c r="AA22" t="inlineStr">
        <is>
          <t>Maybe</t>
        </is>
      </c>
      <c r="AB22" t="inlineStr">
        <is>
          <t>Yes</t>
        </is>
      </c>
      <c r="AC22" t="inlineStr">
        <is>
          <t>Yes</t>
        </is>
      </c>
      <c r="AD22" t="inlineStr">
        <is>
          <t>Clear, cleanse, restore or soothe depending on chosen spell.</t>
        </is>
      </c>
      <c r="AE22" t="inlineStr">
        <is>
          <t>App should pull this row's Greenman Energy Mode from the main item sheets. Use Secondary Energy Hint only if a serious/adult spell still needs a Draw/Hold/Release/Open/Transform flavour.</t>
        </is>
      </c>
      <c r="AF22" t="inlineStr">
        <is>
          <t>Burn and release, no remains</t>
        </is>
      </c>
      <c r="AG22" t="inlineStr">
        <is>
          <t>Bury in the earth | Leave in running water</t>
        </is>
      </c>
    </row>
    <row r="23" ht="60" customHeight="1" s="56">
      <c r="A23" s="5" t="inlineStr">
        <is>
          <t>Cleansing, Purification &amp; Healing</t>
        </is>
      </c>
      <c r="B23" s="5" t="inlineStr">
        <is>
          <t>Dispelling sickness</t>
        </is>
      </c>
      <c r="C23" s="4" t="inlineStr">
        <is>
          <t>Waning</t>
        </is>
      </c>
      <c r="D23" s="40" t="inlineStr">
        <is>
          <t>Fire</t>
        </is>
      </c>
      <c r="E23" s="40" t="inlineStr">
        <is>
          <t>Sun</t>
        </is>
      </c>
      <c r="F23" s="40" t="inlineStr">
        <is>
          <t>Sunday</t>
        </is>
      </c>
      <c r="G23" s="40" t="inlineStr">
        <is>
          <t>Orange</t>
        </is>
      </c>
      <c r="H23" s="40" t="inlineStr">
        <is>
          <t>South</t>
        </is>
      </c>
      <c r="I23" s="40" t="inlineStr">
        <is>
          <t>Projective</t>
        </is>
      </c>
      <c r="J23" s="40" t="inlineStr">
        <is>
          <t>Red, gold, crimson, orange, white</t>
        </is>
      </c>
      <c r="K23" s="40" t="inlineStr">
        <is>
          <t>1</t>
        </is>
      </c>
      <c r="L23" s="40" t="inlineStr">
        <is>
          <t>Developing the self, the All, wholeness, unity, beginnings</t>
        </is>
      </c>
      <c r="M23" s="40" t="inlineStr">
        <is>
          <t>1, 3 or 7</t>
        </is>
      </c>
      <c r="N23" s="40" t="inlineStr">
        <is>
          <t>AGRIMONY, ANISE, BASIL, BAY LAUREL, CHIVE, CLOVES, COLTSFOOT, DILL, DRAGON'S BLOOD, ELDERFLOWER, FENNEL (SEED), GINGER ROOT, HOREHOUND, LAVENDER FLOWERS, LEMONGRASS, LINSEED, MULLEIN, MUSTARD SEED WHITE, MYRRH GUM, OAKLEAF, SWEET MYRRH, PENNYROYAL, PEPPERMINT, PINE NUT, ROSEMARY, RUE, SAGE, SANDALWOOD RED, TANSY, VERVAIN, BLACK SALT</t>
        </is>
      </c>
      <c r="O23" s="40" t="inlineStr">
        <is>
          <t>31</t>
        </is>
      </c>
      <c r="P23" s="40" t="inlineStr">
        <is>
          <t>Obsidian, obsidian snowflake, Tourmalinee Black , Turquoise, Amber</t>
        </is>
      </c>
      <c r="Q23" s="40" t="inlineStr">
        <is>
          <t>5</t>
        </is>
      </c>
      <c r="R23" s="40" t="inlineStr">
        <is>
          <t>Frankincense</t>
        </is>
      </c>
      <c r="S23" s="40" t="inlineStr">
        <is>
          <t>1</t>
        </is>
      </c>
      <c r="T23" s="40" t="inlineStr">
        <is>
          <t>THURISAZ, KAUNO, HAGALAZ, ALGIZ</t>
        </is>
      </c>
      <c r="U23" s="40" t="inlineStr">
        <is>
          <t>4</t>
        </is>
      </c>
      <c r="V23" s="40" t="inlineStr">
        <is>
          <t>AESCULAPUS, AMATERASU, AMBERELLA, ARTEMIS, ASTARTE, BALDOR, BONA DEA, BRIGID, CUPRA, DIANA, DIONYSUS, FLIDAIS, HECATE, HYGIA, ISIS, JUTERNA, KWAI-YIN, KWAN-YIN AND BUDDHA, LUNA, MARS</t>
        </is>
      </c>
      <c r="W23" s="40" t="inlineStr">
        <is>
          <t>28</t>
        </is>
      </c>
      <c r="X23" t="inlineStr">
        <is>
          <t>Release</t>
        </is>
      </c>
      <c r="Y23" t="inlineStr">
        <is>
          <t>Release</t>
        </is>
      </c>
      <c r="Z23" t="inlineStr">
        <is>
          <t>Smoke and Flame</t>
        </is>
      </c>
      <c r="AA23" t="inlineStr">
        <is>
          <t>Maybe</t>
        </is>
      </c>
      <c r="AB23" t="inlineStr">
        <is>
          <t>Yes</t>
        </is>
      </c>
      <c r="AC23" t="inlineStr">
        <is>
          <t>Yes</t>
        </is>
      </c>
      <c r="AD23" t="inlineStr">
        <is>
          <t>Clear, cleanse, restore or soothe depending on chosen spell.</t>
        </is>
      </c>
      <c r="AE23" t="inlineStr">
        <is>
          <t>App should pull this row's Greenman Energy Mode from the main item sheets. Use Secondary Energy Hint only if a serious/adult spell still needs a Draw/Hold/Release/Open/Transform flavour.</t>
        </is>
      </c>
      <c r="AF23" t="inlineStr">
        <is>
          <t>Burn and release, no remains</t>
        </is>
      </c>
      <c r="AG23" t="inlineStr">
        <is>
          <t>Bury in the earth</t>
        </is>
      </c>
    </row>
    <row r="24" ht="60" customHeight="1" s="56">
      <c r="A24" s="3" t="inlineStr">
        <is>
          <t>Cleansing, Purification &amp; Healing</t>
        </is>
      </c>
      <c r="B24" s="3" t="inlineStr">
        <is>
          <t>Healing</t>
        </is>
      </c>
      <c r="C24" s="2" t="inlineStr">
        <is>
          <t>Waxing</t>
        </is>
      </c>
      <c r="D24" s="40" t="inlineStr">
        <is>
          <t>Water</t>
        </is>
      </c>
      <c r="E24" s="40" t="inlineStr">
        <is>
          <t>Moon</t>
        </is>
      </c>
      <c r="F24" s="40" t="inlineStr">
        <is>
          <t>Monday</t>
        </is>
      </c>
      <c r="G24" s="40" t="inlineStr">
        <is>
          <t>Blue</t>
        </is>
      </c>
      <c r="H24" s="40" t="inlineStr">
        <is>
          <t>West</t>
        </is>
      </c>
      <c r="I24" s="40" t="inlineStr">
        <is>
          <t>Receptive</t>
        </is>
      </c>
      <c r="J24" s="40" t="inlineStr">
        <is>
          <t>Blue, turquoise, green, grey, indigo, black</t>
        </is>
      </c>
      <c r="K24" s="40" t="inlineStr">
        <is>
          <t>2</t>
        </is>
      </c>
      <c r="L24" s="40" t="inlineStr">
        <is>
          <t>Duality, balance, couples, partnerships</t>
        </is>
      </c>
      <c r="M24" s="40" t="inlineStr">
        <is>
          <t>1, 3 or 7</t>
        </is>
      </c>
      <c r="N24" s="40" t="inlineStr">
        <is>
          <t>AGRIMONY, BAY LAUREL, BLACK TEA, CALAMUS ROOT, CAMPHOR SYNTHETIC, CINNAMON STICKS, CLEAVERS, COLTSFOOT, COMFREY, GARLIC POWDER, GOLDENSEAL ROOT, HOREHOUND, LAVENDER FLOWERS, LEMON BALM, LINSEED, MUSTARD SEED WHITE, MYRRH GUM, OAKBARK RED, OAKLEAF, SWEET MYRRH, PENNYROYAL, PEPPERMINT, PINE NUT, ROSE BUDS PINK, ROSE BUDS RED, ROSE PETALS, ROSEMARY, RUE, SAGE, SANDALWOOD RED, SANDALWOOD WHITE, ST JOHN'S WORT, THYME, VIOLET LEAVES, VIOLET, WORMWOOD</t>
        </is>
      </c>
      <c r="O24" s="40" t="inlineStr">
        <is>
          <t>36</t>
        </is>
      </c>
      <c r="P24" s="40" t="inlineStr">
        <is>
          <t>agate Blue Lace , agate Botswana , agate Moss , Bloodstone, Calcite, Chrysocolla, Citrine, Quartz Clear , Fuchsite, Howlite, Jade (jadeite), Kyanite, Lepidolite, Lodestone, Peridot, quartz rutilated , quartz snow , Rhodocrosite, Rhodonite, Seraphinite, Yellow Aventurine</t>
        </is>
      </c>
      <c r="Q24" s="40" t="inlineStr">
        <is>
          <t>21</t>
        </is>
      </c>
      <c r="R24" s="40" t="inlineStr">
        <is>
          <t>Fir Needle, Geranium, Juniper, Marjoram, Melissa, Peppermint, Pine, Rosemary, Tea Tree, Thyme, Ginger, Sandalwood In.</t>
        </is>
      </c>
      <c r="S24" s="40" t="inlineStr">
        <is>
          <t>12</t>
        </is>
      </c>
      <c r="T24" s="40" t="inlineStr">
        <is>
          <t>URUZ, KAUNO, NAUDIZ, IHWAZ, SOWILO, BERKANAN, LAGUZ</t>
        </is>
      </c>
      <c r="U24" s="40" t="inlineStr">
        <is>
          <t>7</t>
        </is>
      </c>
      <c r="V24" s="40" t="inlineStr">
        <is>
          <t>AESCULAPUS, AMATERASU, AMBERELLA, ASTARTE, BONA DEA, BRIGID, DIONYSUS, FLIDAIS, GAIA, HECATE, HYGIA, ISIS, JUTERNA, KWAI-YIN, KWAN-YIN AND BUDDHA, MARY MAGDALENE, MINERVA, PLUTO, SECH, SEKHMET</t>
        </is>
      </c>
      <c r="W24" s="40" t="inlineStr">
        <is>
          <t>21</t>
        </is>
      </c>
      <c r="X24" t="inlineStr">
        <is>
          <t>Hold</t>
        </is>
      </c>
      <c r="Y24" t="inlineStr">
        <is>
          <t>Hold</t>
        </is>
      </c>
      <c r="Z24" t="inlineStr">
        <is>
          <t>Smoke and Flame</t>
        </is>
      </c>
      <c r="AA24" t="inlineStr">
        <is>
          <t>Maybe</t>
        </is>
      </c>
      <c r="AB24" t="inlineStr">
        <is>
          <t>Yes</t>
        </is>
      </c>
      <c r="AC24" t="inlineStr">
        <is>
          <t>Yes</t>
        </is>
      </c>
      <c r="AD24" t="inlineStr">
        <is>
          <t>Clear, cleanse, restore or soothe depending on chosen spell.</t>
        </is>
      </c>
      <c r="AE24" t="inlineStr">
        <is>
          <t>App should pull this row's Greenman Energy Mode from the main item sheets. Use Secondary Energy Hint only if a serious/adult spell still needs a Draw/Hold/Release/Open/Transform flavour.</t>
        </is>
      </c>
      <c r="AF24" t="inlineStr">
        <is>
          <t>Carry it close on your person</t>
        </is>
      </c>
      <c r="AG24" t="inlineStr">
        <is>
          <t>Place at a shrine or altar | Hang it in the home</t>
        </is>
      </c>
    </row>
    <row r="25" ht="60" customHeight="1" s="56">
      <c r="A25" s="5" t="inlineStr">
        <is>
          <t>Cleansing, Purification &amp; Healing</t>
        </is>
      </c>
      <c r="B25" s="5" t="inlineStr">
        <is>
          <t>Purification</t>
        </is>
      </c>
      <c r="C25" s="4" t="inlineStr">
        <is>
          <t>Waning</t>
        </is>
      </c>
      <c r="D25" s="40" t="inlineStr">
        <is>
          <t>Fire</t>
        </is>
      </c>
      <c r="E25" s="40" t="inlineStr">
        <is>
          <t>Sun</t>
        </is>
      </c>
      <c r="F25" s="40" t="inlineStr">
        <is>
          <t>Sunday</t>
        </is>
      </c>
      <c r="G25" s="40" t="inlineStr">
        <is>
          <t>White</t>
        </is>
      </c>
      <c r="H25" s="40" t="inlineStr">
        <is>
          <t>South</t>
        </is>
      </c>
      <c r="I25" s="40" t="inlineStr">
        <is>
          <t>Projective</t>
        </is>
      </c>
      <c r="J25" s="40" t="inlineStr">
        <is>
          <t>Red, gold, crimson, orange, white</t>
        </is>
      </c>
      <c r="K25" s="40" t="inlineStr">
        <is>
          <t>1</t>
        </is>
      </c>
      <c r="L25" s="40" t="inlineStr">
        <is>
          <t>Developing the self, the All, wholeness, unity, beginnings</t>
        </is>
      </c>
      <c r="M25" s="40" t="inlineStr">
        <is>
          <t>1, 3 or 7</t>
        </is>
      </c>
      <c r="N25" s="40" t="inlineStr">
        <is>
          <t>AGRIMONY, ANISE, BASIL, BAY LAUREL, BENZOIN, BLACKBERRY LEAVES, CAMPHOR SYNTHETIC, CARAWAY, CEDARWOOD (HIMALAYAN), CHAMOMILE, CHRYSANTHEMUM, CINNAMON STICKS, CLEAVERS, CLOVER RED, CLOVES, DEVILS CLAW ROOT, DRAGON'S BLOOD, FENNEL (SEED), GARLIC POWDER, HYSSOP, JUNIPER BERRIES, LADIES MANTLE, LAVENDER FLOWERS, MYRRH GUM, MYRRH GUM POWDER, OAKLEAF, SWEET MYRRH, PARSLEY, PENNYROYAL, PEPPERMINT, PINE NUT, ROSE BUDS RED, ROSE HIP, ROSEMARY, RUE, SAGE, SANDALWOOD WHITE, SEA SALT, THYME, TONKA BEANS, VALERIAN ROOT, WITCH HAZEL LEAVES, BLACK SALT</t>
        </is>
      </c>
      <c r="O25" s="40" t="inlineStr">
        <is>
          <t>43</t>
        </is>
      </c>
      <c r="P25" s="40" t="inlineStr">
        <is>
          <t>Aquamarine, Quartz Clear , quartz snow , Seraphinite</t>
        </is>
      </c>
      <c r="Q25" s="40" t="inlineStr">
        <is>
          <t>4</t>
        </is>
      </c>
      <c r="R25" s="40" t="inlineStr">
        <is>
          <t>Cedarwood, Clove Bud, Fir Needle, Lavender, Lemon, Neroli, Peppermint, Pine, Rosemary, Tea Tree, Thyme, Cinnamon, Sandalwood In.</t>
        </is>
      </c>
      <c r="S25" s="40" t="inlineStr">
        <is>
          <t>13</t>
        </is>
      </c>
      <c r="T25" s="40" t="inlineStr">
        <is>
          <t>THURISAZ, ISA, HAGALAZ, ALGIZ</t>
        </is>
      </c>
      <c r="U25" s="40" t="n">
        <v>4</v>
      </c>
      <c r="V25" s="40" t="inlineStr">
        <is>
          <t>GAIA, HYGIA, JUTERNA, BALDUR</t>
        </is>
      </c>
      <c r="W25" s="40" t="inlineStr">
        <is>
          <t>4</t>
        </is>
      </c>
      <c r="X25" t="inlineStr">
        <is>
          <t>Release</t>
        </is>
      </c>
      <c r="Y25" t="inlineStr">
        <is>
          <t>Release</t>
        </is>
      </c>
      <c r="Z25" t="inlineStr">
        <is>
          <t>Smoke and Flame</t>
        </is>
      </c>
      <c r="AA25" t="inlineStr">
        <is>
          <t>Maybe</t>
        </is>
      </c>
      <c r="AB25" t="inlineStr">
        <is>
          <t>Yes</t>
        </is>
      </c>
      <c r="AC25" t="inlineStr">
        <is>
          <t>Yes</t>
        </is>
      </c>
      <c r="AD25" t="inlineStr">
        <is>
          <t>Clear, cleanse, restore or soothe depending on chosen spell.</t>
        </is>
      </c>
      <c r="AE25" t="inlineStr">
        <is>
          <t>App should pull this row's Greenman Energy Mode from the main item sheets. Use Secondary Energy Hint only if a serious/adult spell still needs a Draw/Hold/Release/Open/Transform flavour.</t>
        </is>
      </c>
      <c r="AF25" t="inlineStr">
        <is>
          <t>Burn and release, no remains</t>
        </is>
      </c>
      <c r="AG25" t="inlineStr">
        <is>
          <t>Bury in the earth | Leave in running water</t>
        </is>
      </c>
    </row>
    <row r="26" ht="60" customHeight="1" s="56">
      <c r="A26" s="3" t="inlineStr">
        <is>
          <t>Power, Strength &amp; Confidence</t>
        </is>
      </c>
      <c r="B26" s="3" t="inlineStr">
        <is>
          <t>Bolstering spells</t>
        </is>
      </c>
      <c r="C26" s="2" t="inlineStr">
        <is>
          <t>Waxing</t>
        </is>
      </c>
      <c r="D26" s="40" t="inlineStr">
        <is>
          <t>Fire</t>
        </is>
      </c>
      <c r="E26" s="40" t="inlineStr">
        <is>
          <t>Sun</t>
        </is>
      </c>
      <c r="F26" s="40" t="inlineStr">
        <is>
          <t>Sunday</t>
        </is>
      </c>
      <c r="G26" s="40" t="inlineStr">
        <is>
          <t>Gold</t>
        </is>
      </c>
      <c r="H26" s="40" t="inlineStr">
        <is>
          <t>South</t>
        </is>
      </c>
      <c r="I26" s="40" t="inlineStr">
        <is>
          <t>Projective</t>
        </is>
      </c>
      <c r="J26" s="40" t="inlineStr">
        <is>
          <t>Red, gold, crimson, orange, white</t>
        </is>
      </c>
      <c r="K26" s="40" t="inlineStr">
        <is>
          <t>1</t>
        </is>
      </c>
      <c r="L26" s="40" t="inlineStr">
        <is>
          <t>Developing the self, the All, wholeness, unity, beginnings</t>
        </is>
      </c>
      <c r="M26" s="40" t="inlineStr">
        <is>
          <t>1 or 3</t>
        </is>
      </c>
      <c r="N26" s="40" t="inlineStr">
        <is>
          <t>CALAMUS ROOT, DRAGON'S BLOOD, DRAGON'S BLOOD RESIN, GARLIC POWDER, GOLDENSEAL ROOT, JUNIPER BERRIES, LADIES MANTLE, LAVENDER FLOWERS, SWEET MYRRH, ROSE BUDS PINK, WORMWOOD</t>
        </is>
      </c>
      <c r="O26" s="40" t="inlineStr">
        <is>
          <t>11</t>
        </is>
      </c>
      <c r="P26" s="40" t="inlineStr">
        <is>
          <t xml:space="preserve">Ametrine, Aragonite, Calcite, Quartz Clear , Flourite, Garnet, Hematite, Iolite, Labradorite, Lapis Lazuli, Malachite, quartz rutilated , Sapphire, Seraphinite, Serpentine, Sugilite, Tourmalinee Black </t>
        </is>
      </c>
      <c r="Q26" s="40" t="inlineStr">
        <is>
          <t>17</t>
        </is>
      </c>
      <c r="R26" s="40" t="inlineStr">
        <is>
          <t>Apple</t>
        </is>
      </c>
      <c r="S26" s="40" t="inlineStr">
        <is>
          <t>1</t>
        </is>
      </c>
      <c r="T26" s="40" t="inlineStr">
        <is>
          <t>URUZ, THURISAZ</t>
        </is>
      </c>
      <c r="U26" s="40" t="inlineStr">
        <is>
          <t>2</t>
        </is>
      </c>
      <c r="V26" s="40" t="inlineStr">
        <is>
          <t>LOKI, SOPHIA, VAC, VAK, ODIN, VERDANDI</t>
        </is>
      </c>
      <c r="W26" s="40" t="inlineStr">
        <is>
          <t>6</t>
        </is>
      </c>
      <c r="X26" t="inlineStr">
        <is>
          <t>Hold</t>
        </is>
      </c>
      <c r="Y26" t="inlineStr">
        <is>
          <t>Hold</t>
        </is>
      </c>
      <c r="Z26" t="inlineStr">
        <is>
          <t>Charm Bag</t>
        </is>
      </c>
      <c r="AA26" t="inlineStr">
        <is>
          <t>Maybe</t>
        </is>
      </c>
      <c r="AB26" t="inlineStr">
        <is>
          <t>Maybe</t>
        </is>
      </c>
      <c r="AC26" t="inlineStr">
        <is>
          <t>Yes</t>
        </is>
      </c>
      <c r="AD26" t="inlineStr">
        <is>
          <t>Carry courage, strength, focus or confidence close to the body.</t>
        </is>
      </c>
      <c r="AE26" t="inlineStr">
        <is>
          <t>App should pull this row's Greenman Energy Mode from the main item sheets. Use Secondary Energy Hint only if a serious/adult spell still needs a Draw/Hold/Release/Open/Transform flavour.</t>
        </is>
      </c>
      <c r="AF26" t="inlineStr">
        <is>
          <t>Carry it close on your person</t>
        </is>
      </c>
      <c r="AG26" t="inlineStr">
        <is>
          <t>Place at a shrine or altar</t>
        </is>
      </c>
    </row>
    <row r="27" ht="60" customHeight="1" s="56">
      <c r="A27" s="5" t="inlineStr">
        <is>
          <t>Power, Strength &amp; Confidence</t>
        </is>
      </c>
      <c r="B27" s="5" t="inlineStr">
        <is>
          <t>Confidence</t>
        </is>
      </c>
      <c r="C27" s="4" t="inlineStr">
        <is>
          <t>Waxing</t>
        </is>
      </c>
      <c r="D27" s="40" t="inlineStr">
        <is>
          <t>Fire</t>
        </is>
      </c>
      <c r="E27" s="40" t="inlineStr">
        <is>
          <t>Sun</t>
        </is>
      </c>
      <c r="F27" s="40" t="inlineStr">
        <is>
          <t>Sunday</t>
        </is>
      </c>
      <c r="G27" s="40" t="inlineStr">
        <is>
          <t>Gold</t>
        </is>
      </c>
      <c r="H27" s="40" t="inlineStr">
        <is>
          <t>South</t>
        </is>
      </c>
      <c r="I27" s="40" t="inlineStr">
        <is>
          <t>Projective</t>
        </is>
      </c>
      <c r="J27" s="40" t="inlineStr">
        <is>
          <t>Red, gold, crimson, orange, white</t>
        </is>
      </c>
      <c r="K27" s="40" t="inlineStr">
        <is>
          <t>1</t>
        </is>
      </c>
      <c r="L27" s="40" t="inlineStr">
        <is>
          <t>Developing the self, the All, wholeness, unity, beginnings</t>
        </is>
      </c>
      <c r="M27" s="40" t="inlineStr">
        <is>
          <t>1 or 3</t>
        </is>
      </c>
      <c r="N27" s="40" t="inlineStr">
        <is>
          <t>ACORN, BASIL, CALAMUS ROOT, DILL, FENNEL (SEED), GARLIC POWDER, OAKBARK RED, ROSEMARY, THYME</t>
        </is>
      </c>
      <c r="O27" s="40" t="inlineStr">
        <is>
          <t>9</t>
        </is>
      </c>
      <c r="P27" s="40" t="inlineStr">
        <is>
          <t>Aragonite, Bloodstone, Carnelian, Flourite, Goldstone, Kyanite, Malachite, Rhodonite, Ruby, Sunstone, Tiger Eye gold, Topaz, Unakite, Yellow Aventurine, Amber</t>
        </is>
      </c>
      <c r="Q27" s="40" t="inlineStr">
        <is>
          <t>15</t>
        </is>
      </c>
      <c r="R27" s="40" t="inlineStr">
        <is>
          <t>Bergamot, Neroli, Thyme</t>
        </is>
      </c>
      <c r="S27" s="40" t="inlineStr">
        <is>
          <t>3</t>
        </is>
      </c>
      <c r="T27" s="40" t="inlineStr">
        <is>
          <t>FEHU, URUZ, WUNJO, NAUDIZ, TIWAZ</t>
        </is>
      </c>
      <c r="U27" s="40" t="inlineStr">
        <is>
          <t>5</t>
        </is>
      </c>
      <c r="V27" s="40" t="inlineStr">
        <is>
          <t>ALL, ALL GODDESSES, ALL LUNAR GODDESSES, AMATERASU, AMBERELLA, APHRODITE, ARES, ASTARTE, BALDUR &amp; HATHOR, BUDDHA, CUPID, CUPRA, CYBELE, KWAN-YIN AND BUDDHA, LATONA, MAAT, MARS, MINERVA, MOTHER GODDESS, PARVATI</t>
        </is>
      </c>
      <c r="W27" s="40" t="inlineStr">
        <is>
          <t>30</t>
        </is>
      </c>
      <c r="X27" t="inlineStr">
        <is>
          <t>Hold</t>
        </is>
      </c>
      <c r="Y27" t="inlineStr">
        <is>
          <t>Hold</t>
        </is>
      </c>
      <c r="Z27" t="inlineStr">
        <is>
          <t>Charm Bag</t>
        </is>
      </c>
      <c r="AA27" t="inlineStr">
        <is>
          <t>Maybe</t>
        </is>
      </c>
      <c r="AB27" t="inlineStr">
        <is>
          <t>Maybe</t>
        </is>
      </c>
      <c r="AC27" t="inlineStr">
        <is>
          <t>Yes</t>
        </is>
      </c>
      <c r="AD27" t="inlineStr">
        <is>
          <t>Carry courage, strength, focus or confidence close to the body.</t>
        </is>
      </c>
      <c r="AE27" t="inlineStr">
        <is>
          <t>App should pull this row's Greenman Energy Mode from the main item sheets. Use Secondary Energy Hint only if a serious/adult spell still needs a Draw/Hold/Release/Open/Transform flavour.</t>
        </is>
      </c>
      <c r="AF27" t="inlineStr">
        <is>
          <t>Carry it close on your person</t>
        </is>
      </c>
      <c r="AG27" t="inlineStr">
        <is>
          <t>Place where it can be seen</t>
        </is>
      </c>
    </row>
    <row r="28" ht="60" customHeight="1" s="56">
      <c r="A28" s="3" t="inlineStr">
        <is>
          <t>Power, Strength &amp; Confidence</t>
        </is>
      </c>
      <c r="B28" s="3" t="inlineStr">
        <is>
          <t>Magical power</t>
        </is>
      </c>
      <c r="C28" s="2" t="inlineStr">
        <is>
          <t>Waxing/Full</t>
        </is>
      </c>
      <c r="D28" s="40" t="inlineStr">
        <is>
          <t>Fire</t>
        </is>
      </c>
      <c r="E28" s="40" t="inlineStr">
        <is>
          <t>Sun</t>
        </is>
      </c>
      <c r="F28" s="40" t="inlineStr">
        <is>
          <t>Sunday</t>
        </is>
      </c>
      <c r="G28" s="40" t="inlineStr">
        <is>
          <t>Gold</t>
        </is>
      </c>
      <c r="H28" s="40" t="inlineStr">
        <is>
          <t>South</t>
        </is>
      </c>
      <c r="I28" s="40" t="inlineStr">
        <is>
          <t>Projective</t>
        </is>
      </c>
      <c r="J28" s="40" t="inlineStr">
        <is>
          <t>Red, gold, crimson, orange, white</t>
        </is>
      </c>
      <c r="K28" s="40" t="inlineStr">
        <is>
          <t>1</t>
        </is>
      </c>
      <c r="L28" s="40" t="inlineStr">
        <is>
          <t>Developing the self, the All, wholeness, unity, beginnings</t>
        </is>
      </c>
      <c r="M28" s="40" t="inlineStr">
        <is>
          <t>1 or 3</t>
        </is>
      </c>
      <c r="N28" s="40" t="inlineStr">
        <is>
          <t>CALAMUS ROOT, DRAGON'S BLOOD, DRAGON'S BLOOD RESIN, GARLIC POWDER, GOLDENSEAL ROOT, JUNIPER BERRIES, LADIES MANTLE, LAVENDER FLOWERS, SWEET MYRRH, ROSE BUDS PINK, WORMWOOD</t>
        </is>
      </c>
      <c r="O28" s="40" t="inlineStr">
        <is>
          <t>11</t>
        </is>
      </c>
      <c r="P28" s="40" t="inlineStr">
        <is>
          <t xml:space="preserve">Ametrine, Aragonite, Calcite, Quartz Clear , Flourite, Garnet, Hematite, Iolite, Labradorite, Lapis Lazuli, Malachite, quartz rutilated , Sapphire, Seraphinite, Serpentine, Sugilite, Tourmalinee Black </t>
        </is>
      </c>
      <c r="Q28" s="40" t="inlineStr">
        <is>
          <t>17</t>
        </is>
      </c>
      <c r="R28" s="40" t="inlineStr">
        <is>
          <t>Apple</t>
        </is>
      </c>
      <c r="S28" s="40" t="inlineStr">
        <is>
          <t>1</t>
        </is>
      </c>
      <c r="T28" s="40" t="inlineStr">
        <is>
          <t>URUZ, THURISAZ</t>
        </is>
      </c>
      <c r="U28" s="40" t="inlineStr">
        <is>
          <t>2</t>
        </is>
      </c>
      <c r="V28" s="40" t="inlineStr">
        <is>
          <t>LOKI, SOPHIA, VAC, VAK, ODIN, VERDANDI</t>
        </is>
      </c>
      <c r="W28" s="40" t="inlineStr">
        <is>
          <t>6</t>
        </is>
      </c>
      <c r="X28" t="inlineStr">
        <is>
          <t>Hold</t>
        </is>
      </c>
      <c r="Y28" t="inlineStr">
        <is>
          <t>Hold</t>
        </is>
      </c>
      <c r="Z28" t="inlineStr">
        <is>
          <t>Charm Bag</t>
        </is>
      </c>
      <c r="AA28" t="inlineStr">
        <is>
          <t>Maybe</t>
        </is>
      </c>
      <c r="AB28" t="inlineStr">
        <is>
          <t>Maybe</t>
        </is>
      </c>
      <c r="AC28" t="inlineStr">
        <is>
          <t>Yes</t>
        </is>
      </c>
      <c r="AD28" t="inlineStr">
        <is>
          <t>Carry courage, strength, focus or confidence close to the body.</t>
        </is>
      </c>
      <c r="AE28" t="inlineStr">
        <is>
          <t>App should pull this row's Greenman Energy Mode from the main item sheets. Use Secondary Energy Hint only if a serious/adult spell still needs a Draw/Hold/Release/Open/Transform flavour.</t>
        </is>
      </c>
      <c r="AF28" t="inlineStr">
        <is>
          <t>Carry it close on your person</t>
        </is>
      </c>
      <c r="AG28" t="inlineStr">
        <is>
          <t>Place at a shrine or altar</t>
        </is>
      </c>
    </row>
    <row r="29" ht="60" customHeight="1" s="56">
      <c r="A29" s="5" t="inlineStr">
        <is>
          <t>Power, Strength &amp; Confidence</t>
        </is>
      </c>
      <c r="B29" s="5" t="inlineStr">
        <is>
          <t>Strength</t>
        </is>
      </c>
      <c r="C29" s="4" t="inlineStr">
        <is>
          <t>Waxing</t>
        </is>
      </c>
      <c r="D29" s="40" t="inlineStr">
        <is>
          <t>Fire</t>
        </is>
      </c>
      <c r="E29" s="40" t="inlineStr">
        <is>
          <t>Mars</t>
        </is>
      </c>
      <c r="F29" s="40" t="inlineStr">
        <is>
          <t>Tuesday</t>
        </is>
      </c>
      <c r="G29" s="40" t="inlineStr">
        <is>
          <t>Red</t>
        </is>
      </c>
      <c r="H29" s="40" t="inlineStr">
        <is>
          <t>South</t>
        </is>
      </c>
      <c r="I29" s="40" t="inlineStr">
        <is>
          <t>Projective</t>
        </is>
      </c>
      <c r="J29" s="40" t="inlineStr">
        <is>
          <t>Red, gold, crimson, orange, white</t>
        </is>
      </c>
      <c r="K29" s="40" t="inlineStr">
        <is>
          <t>9</t>
        </is>
      </c>
      <c r="L29" s="40" t="inlineStr">
        <is>
          <t>Aggression, conflict, dominance</t>
        </is>
      </c>
      <c r="M29" s="40" t="inlineStr">
        <is>
          <t>1 or 3</t>
        </is>
      </c>
      <c r="N29" s="40" t="inlineStr">
        <is>
          <t>ACORN, BASIL, BLACK TEA, FENNEL (SEED), GARLIC POWDER, MUSTARD SEED WHITE, OAKBARK RED, PINE NUT, ROSEMARY</t>
        </is>
      </c>
      <c r="O29" s="40" t="inlineStr">
        <is>
          <t>9</t>
        </is>
      </c>
      <c r="P29" s="40" t="inlineStr">
        <is>
          <t>agate Blue Lace , agate Botswana , agate Moss , Amazonite, Ametrine, Aragonite, Bloodstone, Carnelian, Chrysocolla, Citrine, Garnet, Goldstone, Hematite, Iolite, Labradorite, Lodestone, Obsidian, Onyx, Petrified Wood, quartz rutilated , quartz smokey , Ruby, Sodalite, Sunstone, Topaz</t>
        </is>
      </c>
      <c r="Q29" s="40" t="inlineStr">
        <is>
          <t>25</t>
        </is>
      </c>
      <c r="R29" s="40" t="inlineStr">
        <is>
          <t>Pine, Tea Tree, Ginger</t>
        </is>
      </c>
      <c r="S29" s="40" t="inlineStr">
        <is>
          <t>3</t>
        </is>
      </c>
      <c r="T29" s="40" t="inlineStr">
        <is>
          <t>URUZ, THURISAZ, HAGALAZ, NAUDIZ, IHWAZ, ALGIZ, TIWAZ</t>
        </is>
      </c>
      <c r="U29" s="40" t="inlineStr">
        <is>
          <t>7</t>
        </is>
      </c>
      <c r="V29" s="40" t="inlineStr">
        <is>
          <t>ALL, ALL GODDESSES, ALL LUNAR GODDESSES, AMATERASU, AMBERELLA, APHRODITE, ARES, ASTARTE, BALDUR &amp; HATHOR, BUDDHA, CUPID, CUPRA, CYBELE, GAIA, HYGIA, KWAN-YIN AND BUDDHA, LATONA, MAAT, MARS, MINERVA</t>
        </is>
      </c>
      <c r="W29" s="40" t="inlineStr">
        <is>
          <t>36</t>
        </is>
      </c>
      <c r="X29" t="inlineStr">
        <is>
          <t>Hold</t>
        </is>
      </c>
      <c r="Y29" t="inlineStr">
        <is>
          <t>Hold</t>
        </is>
      </c>
      <c r="Z29" t="inlineStr">
        <is>
          <t>Charm Bag</t>
        </is>
      </c>
      <c r="AA29" t="inlineStr">
        <is>
          <t>Maybe</t>
        </is>
      </c>
      <c r="AB29" t="inlineStr">
        <is>
          <t>Maybe</t>
        </is>
      </c>
      <c r="AC29" t="inlineStr">
        <is>
          <t>Yes</t>
        </is>
      </c>
      <c r="AD29" t="inlineStr">
        <is>
          <t>Carry courage, strength, focus or confidence close to the body.</t>
        </is>
      </c>
      <c r="AE29" t="inlineStr">
        <is>
          <t>App should pull this row's Greenman Energy Mode from the main item sheets. Use Secondary Energy Hint only if a serious/adult spell still needs a Draw/Hold/Release/Open/Transform flavour.</t>
        </is>
      </c>
      <c r="AF29" t="inlineStr">
        <is>
          <t>Carry it close on your person</t>
        </is>
      </c>
      <c r="AG29" t="inlineStr">
        <is>
          <t>Place at a shrine or altar</t>
        </is>
      </c>
    </row>
    <row r="30" ht="60" customHeight="1" s="56">
      <c r="A30" s="3" t="inlineStr">
        <is>
          <t>Power, Strength &amp; Confidence</t>
        </is>
      </c>
      <c r="B30" s="3" t="inlineStr">
        <is>
          <t>Truth</t>
        </is>
      </c>
      <c r="C30" s="2" t="inlineStr">
        <is>
          <t>Waxing/Dark</t>
        </is>
      </c>
      <c r="D30" s="40" t="inlineStr">
        <is>
          <t>Air</t>
        </is>
      </c>
      <c r="E30" s="40" t="inlineStr">
        <is>
          <t>Mercury</t>
        </is>
      </c>
      <c r="F30" s="40" t="inlineStr">
        <is>
          <t>Wednesday</t>
        </is>
      </c>
      <c r="G30" s="40" t="inlineStr">
        <is>
          <t>Yellow</t>
        </is>
      </c>
      <c r="H30" s="40" t="inlineStr">
        <is>
          <t>East</t>
        </is>
      </c>
      <c r="I30" s="40" t="inlineStr">
        <is>
          <t>Projective</t>
        </is>
      </c>
      <c r="J30" s="40" t="inlineStr">
        <is>
          <t>Yellow, white, crimson</t>
        </is>
      </c>
      <c r="K30" s="40" t="inlineStr">
        <is>
          <t>5</t>
        </is>
      </c>
      <c r="L30" s="40" t="inlineStr">
        <is>
          <t>Communication, fulfilment</t>
        </is>
      </c>
      <c r="M30" s="40" t="inlineStr">
        <is>
          <t>1 or 3</t>
        </is>
      </c>
      <c r="N30" s="40" t="inlineStr">
        <is>
          <t>BASIL, BAY LAUREL, CAMPHOR SYNTHETIC, CARAWAY, COLTSFOOT, EYEBRIGHT, GOLDENROD, JASMINE, LAVENDER FLOWERS, LEMON VERBENA, MARIGOLD, MULLEIN, NUTMEG POWDER, OAKBARK RED, ORRIS ROOT POWDER, PEPPERMINT, ROSE BUDS RED, ROSE PETALS, ROSEMARY, THYME, VIOLET LEAVES, VIOLET</t>
        </is>
      </c>
      <c r="O30" s="40" t="inlineStr">
        <is>
          <t>22</t>
        </is>
      </c>
      <c r="P30" s="40" t="inlineStr">
        <is>
          <t>Amethyst, Opal pink, Peridot, Pyrite (Fool's Gold), Sugilite</t>
        </is>
      </c>
      <c r="Q30" s="40" t="inlineStr">
        <is>
          <t>5</t>
        </is>
      </c>
      <c r="R30" s="40" t="inlineStr">
        <is>
          <t>Frankincense, Bergamot, Peppermint, Rosemary</t>
        </is>
      </c>
      <c r="S30" s="40" t="n">
        <v>4</v>
      </c>
      <c r="T30" s="40" t="inlineStr">
        <is>
          <t>ANSUZ, PERTH, SOWILO, MANNAZ</t>
        </is>
      </c>
      <c r="U30" s="40" t="inlineStr">
        <is>
          <t>4</t>
        </is>
      </c>
      <c r="V30" s="40" t="inlineStr">
        <is>
          <t>ALL GODDESSES, ALL LUNAR GODDESSES, ARADIA, ARES, ARIANRHOD, BEFANA, CUPRA, DIANA, GOD AND GODDESS IN BALANCE, HECATE, JUTERNA, KWAI-YIN, LUNA, MOTHER GODESS, NUIT, RA, SELENE, SOL, SOPHIA, TITIANA</t>
        </is>
      </c>
      <c r="W30" s="40" t="inlineStr">
        <is>
          <t>25</t>
        </is>
      </c>
      <c r="X30" t="inlineStr">
        <is>
          <t>Open / Reveal</t>
        </is>
      </c>
      <c r="Y30" t="inlineStr">
        <is>
          <t>Open / Reveal</t>
        </is>
      </c>
      <c r="Z30" t="inlineStr">
        <is>
          <t>Charm Bag</t>
        </is>
      </c>
      <c r="AA30" t="inlineStr">
        <is>
          <t>Maybe</t>
        </is>
      </c>
      <c r="AB30" t="inlineStr">
        <is>
          <t>Maybe</t>
        </is>
      </c>
      <c r="AC30" t="inlineStr">
        <is>
          <t>Yes</t>
        </is>
      </c>
      <c r="AD30" t="inlineStr">
        <is>
          <t>Carry courage, strength, focus or confidence close to the body.</t>
        </is>
      </c>
      <c r="AE30" t="inlineStr">
        <is>
          <t>App should pull this row's Greenman Energy Mode from the main item sheets. Use Secondary Energy Hint only if a serious/adult spell still needs a Draw/Hold/Release/Open/Transform flavour.</t>
        </is>
      </c>
      <c r="AF30" t="inlineStr">
        <is>
          <t>Carry it close on your person</t>
        </is>
      </c>
      <c r="AG30" t="inlineStr">
        <is>
          <t>Place at a shrine or altar</t>
        </is>
      </c>
    </row>
    <row r="31" ht="60" customHeight="1" s="56">
      <c r="A31" s="5" t="inlineStr">
        <is>
          <t>Prosperity, Wealth &amp; Luck</t>
        </is>
      </c>
      <c r="B31" s="5" t="inlineStr">
        <is>
          <t>Fortune</t>
        </is>
      </c>
      <c r="C31" s="4" t="inlineStr">
        <is>
          <t>Waxing</t>
        </is>
      </c>
      <c r="D31" s="40" t="inlineStr">
        <is>
          <t>Earth</t>
        </is>
      </c>
      <c r="E31" s="40" t="inlineStr">
        <is>
          <t>Jupiter</t>
        </is>
      </c>
      <c r="F31" s="40" t="inlineStr">
        <is>
          <t>Thursday</t>
        </is>
      </c>
      <c r="G31" s="40" t="inlineStr">
        <is>
          <t>Green</t>
        </is>
      </c>
      <c r="H31" s="40" t="inlineStr">
        <is>
          <t>North</t>
        </is>
      </c>
      <c r="I31" s="40" t="inlineStr">
        <is>
          <t>Receptive</t>
        </is>
      </c>
      <c r="J31" s="40" t="inlineStr">
        <is>
          <t>Black, green, yellow, brown</t>
        </is>
      </c>
      <c r="K31" s="40" t="inlineStr">
        <is>
          <t>3</t>
        </is>
      </c>
      <c r="L31" s="40" t="inlineStr">
        <is>
          <t>Health, triple aspects, psychism</t>
        </is>
      </c>
      <c r="M31" s="40" t="inlineStr">
        <is>
          <t>3 or 7</t>
        </is>
      </c>
      <c r="N31" s="40" t="inlineStr">
        <is>
          <t>ACORN, AGRIMONY, ANISE, BASIL, CHAMOMILE, CINNAMON STICKS, CLOVES, COMFREY, GARLIC POWDER, LAVENDER FLOWERS, MUSTARD SEED WHITE, MYRRH GUM, PARSLEY, PENNYROYAL, PEPPERMINT, PINE NUT, ROSE BUDS RED, ROSEMARY, RUE, SANDALWOOD WHITE, SEA SALT, VIOLET LEAVES, VIOLET, BLACK SALT, WORMWOOD</t>
        </is>
      </c>
      <c r="O31" s="40" t="inlineStr">
        <is>
          <t>25</t>
        </is>
      </c>
      <c r="P31" s="40" t="inlineStr">
        <is>
          <t>Amazonite, Apache Tears, Aventurine, Bloodstone, chrysophase, Jade (jadeite), Lodestone, Malachite, Onyx, Opal pink, Pyrite (Fool's Gold)</t>
        </is>
      </c>
      <c r="Q31" s="40" t="inlineStr">
        <is>
          <t>11</t>
        </is>
      </c>
      <c r="R31" s="40" t="inlineStr">
        <is>
          <t>Frankincense, Neroli, Orange Bitter, Rose, Sandalwood In.</t>
        </is>
      </c>
      <c r="S31" s="40" t="inlineStr">
        <is>
          <t>5</t>
        </is>
      </c>
      <c r="T31" s="40" t="inlineStr">
        <is>
          <t>FEHU, RAIDO, WUNJO</t>
        </is>
      </c>
      <c r="U31" s="40" t="inlineStr">
        <is>
          <t>3</t>
        </is>
      </c>
      <c r="V31" s="40" t="inlineStr">
        <is>
          <t>ALL GODDESSES, ALL LUNAR GODDESSES, AMATERASU, AMBERELLA, APHRODITE, ARADIA, BAAL, BACCHUS, BALDOR, BALDUR &amp; HATHOR, BEFANA, CUPID, DIONYSUS, ELECTRA, FATHER GOD, GOD AND GODDESS IN BALANCE, GREAT GODDESS. MANASA, JUPITER, KWAN-YIN AND BUDDHA, LUNA</t>
        </is>
      </c>
      <c r="W31" s="40" t="inlineStr">
        <is>
          <t>36</t>
        </is>
      </c>
      <c r="X31" t="inlineStr">
        <is>
          <t>Draw</t>
        </is>
      </c>
      <c r="Y31" t="inlineStr">
        <is>
          <t>Draw</t>
        </is>
      </c>
      <c r="Z31" t="inlineStr">
        <is>
          <t>Spell Jar</t>
        </is>
      </c>
      <c r="AA31" t="inlineStr">
        <is>
          <t>Yes</t>
        </is>
      </c>
      <c r="AB31" t="inlineStr">
        <is>
          <t>Maybe</t>
        </is>
      </c>
      <c r="AC31" t="inlineStr">
        <is>
          <t>Yes</t>
        </is>
      </c>
      <c r="AD31" t="inlineStr">
        <is>
          <t>Draw wealth, grow luck or move stagnant money energy.</t>
        </is>
      </c>
      <c r="AE31" t="inlineStr">
        <is>
          <t>App should pull this row's Greenman Energy Mode from the main item sheets. Use Secondary Energy Hint only if a serious/adult spell still needs a Draw/Hold/Release/Open/Transform flavour.</t>
        </is>
      </c>
      <c r="AF31" t="inlineStr">
        <is>
          <t>Place where it can be seen</t>
        </is>
      </c>
      <c r="AG31" t="inlineStr">
        <is>
          <t>Bury in the earth | Place in a tree</t>
        </is>
      </c>
    </row>
    <row r="32" ht="60" customHeight="1" s="56">
      <c r="A32" s="3" t="inlineStr">
        <is>
          <t>Prosperity, Wealth &amp; Luck</t>
        </is>
      </c>
      <c r="B32" s="3" t="inlineStr">
        <is>
          <t>Increasing wealth</t>
        </is>
      </c>
      <c r="C32" s="2" t="inlineStr">
        <is>
          <t>Waxing</t>
        </is>
      </c>
      <c r="D32" s="40" t="inlineStr">
        <is>
          <t>Earth</t>
        </is>
      </c>
      <c r="E32" s="40" t="inlineStr">
        <is>
          <t>Jupiter</t>
        </is>
      </c>
      <c r="F32" s="40" t="inlineStr">
        <is>
          <t>Thursday</t>
        </is>
      </c>
      <c r="G32" s="40" t="inlineStr">
        <is>
          <t>Green</t>
        </is>
      </c>
      <c r="H32" s="40" t="inlineStr">
        <is>
          <t>North</t>
        </is>
      </c>
      <c r="I32" s="40" t="inlineStr">
        <is>
          <t>Receptive</t>
        </is>
      </c>
      <c r="J32" s="40" t="inlineStr">
        <is>
          <t>Black, green, yellow, brown</t>
        </is>
      </c>
      <c r="K32" s="40" t="inlineStr">
        <is>
          <t>3</t>
        </is>
      </c>
      <c r="L32" s="40" t="inlineStr">
        <is>
          <t>Health, triple aspects, psychism</t>
        </is>
      </c>
      <c r="M32" s="40" t="inlineStr">
        <is>
          <t>3 or 7</t>
        </is>
      </c>
      <c r="N32" s="40" t="inlineStr">
        <is>
          <t>ACORN, ANISE, BASIL, BENZOIN, BLACK TEA, BLACKBERRY LEAVES, CARAWAY, CHAMOMILE, CINNAMON STICKS, CLOVER, CLOVER RED, CLOVES, COLTSFOOT, COMFREY, DILL, FENNEL (SEED), GARLIC POWDER, GOLDENSEAL ROOT, JASMINE, LADIES MANTLE, LAVENDER FLOWERS, LEMON BALM, LINSEED, MUSTARD SEED WHITE, NUTMEG POWDER, OAK MOSS, OAKBARK RED, PARSLEY, PEPPERMINT, PINE NUT, RUE, SAGE, THYME, VIOLET LEAVES, VIOLET</t>
        </is>
      </c>
      <c r="O32" s="40" t="inlineStr">
        <is>
          <t>35</t>
        </is>
      </c>
      <c r="P32" s="40" t="inlineStr">
        <is>
          <t>agate Botswana , agate Moss , Amazonite, Aventurine, Calcite, chrysophase, Citrine, Goldstone, Jade (jadeite), Lodestone, Pyrite (Fool's Gold), Rhodocrosite, Ruby, Sapphire, Serpentine, Topaz, Tourmalinee Black , Yellow Aventurine</t>
        </is>
      </c>
      <c r="Q32" s="40" t="inlineStr">
        <is>
          <t>18</t>
        </is>
      </c>
      <c r="R32" s="40" t="inlineStr">
        <is>
          <t>Bergamot, Cedarwood, Clove Bud, Geranium, Honeysuckle, Marjoram, Melissa, Neroli, Orange Bitter, Pine, Vanilla, Cinnamon, Ginger, Patchouli</t>
        </is>
      </c>
      <c r="S32" s="40" t="inlineStr">
        <is>
          <t>14</t>
        </is>
      </c>
      <c r="T32" s="40" t="inlineStr">
        <is>
          <t>FEHU, URUZ, WUNJO, JERA, SOWILO, BERKANAN, INGWAZ, OTHILA, DAGAZ</t>
        </is>
      </c>
      <c r="U32" s="40" t="inlineStr">
        <is>
          <t>9</t>
        </is>
      </c>
      <c r="V32" s="40" t="inlineStr">
        <is>
          <t>ALL GODDESSES, ALL LUNAR GODDESSES, ALLAT, AMATERASU, ARADIA, ARIANRHOD, ASTARTE, ATTIS, BAAL, BALDUR &amp; HATHOR, BONA DEA, CERES, CERRIDWEN, CRONOS, CUPRA, EROS, FILDIAS, GAIA, GOD AND GODDESS IN BALANCE, GREAT GODDESS. MANASA</t>
        </is>
      </c>
      <c r="W32" s="40" t="inlineStr">
        <is>
          <t>36</t>
        </is>
      </c>
      <c r="X32" t="inlineStr">
        <is>
          <t>Draw</t>
        </is>
      </c>
      <c r="Y32" t="inlineStr">
        <is>
          <t>Draw</t>
        </is>
      </c>
      <c r="Z32" t="inlineStr">
        <is>
          <t>Spell Jar</t>
        </is>
      </c>
      <c r="AA32" t="inlineStr">
        <is>
          <t>Yes</t>
        </is>
      </c>
      <c r="AB32" t="inlineStr">
        <is>
          <t>Maybe</t>
        </is>
      </c>
      <c r="AC32" t="inlineStr">
        <is>
          <t>Yes</t>
        </is>
      </c>
      <c r="AD32" t="inlineStr">
        <is>
          <t>Draw wealth, grow luck or move stagnant money energy.</t>
        </is>
      </c>
      <c r="AE32" t="inlineStr">
        <is>
          <t>App should pull this row's Greenman Energy Mode from the main item sheets. Use Secondary Energy Hint only if a serious/adult spell still needs a Draw/Hold/Release/Open/Transform flavour.</t>
        </is>
      </c>
      <c r="AF32" t="inlineStr">
        <is>
          <t>Place where it can be seen</t>
        </is>
      </c>
      <c r="AG32" t="inlineStr">
        <is>
          <t>Hang it in the home | Bury in the earth</t>
        </is>
      </c>
    </row>
    <row r="33" ht="60" customHeight="1" s="56">
      <c r="A33" s="5" t="inlineStr">
        <is>
          <t>Prosperity, Wealth &amp; Luck</t>
        </is>
      </c>
      <c r="B33" s="5" t="inlineStr">
        <is>
          <t>Luck</t>
        </is>
      </c>
      <c r="C33" s="4" t="inlineStr">
        <is>
          <t>Waxing</t>
        </is>
      </c>
      <c r="D33" s="40" t="inlineStr">
        <is>
          <t>Earth</t>
        </is>
      </c>
      <c r="E33" s="40" t="inlineStr">
        <is>
          <t>Jupiter</t>
        </is>
      </c>
      <c r="F33" s="40" t="inlineStr">
        <is>
          <t>Thursday</t>
        </is>
      </c>
      <c r="G33" s="40" t="inlineStr">
        <is>
          <t>Green</t>
        </is>
      </c>
      <c r="H33" s="40" t="inlineStr">
        <is>
          <t>North</t>
        </is>
      </c>
      <c r="I33" s="40" t="inlineStr">
        <is>
          <t>Receptive</t>
        </is>
      </c>
      <c r="J33" s="40" t="inlineStr">
        <is>
          <t>Black, green, yellow, brown</t>
        </is>
      </c>
      <c r="K33" s="40" t="inlineStr">
        <is>
          <t>3</t>
        </is>
      </c>
      <c r="L33" s="40" t="inlineStr">
        <is>
          <t>Health, triple aspects, psychism</t>
        </is>
      </c>
      <c r="M33" s="40" t="inlineStr">
        <is>
          <t>3 or 7</t>
        </is>
      </c>
      <c r="N33" s="40" t="inlineStr">
        <is>
          <t>ACORN, AGRIMONY, ANISE, BASIL, CHAMOMILE, CINNAMON STICKS, CLOVES, COMFREY, GARLIC POWDER, LAVENDER FLOWERS, MUSTARD SEED WHITE, MYRRH GUM, PARSLEY, PENNYROYAL, PEPPERMINT, PINE NUT, ROSE BUDS RED, ROSEMARY, RUE, SANDALWOOD WHITE, SEA SALT, VIOLET LEAVES, VIOLET, BLACK SALT, WORMWOOD</t>
        </is>
      </c>
      <c r="O33" s="40" t="inlineStr">
        <is>
          <t>25</t>
        </is>
      </c>
      <c r="P33" s="40" t="inlineStr">
        <is>
          <t>Amazonite, Apache Tears, Aventurine, Bloodstone, chrysophase, Jade (jadeite), Lodestone, Malachite, Onyx, Opal pink, Pyrite (Fool's Gold)</t>
        </is>
      </c>
      <c r="Q33" s="40" t="inlineStr">
        <is>
          <t>11</t>
        </is>
      </c>
      <c r="R33" s="40" t="inlineStr">
        <is>
          <t>Frankincense, Neroli, Orange Bitter, Rose, Sandalwood In.</t>
        </is>
      </c>
      <c r="S33" s="40" t="inlineStr">
        <is>
          <t>5</t>
        </is>
      </c>
      <c r="T33" s="40" t="inlineStr">
        <is>
          <t>FEHU, RAIDO, WUNJO</t>
        </is>
      </c>
      <c r="U33" s="40" t="inlineStr">
        <is>
          <t>3</t>
        </is>
      </c>
      <c r="V33" s="40" t="inlineStr">
        <is>
          <t>ALL GODDESSES, ALL LUNAR GODDESSES, AMATERASU, AMBERELLA, APHRODITE, ARADIA, BAAL, BACCHUS, BALDOR, BALDUR &amp; HATHOR, BEFANA, CUPID, DIONYSUS, ELECTRA, FATHER GOD, GOD AND GODDESS IN BALANCE, GREAT GODDESS. MANASA, JUPITER, KWAN-YIN AND BUDDHA, LUNA</t>
        </is>
      </c>
      <c r="W33" s="40" t="inlineStr">
        <is>
          <t>36</t>
        </is>
      </c>
      <c r="X33" t="inlineStr">
        <is>
          <t>Draw</t>
        </is>
      </c>
      <c r="Y33" t="inlineStr">
        <is>
          <t>Draw</t>
        </is>
      </c>
      <c r="Z33" t="inlineStr">
        <is>
          <t>Spell Jar</t>
        </is>
      </c>
      <c r="AA33" t="inlineStr">
        <is>
          <t>Yes</t>
        </is>
      </c>
      <c r="AB33" t="inlineStr">
        <is>
          <t>Maybe</t>
        </is>
      </c>
      <c r="AC33" t="inlineStr">
        <is>
          <t>Yes</t>
        </is>
      </c>
      <c r="AD33" t="inlineStr">
        <is>
          <t>Draw wealth, grow luck or move stagnant money energy.</t>
        </is>
      </c>
      <c r="AE33" t="inlineStr">
        <is>
          <t>App should pull this row's Greenman Energy Mode from the main item sheets. Use Secondary Energy Hint only if a serious/adult spell still needs a Draw/Hold/Release/Open/Transform flavour.</t>
        </is>
      </c>
      <c r="AF33" t="inlineStr">
        <is>
          <t>Carry it close on your person</t>
        </is>
      </c>
      <c r="AG33" t="inlineStr">
        <is>
          <t>Place where it can be seen | Place in a tree</t>
        </is>
      </c>
    </row>
    <row r="34" ht="60" customHeight="1" s="56">
      <c r="A34" s="3" t="inlineStr">
        <is>
          <t>Prosperity, Wealth &amp; Luck</t>
        </is>
      </c>
      <c r="B34" s="3" t="inlineStr">
        <is>
          <t>Prosperity</t>
        </is>
      </c>
      <c r="C34" s="2" t="inlineStr">
        <is>
          <t>Waxing</t>
        </is>
      </c>
      <c r="D34" s="40" t="inlineStr">
        <is>
          <t>Earth</t>
        </is>
      </c>
      <c r="E34" s="40" t="inlineStr">
        <is>
          <t>Jupiter</t>
        </is>
      </c>
      <c r="F34" s="40" t="inlineStr">
        <is>
          <t>Thursday</t>
        </is>
      </c>
      <c r="G34" s="40" t="inlineStr">
        <is>
          <t>Green</t>
        </is>
      </c>
      <c r="H34" s="40" t="inlineStr">
        <is>
          <t>North</t>
        </is>
      </c>
      <c r="I34" s="40" t="inlineStr">
        <is>
          <t>Receptive</t>
        </is>
      </c>
      <c r="J34" s="40" t="inlineStr">
        <is>
          <t>Black, green, yellow, brown</t>
        </is>
      </c>
      <c r="K34" s="40" t="inlineStr">
        <is>
          <t>3</t>
        </is>
      </c>
      <c r="L34" s="40" t="inlineStr">
        <is>
          <t>Health, triple aspects, psychism</t>
        </is>
      </c>
      <c r="M34" s="40" t="inlineStr">
        <is>
          <t>3 or 7</t>
        </is>
      </c>
      <c r="N34" s="40" t="inlineStr">
        <is>
          <t>ACORN, ANISE, BASIL, BENZOIN, BLACK TEA, BLACKBERRY LEAVES, CARAWAY, CHAMOMILE, CINNAMON STICKS, CLOVER, CLOVER RED, CLOVES, COLTSFOOT, COMFREY, DILL, FENNEL (SEED), GARLIC POWDER, GOLDENSEAL ROOT, JASMINE, LADIES MANTLE, LAVENDER FLOWERS, LEMON BALM, LINSEED, MUSTARD SEED WHITE, NUTMEG POWDER, OAK MOSS, OAKBARK RED, PARSLEY, PEPPERMINT, PINE NUT, RUE, SAGE, THYME, VIOLET LEAVES, VIOLET</t>
        </is>
      </c>
      <c r="O34" s="40" t="inlineStr">
        <is>
          <t>35</t>
        </is>
      </c>
      <c r="P34" s="40" t="inlineStr">
        <is>
          <t>agate Botswana , agate Moss , Amazonite, Aventurine, Calcite, chrysophase, Citrine, Goldstone, Jade (jadeite), Lodestone, Pyrite (Fool's Gold), Rhodocrosite, Ruby, Sapphire, Serpentine, Topaz, Tourmalinee Black , Yellow Aventurine</t>
        </is>
      </c>
      <c r="Q34" s="40" t="inlineStr">
        <is>
          <t>18</t>
        </is>
      </c>
      <c r="R34" s="40" t="inlineStr">
        <is>
          <t>Bergamot, Cedarwood, Clove Bud, Geranium, Honeysuckle, Marjoram, Melissa, Neroli, Orange Bitter, Pine, Vanilla, Cinnamon, Ginger, Patchouli</t>
        </is>
      </c>
      <c r="S34" s="40" t="inlineStr">
        <is>
          <t>14</t>
        </is>
      </c>
      <c r="T34" s="40" t="inlineStr">
        <is>
          <t>FEHU, URUZ, WUNJO, JERA, SOWILO, BERKANAN, INGWAZ, OTHILA, DAGAZ</t>
        </is>
      </c>
      <c r="U34" s="40" t="inlineStr">
        <is>
          <t>9</t>
        </is>
      </c>
      <c r="V34" s="40" t="inlineStr">
        <is>
          <t>ALL GODDESSES, ALL LUNAR GODDESSES, ALLAT, AMATERASU, ARADIA, ARIANRHOD, ASTARTE, ATTIS, BAAL, BALDUR &amp; HATHOR, BONA DEA, CERES, CERRIDWEN, CRONOS, CUPRA, EROS, FILDIAS, GAIA, GOD AND GODDESS IN BALANCE, GREAT GODDESS. MANASA</t>
        </is>
      </c>
      <c r="W34" s="40" t="inlineStr">
        <is>
          <t>33</t>
        </is>
      </c>
      <c r="X34" t="inlineStr">
        <is>
          <t>Draw</t>
        </is>
      </c>
      <c r="Y34" t="inlineStr">
        <is>
          <t>Draw</t>
        </is>
      </c>
      <c r="Z34" t="inlineStr">
        <is>
          <t>Spell Jar</t>
        </is>
      </c>
      <c r="AA34" t="inlineStr">
        <is>
          <t>Yes</t>
        </is>
      </c>
      <c r="AB34" t="inlineStr">
        <is>
          <t>Maybe</t>
        </is>
      </c>
      <c r="AC34" t="inlineStr">
        <is>
          <t>Yes</t>
        </is>
      </c>
      <c r="AD34" t="inlineStr">
        <is>
          <t>Draw wealth, grow luck or move stagnant money energy.</t>
        </is>
      </c>
      <c r="AE34" t="inlineStr">
        <is>
          <t>App should pull this row's Greenman Energy Mode from the main item sheets. Use Secondary Energy Hint only if a serious/adult spell still needs a Draw/Hold/Release/Open/Transform flavour.</t>
        </is>
      </c>
      <c r="AF34" t="inlineStr">
        <is>
          <t>Place where it can be seen</t>
        </is>
      </c>
      <c r="AG34" t="inlineStr">
        <is>
          <t>Hang it in the home | Bury in the earth</t>
        </is>
      </c>
    </row>
    <row r="35" ht="60" customHeight="1" s="56">
      <c r="A35" s="5" t="inlineStr">
        <is>
          <t>Home, Blessings &amp; Daily Magic</t>
        </is>
      </c>
      <c r="B35" s="5" t="inlineStr">
        <is>
          <t>House blessing</t>
        </is>
      </c>
      <c r="C35" s="4" t="inlineStr">
        <is>
          <t>Waxing</t>
        </is>
      </c>
      <c r="D35" s="40" t="inlineStr">
        <is>
          <t>Earth</t>
        </is>
      </c>
      <c r="E35" s="40" t="inlineStr">
        <is>
          <t>Moon</t>
        </is>
      </c>
      <c r="F35" s="40" t="inlineStr">
        <is>
          <t>Monday</t>
        </is>
      </c>
      <c r="G35" s="40" t="inlineStr">
        <is>
          <t>White</t>
        </is>
      </c>
      <c r="H35" s="40" t="inlineStr">
        <is>
          <t>North</t>
        </is>
      </c>
      <c r="I35" s="40" t="inlineStr">
        <is>
          <t>Receptive</t>
        </is>
      </c>
      <c r="J35" s="40" t="inlineStr">
        <is>
          <t>Black, green, yellow, brown</t>
        </is>
      </c>
      <c r="K35" s="40" t="inlineStr">
        <is>
          <t>2</t>
        </is>
      </c>
      <c r="L35" s="40" t="inlineStr">
        <is>
          <t>Duality, balance, couples, partnerships</t>
        </is>
      </c>
      <c r="M35" s="40" t="inlineStr">
        <is>
          <t>1 or 3</t>
        </is>
      </c>
      <c r="N35"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35" s="40" t="inlineStr">
        <is>
          <t>68</t>
        </is>
      </c>
      <c r="P35"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35" s="40" t="inlineStr">
        <is>
          <t>32</t>
        </is>
      </c>
      <c r="R35" s="40" t="inlineStr">
        <is>
          <t>Apple, Bergamot, Clove Bud, Frankincense, Geranium, Juniper, Lavender, Lemon, Lemon Grass, Marjoram, Melissa, Neroli, Orange Bitter, Pine, Rose, Rosemary, Thyme, Vanilla, Ylang Ylang, Cinnamon, Ginger, Patchouli, Sandalwood In.</t>
        </is>
      </c>
      <c r="S35" s="40" t="inlineStr">
        <is>
          <t>23</t>
        </is>
      </c>
      <c r="T35" s="40" t="inlineStr">
        <is>
          <t>FEHU, ANSUZ, RAIDO, GEBO, WUNJO, PERTH, SOWILO, TIWAZ, EHWAZ, INGWAZ, OTHILA</t>
        </is>
      </c>
      <c r="U35" s="40" t="inlineStr">
        <is>
          <t>11</t>
        </is>
      </c>
      <c r="V35" s="40" t="inlineStr">
        <is>
          <t>AESCULAPUS, ALL, ALL GODDESSES, ALL LUNAR GODDESSES, ALLAT, AMATERASU, AMBERELLA, APHRODITE, ARADIA, ARES, ARIANRHOD, ARTEMIS, ASTARTE, ATTIS, BAAL, BACCHUS, BALDOR, BALDUR &amp; HATHOR, BEFANA, BONA DEA</t>
        </is>
      </c>
      <c r="W35" s="40" t="inlineStr">
        <is>
          <t>89</t>
        </is>
      </c>
      <c r="X35" t="inlineStr">
        <is>
          <t>Hold</t>
        </is>
      </c>
      <c r="Y35" t="inlineStr">
        <is>
          <t>Hold</t>
        </is>
      </c>
      <c r="Z35" t="inlineStr">
        <is>
          <t>Spell Jar</t>
        </is>
      </c>
      <c r="AA35" t="inlineStr">
        <is>
          <t>Yes</t>
        </is>
      </c>
      <c r="AB35" t="inlineStr">
        <is>
          <t>Maybe</t>
        </is>
      </c>
      <c r="AC35" t="inlineStr">
        <is>
          <t>Yes</t>
        </is>
      </c>
      <c r="AD35" t="inlineStr">
        <is>
          <t>Bless, hold, consecrate and settle magic into place or tool.</t>
        </is>
      </c>
      <c r="AE35" t="inlineStr">
        <is>
          <t>App should pull this row's Greenman Energy Mode from the main item sheets. Use Secondary Energy Hint only if a serious/adult spell still needs a Draw/Hold/Release/Open/Transform flavour.</t>
        </is>
      </c>
      <c r="AF35" t="inlineStr">
        <is>
          <t>Hang it in the home</t>
        </is>
      </c>
      <c r="AG35" t="inlineStr">
        <is>
          <t>Place at a shrine or altar | Place where it can be seen</t>
        </is>
      </c>
    </row>
    <row r="36" ht="60" customHeight="1" s="56">
      <c r="A36" s="3" t="inlineStr">
        <is>
          <t>Home, Blessings &amp; Daily Magic</t>
        </is>
      </c>
      <c r="B36" s="3" t="inlineStr">
        <is>
          <t>Consecration</t>
        </is>
      </c>
      <c r="C36" s="2" t="inlineStr">
        <is>
          <t>Full</t>
        </is>
      </c>
      <c r="D36" s="40" t="inlineStr">
        <is>
          <t>Fire</t>
        </is>
      </c>
      <c r="E36" s="40" t="inlineStr">
        <is>
          <t>Sun</t>
        </is>
      </c>
      <c r="F36" s="40" t="inlineStr">
        <is>
          <t>Sunday</t>
        </is>
      </c>
      <c r="G36" s="40" t="inlineStr">
        <is>
          <t>White</t>
        </is>
      </c>
      <c r="H36" s="40" t="inlineStr">
        <is>
          <t>South</t>
        </is>
      </c>
      <c r="I36" s="40" t="inlineStr">
        <is>
          <t>Projective</t>
        </is>
      </c>
      <c r="J36" s="40" t="inlineStr">
        <is>
          <t>Red, gold, crimson, orange, white</t>
        </is>
      </c>
      <c r="K36" s="40" t="inlineStr">
        <is>
          <t>1</t>
        </is>
      </c>
      <c r="L36" s="40" t="inlineStr">
        <is>
          <t>Developing the self, the All, wholeness, unity, beginnings</t>
        </is>
      </c>
      <c r="M36" s="40" t="inlineStr">
        <is>
          <t>1 or 3</t>
        </is>
      </c>
      <c r="N36" s="40" t="inlineStr">
        <is>
          <t>AGRIMONY, ANISE, BASIL, BAY LAUREL, BENZOIN, BLACKBERRY LEAVES, CAMPHOR SYNTHETIC, CARAWAY, CEDARWOOD (HIMALAYAN), CHAMOMILE, CHRYSANTHEMUM, CINNAMON STICKS, CLEAVERS, CLOVER RED, CLOVES, DEVILS CLAW ROOT, DRAGON'S BLOOD, FENNEL (SEED), GARLIC POWDER, HYSSOP, JUNIPER BERRIES, LADIES MANTLE, LAVENDER FLOWERS, MYRRH GUM, MYRRH GUM POWDER, OAKLEAF, SWEET MYRRH, PARSLEY, PENNYROYAL, PEPPERMINT, PINE NUT, ROSE BUDS RED, ROSE HIP, ROSEMARY, RUE, SAGE, SANDALWOOD WHITE, SEA SALT, THYME, TONKA BEANS, VALERIAN ROOT, WITCH HAZEL LEAVES, BLACK SALT</t>
        </is>
      </c>
      <c r="O36" s="40" t="inlineStr">
        <is>
          <t>43</t>
        </is>
      </c>
      <c r="P36" s="40" t="inlineStr">
        <is>
          <t>Aquamarine, Quartz Clear , quartz snow , Seraphinite</t>
        </is>
      </c>
      <c r="Q36" s="40" t="inlineStr">
        <is>
          <t>4</t>
        </is>
      </c>
      <c r="R36" s="40" t="inlineStr">
        <is>
          <t>Cedarwood, Clove Bud, Fir Needle, Lavender, Lemon, Neroli, Peppermint, Pine, Rosemary, Tea Tree, Thyme, Cinnamon, Sandalwood In.</t>
        </is>
      </c>
      <c r="S36" s="40" t="inlineStr">
        <is>
          <t>13</t>
        </is>
      </c>
      <c r="T36" s="40" t="inlineStr">
        <is>
          <t>ALGIZ, OTHILA, TIWAZ, BERKANAN</t>
        </is>
      </c>
      <c r="U36" s="40" t="n">
        <v>4</v>
      </c>
      <c r="V36" s="40" t="inlineStr">
        <is>
          <t>GAIA, HYGIA, JUTERNA, BALDUR</t>
        </is>
      </c>
      <c r="W36" s="40" t="inlineStr">
        <is>
          <t>4</t>
        </is>
      </c>
      <c r="X36" t="inlineStr">
        <is>
          <t>Hold</t>
        </is>
      </c>
      <c r="Y36" t="inlineStr">
        <is>
          <t>Hold</t>
        </is>
      </c>
      <c r="Z36" t="inlineStr">
        <is>
          <t>Spell Jar</t>
        </is>
      </c>
      <c r="AA36" t="inlineStr">
        <is>
          <t>Yes</t>
        </is>
      </c>
      <c r="AB36" t="inlineStr">
        <is>
          <t>Maybe</t>
        </is>
      </c>
      <c r="AC36" t="inlineStr">
        <is>
          <t>Yes</t>
        </is>
      </c>
      <c r="AD36" t="inlineStr">
        <is>
          <t>Bless, hold, consecrate and settle magic into place or tool.</t>
        </is>
      </c>
      <c r="AE36" t="inlineStr">
        <is>
          <t>App should pull this row's Greenman Energy Mode from the main item sheets. Use Secondary Energy Hint only if a serious/adult spell still needs a Draw/Hold/Release/Open/Transform flavour.</t>
        </is>
      </c>
      <c r="AF36" t="inlineStr">
        <is>
          <t>Place at a shrine or altar</t>
        </is>
      </c>
      <c r="AG36" t="inlineStr">
        <is>
          <t>Hang it in the home</t>
        </is>
      </c>
    </row>
    <row r="37" ht="60" customHeight="1" s="56">
      <c r="A37" s="5" t="inlineStr">
        <is>
          <t>Home, Blessings &amp; Daily Magic</t>
        </is>
      </c>
      <c r="B37" s="5" t="inlineStr">
        <is>
          <t>Wand making</t>
        </is>
      </c>
      <c r="C37" s="4" t="inlineStr">
        <is>
          <t>Full</t>
        </is>
      </c>
      <c r="D37" s="40" t="inlineStr">
        <is>
          <t>Air</t>
        </is>
      </c>
      <c r="E37" s="40" t="inlineStr">
        <is>
          <t>Mercury</t>
        </is>
      </c>
      <c r="F37" s="40" t="inlineStr">
        <is>
          <t>Wednesday</t>
        </is>
      </c>
      <c r="G37" s="40" t="inlineStr">
        <is>
          <t>Yellow</t>
        </is>
      </c>
      <c r="H37" s="40" t="inlineStr">
        <is>
          <t>East</t>
        </is>
      </c>
      <c r="I37" s="40" t="inlineStr">
        <is>
          <t>Projective</t>
        </is>
      </c>
      <c r="J37" s="40" t="inlineStr">
        <is>
          <t>Yellow, white, crimson</t>
        </is>
      </c>
      <c r="K37" s="40" t="inlineStr">
        <is>
          <t>5</t>
        </is>
      </c>
      <c r="L37" s="40" t="inlineStr">
        <is>
          <t>Communication, fulfilment</t>
        </is>
      </c>
      <c r="M37" s="40" t="inlineStr">
        <is>
          <t>1 or 3</t>
        </is>
      </c>
      <c r="N37" s="40" t="inlineStr">
        <is>
          <t>SAGE, ROSEMARY, FRANKINCENSE, BAY LAUREL, OAK MOSS, OAKBARK RED, CEDARWOOD (HIMALAYAN)</t>
        </is>
      </c>
      <c r="O37" s="40" t="n">
        <v>7</v>
      </c>
      <c r="P37" s="40" t="inlineStr">
        <is>
          <t>Quartz Clear, Amethyst, Labradorite, quartz rutilated</t>
        </is>
      </c>
      <c r="Q37" s="40" t="n">
        <v>4</v>
      </c>
      <c r="R37" s="40" t="inlineStr">
        <is>
          <t>Frankincense, Cedarwood, Sandalwood In., Lavender</t>
        </is>
      </c>
      <c r="S37" s="40" t="n">
        <v>4</v>
      </c>
      <c r="T37" s="40" t="inlineStr">
        <is>
          <t>ANSUZ, ALGIZ, TIWAZ, BERKANAN</t>
        </is>
      </c>
      <c r="U37" s="40" t="n">
        <v>4</v>
      </c>
      <c r="V37" s="40" t="inlineStr">
        <is>
          <t>BRIGID, HECATE, ISIS, CERRIDWEN, ODIN, MERCURY, THOR, ZEUS</t>
        </is>
      </c>
      <c r="W37" s="40" t="n">
        <v>8</v>
      </c>
      <c r="X37" t="inlineStr">
        <is>
          <t>Transform / Turn</t>
        </is>
      </c>
      <c r="Y37" t="inlineStr">
        <is>
          <t>Transform / Turn</t>
        </is>
      </c>
      <c r="Z37" t="inlineStr">
        <is>
          <t>Spell Jar</t>
        </is>
      </c>
      <c r="AA37" t="inlineStr">
        <is>
          <t>Yes</t>
        </is>
      </c>
      <c r="AB37" t="inlineStr">
        <is>
          <t>Maybe</t>
        </is>
      </c>
      <c r="AC37" t="inlineStr">
        <is>
          <t>Yes</t>
        </is>
      </c>
      <c r="AD37" t="inlineStr">
        <is>
          <t>Bless, hold, consecrate and settle magic into place or tool.</t>
        </is>
      </c>
      <c r="AE37" t="inlineStr">
        <is>
          <t>App should pull this row's Greenman Energy Mode from the main item sheets. Use Secondary Energy Hint only if a serious/adult spell still needs a Draw/Hold/Release/Open/Transform flavour.</t>
        </is>
      </c>
      <c r="AF37" t="inlineStr">
        <is>
          <t>Place at a shrine or altar</t>
        </is>
      </c>
      <c r="AG37" t="inlineStr">
        <is>
          <t>Hang it in the home</t>
        </is>
      </c>
    </row>
    <row r="38" ht="60" customHeight="1" s="56">
      <c r="A38" s="3" t="inlineStr">
        <is>
          <t>Spirit Work, Otherworld &amp; Planes</t>
        </is>
      </c>
      <c r="B38" s="3" t="inlineStr">
        <is>
          <t>Attracting good spirits</t>
        </is>
      </c>
      <c r="C38" s="2" t="inlineStr">
        <is>
          <t>Waxing</t>
        </is>
      </c>
      <c r="D38" s="40" t="inlineStr">
        <is>
          <t>Air</t>
        </is>
      </c>
      <c r="E38" s="40" t="inlineStr">
        <is>
          <t>Mercury</t>
        </is>
      </c>
      <c r="F38" s="40" t="inlineStr">
        <is>
          <t>Wednesday</t>
        </is>
      </c>
      <c r="G38" s="40" t="inlineStr">
        <is>
          <t>Purple</t>
        </is>
      </c>
      <c r="H38" s="40" t="inlineStr">
        <is>
          <t>East</t>
        </is>
      </c>
      <c r="I38" s="40" t="inlineStr">
        <is>
          <t>Projective</t>
        </is>
      </c>
      <c r="J38" s="40" t="inlineStr">
        <is>
          <t>Yellow, white, crimson</t>
        </is>
      </c>
      <c r="K38" s="40" t="inlineStr">
        <is>
          <t>5</t>
        </is>
      </c>
      <c r="L38" s="40" t="inlineStr">
        <is>
          <t>Communication, fulfilment</t>
        </is>
      </c>
      <c r="M38" s="40" t="inlineStr">
        <is>
          <t>3 or 7</t>
        </is>
      </c>
      <c r="N38"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38" s="40" t="inlineStr">
        <is>
          <t>68</t>
        </is>
      </c>
      <c r="P38"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38" s="40" t="inlineStr">
        <is>
          <t>32</t>
        </is>
      </c>
      <c r="R38" s="40" t="inlineStr">
        <is>
          <t>Apple, Bergamot, Clove Bud, Frankincense, Geranium, Juniper, Lavender, Lemon, Lemon Grass, Marjoram, Melissa, Neroli, Orange Bitter, Pine, Rose, Rosemary, Thyme, Vanilla, Ylang Ylang, Cinnamon, Ginger, Patchouli, Sandalwood In.</t>
        </is>
      </c>
      <c r="S38" s="40" t="inlineStr">
        <is>
          <t>23</t>
        </is>
      </c>
      <c r="T38" s="40" t="inlineStr">
        <is>
          <t>FEHU, ANSUZ, RAIDO, GEBO, WUNJO, PERTH, SOWILO, TIWAZ, EHWAZ, INGWAZ, OTHILA</t>
        </is>
      </c>
      <c r="U38" s="40" t="inlineStr">
        <is>
          <t>11</t>
        </is>
      </c>
      <c r="V38" s="40" t="inlineStr">
        <is>
          <t>AESCULAPUS, ALL, ALL GODDESSES, ALL LUNAR GODDESSES, ALLAT, AMATERASU, AMBERELLA, APHRODITE, ARADIA, ARES, ARIANRHOD, ARTEMIS, ASTARTE, ATTIS, BAAL, BACCHUS, BALDOR, BALDUR &amp; HATHOR, BEFANA, BONA DEA</t>
        </is>
      </c>
      <c r="W38" s="40" t="inlineStr">
        <is>
          <t>89</t>
        </is>
      </c>
      <c r="X38" t="inlineStr">
        <is>
          <t>Draw</t>
        </is>
      </c>
      <c r="Y38" t="inlineStr">
        <is>
          <t>Draw</t>
        </is>
      </c>
      <c r="Z38" t="inlineStr">
        <is>
          <t>Smoke and Flame</t>
        </is>
      </c>
      <c r="AA38" t="inlineStr">
        <is>
          <t>Maybe</t>
        </is>
      </c>
      <c r="AB38" t="inlineStr">
        <is>
          <t>Yes</t>
        </is>
      </c>
      <c r="AC38" t="inlineStr">
        <is>
          <t>Maybe</t>
        </is>
      </c>
      <c r="AD38" t="inlineStr">
        <is>
          <t>Open roads, make offerings, contact spirit paths, or transform thresholds.</t>
        </is>
      </c>
      <c r="AE38" t="inlineStr">
        <is>
          <t>App should pull this row's Greenman Energy Mode from the main item sheets. Use Secondary Energy Hint only if a serious/adult spell still needs a Draw/Hold/Release/Open/Transform flavour.</t>
        </is>
      </c>
      <c r="AF38" t="inlineStr">
        <is>
          <t>Place in a tree</t>
        </is>
      </c>
      <c r="AG38" t="inlineStr">
        <is>
          <t>Place at a shrine or altar | Bury in the earth</t>
        </is>
      </c>
    </row>
    <row r="39" ht="60" customHeight="1" s="56">
      <c r="A39" s="5" t="inlineStr">
        <is>
          <t>Spirit Work, Otherworld &amp; Planes</t>
        </is>
      </c>
      <c r="B39" s="5" t="inlineStr">
        <is>
          <t>Contacting planes</t>
        </is>
      </c>
      <c r="C39" s="4" t="inlineStr">
        <is>
          <t>Full/Dark</t>
        </is>
      </c>
      <c r="D39" s="40" t="inlineStr">
        <is>
          <t>Air</t>
        </is>
      </c>
      <c r="E39" s="40" t="inlineStr">
        <is>
          <t>Mercury</t>
        </is>
      </c>
      <c r="F39" s="40" t="inlineStr">
        <is>
          <t>Wednesday</t>
        </is>
      </c>
      <c r="G39" s="40" t="inlineStr">
        <is>
          <t>Purple</t>
        </is>
      </c>
      <c r="H39" s="40" t="inlineStr">
        <is>
          <t>East</t>
        </is>
      </c>
      <c r="I39" s="40" t="inlineStr">
        <is>
          <t>Projective</t>
        </is>
      </c>
      <c r="J39" s="40" t="inlineStr">
        <is>
          <t>Yellow, white, crimson</t>
        </is>
      </c>
      <c r="K39" s="40" t="inlineStr">
        <is>
          <t>5</t>
        </is>
      </c>
      <c r="L39" s="40" t="inlineStr">
        <is>
          <t>Communication, fulfilment</t>
        </is>
      </c>
      <c r="M39" s="40" t="inlineStr">
        <is>
          <t>3 or 7</t>
        </is>
      </c>
      <c r="N39" s="40" t="inlineStr">
        <is>
          <t>ANISE, APPLEWOOD CHIPS, BASIL, CHRYSANTHEMUM, CLOVER, COLTSFOOT, LEMON BALM, MULLEIN, PARSLEY, PENNYROYAL, SAGE, SANDALWOOD RED, SANDALWOOD WHITE, TANSY, THYME, BLACK SALT, YARROW</t>
        </is>
      </c>
      <c r="O39" s="40" t="inlineStr">
        <is>
          <t>17</t>
        </is>
      </c>
      <c r="P39" s="40" t="inlineStr">
        <is>
          <t>Jet, obsidian snowflake, Onyx, Petrified Wood, Serpentine</t>
        </is>
      </c>
      <c r="Q39" s="40" t="inlineStr">
        <is>
          <t>5</t>
        </is>
      </c>
      <c r="R39" s="40" t="inlineStr">
        <is>
          <t>Frankincense, Sandalwood w.i.</t>
        </is>
      </c>
      <c r="S39" s="40" t="inlineStr">
        <is>
          <t>2</t>
        </is>
      </c>
      <c r="T39" s="40" t="inlineStr">
        <is>
          <t>PERTH, ANSUZ, LAGUZ, ALGIZ</t>
        </is>
      </c>
      <c r="U39" s="40" t="n">
        <v>4</v>
      </c>
      <c r="V39" s="40" t="inlineStr">
        <is>
          <t>ALL, AMATERASU, AMBERELLA, ARTEMIS, BEFANA, BUDDHA, DIANA, EREYR, FLIDAIS, GAIA, HATHOR, HECATE, HEL, ISIS, JANA, KWAN-YIN AND BUDDHA, LOKI, MADAME PELE, MARY MAGDALENE, MERCURY</t>
        </is>
      </c>
      <c r="W39" s="40" t="inlineStr">
        <is>
          <t>34</t>
        </is>
      </c>
      <c r="X39" t="inlineStr">
        <is>
          <t>Open / Reveal</t>
        </is>
      </c>
      <c r="Y39" t="inlineStr">
        <is>
          <t>Open / Reveal</t>
        </is>
      </c>
      <c r="Z39" t="inlineStr">
        <is>
          <t>Smoke and Flame</t>
        </is>
      </c>
      <c r="AA39" t="inlineStr">
        <is>
          <t>Maybe</t>
        </is>
      </c>
      <c r="AB39" t="inlineStr">
        <is>
          <t>Yes</t>
        </is>
      </c>
      <c r="AC39" t="inlineStr">
        <is>
          <t>Maybe</t>
        </is>
      </c>
      <c r="AD39" t="inlineStr">
        <is>
          <t>Open roads, make offerings, contact spirit paths, or transform thresholds.</t>
        </is>
      </c>
      <c r="AE39" t="inlineStr">
        <is>
          <t>App should pull this row's Greenman Energy Mode from the main item sheets. Use Secondary Energy Hint only if a serious/adult spell still needs a Draw/Hold/Release/Open/Transform flavour.</t>
        </is>
      </c>
      <c r="AF39" t="inlineStr">
        <is>
          <t>Place at a shrine or altar</t>
        </is>
      </c>
      <c r="AG39" t="inlineStr">
        <is>
          <t>Carry it close on your person</t>
        </is>
      </c>
    </row>
    <row r="40" ht="60" customHeight="1" s="56">
      <c r="A40" s="3" t="inlineStr">
        <is>
          <t>Spirit Work, Otherworld &amp; Planes</t>
        </is>
      </c>
      <c r="B40" s="3" t="inlineStr">
        <is>
          <t>Crone magic</t>
        </is>
      </c>
      <c r="C40" s="2" t="inlineStr">
        <is>
          <t>Full/Dark</t>
        </is>
      </c>
      <c r="D40" s="40" t="inlineStr">
        <is>
          <t>Earth</t>
        </is>
      </c>
      <c r="E40" s="40" t="inlineStr">
        <is>
          <t>Saturn</t>
        </is>
      </c>
      <c r="F40" s="40" t="inlineStr">
        <is>
          <t>Saturday</t>
        </is>
      </c>
      <c r="G40" s="40" t="inlineStr">
        <is>
          <t>Black</t>
        </is>
      </c>
      <c r="H40" s="40" t="inlineStr">
        <is>
          <t>North</t>
        </is>
      </c>
      <c r="I40" s="40" t="inlineStr">
        <is>
          <t>Receptive</t>
        </is>
      </c>
      <c r="J40" s="40" t="inlineStr">
        <is>
          <t>Black, green, yellow, brown</t>
        </is>
      </c>
      <c r="K40" s="40" t="inlineStr">
        <is>
          <t>8</t>
        </is>
      </c>
      <c r="L40" s="40" t="inlineStr">
        <is>
          <t>Material aspects, travel, protection, discipline</t>
        </is>
      </c>
      <c r="M40" s="40" t="inlineStr">
        <is>
          <t>3 or 7</t>
        </is>
      </c>
      <c r="N40" s="40" t="inlineStr">
        <is>
          <t>ANISE, APPLEWOOD CHIPS, BASIL, CHRYSANTHEMUM, CLOVER, COLTSFOOT, LEMON BALM, MULLEIN, PARSLEY, PENNYROYAL, SAGE, SANDALWOOD RED, SANDALWOOD WHITE, TANSY, THYME, BLACK SALT, YARROW</t>
        </is>
      </c>
      <c r="O40" s="40" t="inlineStr">
        <is>
          <t>17</t>
        </is>
      </c>
      <c r="P40" s="40" t="inlineStr">
        <is>
          <t>Jet, obsidian snowflake, Onyx, Petrified Wood, Serpentine</t>
        </is>
      </c>
      <c r="Q40" s="40" t="inlineStr">
        <is>
          <t>5</t>
        </is>
      </c>
      <c r="R40" s="40" t="inlineStr">
        <is>
          <t>Frankincense, Sandalwood w.i.</t>
        </is>
      </c>
      <c r="S40" s="40" t="inlineStr">
        <is>
          <t>2</t>
        </is>
      </c>
      <c r="T40" s="40" t="inlineStr">
        <is>
          <t>PERTH, HAGALAZ, ISA, OTHILA</t>
        </is>
      </c>
      <c r="U40" s="40" t="n">
        <v>4</v>
      </c>
      <c r="V40" s="40" t="inlineStr">
        <is>
          <t>ALL, AMATERASU, AMBERELLA, ARTEMIS, BEFANA, BUDDHA, DIANA, EREYR, FLIDAIS, GAIA, HATHOR, HECATE, HEL, ISIS, JANA, KWAN-YIN AND BUDDHA, LOKI, MADAME PELE, MARY MAGDALENE, MERCURY</t>
        </is>
      </c>
      <c r="W40" s="40" t="inlineStr">
        <is>
          <t>34</t>
        </is>
      </c>
      <c r="X40" t="inlineStr">
        <is>
          <t>Transform / Turn</t>
        </is>
      </c>
      <c r="Y40" t="inlineStr">
        <is>
          <t>Transform / Turn</t>
        </is>
      </c>
      <c r="Z40" t="inlineStr">
        <is>
          <t>Smoke and Flame</t>
        </is>
      </c>
      <c r="AA40" t="inlineStr">
        <is>
          <t>Maybe</t>
        </is>
      </c>
      <c r="AB40" t="inlineStr">
        <is>
          <t>Yes</t>
        </is>
      </c>
      <c r="AC40" t="inlineStr">
        <is>
          <t>Maybe</t>
        </is>
      </c>
      <c r="AD40" t="inlineStr">
        <is>
          <t>Open roads, make offerings, contact spirit paths, or transform thresholds.</t>
        </is>
      </c>
      <c r="AE40" t="inlineStr">
        <is>
          <t>App should pull this row's Greenman Energy Mode from the main item sheets. Use Secondary Energy Hint only if a serious/adult spell still needs a Draw/Hold/Release/Open/Transform flavour.</t>
        </is>
      </c>
      <c r="AF40" t="inlineStr">
        <is>
          <t>Place at a shrine or altar</t>
        </is>
      </c>
      <c r="AG40" t="inlineStr">
        <is>
          <t>Place in a tree | Bury in the earth</t>
        </is>
      </c>
    </row>
    <row r="41" ht="60" customHeight="1" s="56">
      <c r="A41" s="5" t="inlineStr">
        <is>
          <t>Spirit Work, Otherworld &amp; Planes</t>
        </is>
      </c>
      <c r="B41" s="5" t="inlineStr">
        <is>
          <t>Fairy portals</t>
        </is>
      </c>
      <c r="C41" s="4" t="inlineStr">
        <is>
          <t>Full</t>
        </is>
      </c>
      <c r="D41" s="40" t="inlineStr">
        <is>
          <t>Air</t>
        </is>
      </c>
      <c r="E41" s="40" t="inlineStr">
        <is>
          <t>Mercury</t>
        </is>
      </c>
      <c r="F41" s="40" t="inlineStr">
        <is>
          <t>Wednesday</t>
        </is>
      </c>
      <c r="G41" s="40" t="inlineStr">
        <is>
          <t>Green</t>
        </is>
      </c>
      <c r="H41" s="40" t="inlineStr">
        <is>
          <t>East</t>
        </is>
      </c>
      <c r="I41" s="40" t="inlineStr">
        <is>
          <t>Projective</t>
        </is>
      </c>
      <c r="J41" s="40" t="inlineStr">
        <is>
          <t>Yellow, white, crimson</t>
        </is>
      </c>
      <c r="K41" s="40" t="inlineStr">
        <is>
          <t>5</t>
        </is>
      </c>
      <c r="L41" s="40" t="inlineStr">
        <is>
          <t>Communication, fulfilment</t>
        </is>
      </c>
      <c r="M41" s="40" t="inlineStr">
        <is>
          <t>3 or 7</t>
        </is>
      </c>
      <c r="N41" s="40" t="inlineStr">
        <is>
          <t>ELDERFLOWER, THYME, CLOVER, HEATHER, ELDERFLOWER, LAVENDER FLOWERS, CHAMOMILE</t>
        </is>
      </c>
      <c r="O41" s="40" t="n">
        <v>7</v>
      </c>
      <c r="P41" s="40" t="inlineStr">
        <is>
          <t>Flourite, Moonstone, Labradorite, Aventurine</t>
        </is>
      </c>
      <c r="Q41" s="40" t="n">
        <v>4</v>
      </c>
      <c r="R41" s="40" t="inlineStr">
        <is>
          <t>Lavender, Frankincense, Cedarwood, Neroli</t>
        </is>
      </c>
      <c r="S41" s="40" t="n">
        <v>4</v>
      </c>
      <c r="T41" s="40" t="inlineStr">
        <is>
          <t>PERTH, ALGIZ, EHWAZ, DAGAZ</t>
        </is>
      </c>
      <c r="U41" s="40" t="n">
        <v>4</v>
      </c>
      <c r="V41" s="40" t="inlineStr">
        <is>
          <t>DIANA, TITIANA, FREYJA, HOLDA, PAN, FREY, MERCURY, LOKI</t>
        </is>
      </c>
      <c r="W41" s="40" t="n">
        <v>8</v>
      </c>
      <c r="X41" t="inlineStr">
        <is>
          <t>Open / Reveal</t>
        </is>
      </c>
      <c r="Y41" t="inlineStr">
        <is>
          <t>Open / Reveal</t>
        </is>
      </c>
      <c r="Z41" t="inlineStr">
        <is>
          <t>Smoke and Flame</t>
        </is>
      </c>
      <c r="AA41" t="inlineStr">
        <is>
          <t>Maybe</t>
        </is>
      </c>
      <c r="AB41" t="inlineStr">
        <is>
          <t>Yes</t>
        </is>
      </c>
      <c r="AC41" t="inlineStr">
        <is>
          <t>Maybe</t>
        </is>
      </c>
      <c r="AD41" t="inlineStr">
        <is>
          <t>Open roads, make offerings, contact spirit paths, or transform thresholds.</t>
        </is>
      </c>
      <c r="AE41" t="inlineStr">
        <is>
          <t>App should pull this row's Greenman Energy Mode from the main item sheets. Use Secondary Energy Hint only if a serious/adult spell still needs a Draw/Hold/Release/Open/Transform flavour.</t>
        </is>
      </c>
      <c r="AF41" t="inlineStr">
        <is>
          <t>Place in a tree</t>
        </is>
      </c>
      <c r="AG41" t="inlineStr">
        <is>
          <t>Place at a shrine or altar | Carry it close on your person</t>
        </is>
      </c>
    </row>
    <row r="42" ht="60" customHeight="1" s="56">
      <c r="A42" s="3" t="inlineStr">
        <is>
          <t>Spirit Work, Otherworld &amp; Planes</t>
        </is>
      </c>
      <c r="B42" s="3" t="inlineStr">
        <is>
          <t>Otherworld travel</t>
        </is>
      </c>
      <c r="C42" s="2" t="inlineStr">
        <is>
          <t>Full/Dark</t>
        </is>
      </c>
      <c r="D42" s="40" t="inlineStr">
        <is>
          <t>Air</t>
        </is>
      </c>
      <c r="E42" s="40" t="inlineStr">
        <is>
          <t>Mercury</t>
        </is>
      </c>
      <c r="F42" s="40" t="inlineStr">
        <is>
          <t>Wednesday</t>
        </is>
      </c>
      <c r="G42" s="40" t="inlineStr">
        <is>
          <t>Purple</t>
        </is>
      </c>
      <c r="H42" s="40" t="inlineStr">
        <is>
          <t>East</t>
        </is>
      </c>
      <c r="I42" s="40" t="inlineStr">
        <is>
          <t>Projective</t>
        </is>
      </c>
      <c r="J42" s="40" t="inlineStr">
        <is>
          <t>Yellow, white, crimson</t>
        </is>
      </c>
      <c r="K42" s="40" t="inlineStr">
        <is>
          <t>5</t>
        </is>
      </c>
      <c r="L42" s="40" t="inlineStr">
        <is>
          <t>Communication, fulfilment</t>
        </is>
      </c>
      <c r="M42" s="40" t="inlineStr">
        <is>
          <t>3 or 7</t>
        </is>
      </c>
      <c r="N42"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42" s="40" t="inlineStr">
        <is>
          <t>68</t>
        </is>
      </c>
      <c r="P42"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42" s="40" t="inlineStr">
        <is>
          <t>32</t>
        </is>
      </c>
      <c r="R42" s="40" t="inlineStr">
        <is>
          <t>Apple, Bergamot, Clove Bud, Frankincense, Geranium, Juniper, Lavender, Lemon, Lemon Grass, Marjoram, Melissa, Neroli, Orange Bitter, Pine, Rose, Rosemary, Thyme, Vanilla, Ylang Ylang, Cinnamon, Ginger, Patchouli, Sandalwood In.</t>
        </is>
      </c>
      <c r="S42" s="40" t="inlineStr">
        <is>
          <t>23</t>
        </is>
      </c>
      <c r="T42" s="40" t="inlineStr">
        <is>
          <t>FEHU, ANSUZ, RAIDO, GEBO, WUNJO, PERTH, SOWILO, TIWAZ, EHWAZ, INGWAZ, OTHILA</t>
        </is>
      </c>
      <c r="U42" s="40" t="inlineStr">
        <is>
          <t>11</t>
        </is>
      </c>
      <c r="V42" s="40" t="inlineStr">
        <is>
          <t>AESCULAPUS, ALL, ALL GODDESSES, ALL LUNAR GODDESSES, ALLAT, AMATERASU, AMBERELLA, APHRODITE, ARADIA, ARES, ARIANRHOD, ARTEMIS, ASTARTE, ATTIS, BAAL, BACCHUS, BALDOR, BALDUR &amp; HATHOR, BEFANA, BONA DEA</t>
        </is>
      </c>
      <c r="W42" s="40" t="inlineStr">
        <is>
          <t>89</t>
        </is>
      </c>
      <c r="X42" t="inlineStr">
        <is>
          <t>Open / Reveal</t>
        </is>
      </c>
      <c r="Y42" t="inlineStr">
        <is>
          <t>Open / Reveal</t>
        </is>
      </c>
      <c r="Z42" t="inlineStr">
        <is>
          <t>Smoke and Flame</t>
        </is>
      </c>
      <c r="AA42" t="inlineStr">
        <is>
          <t>Maybe</t>
        </is>
      </c>
      <c r="AB42" t="inlineStr">
        <is>
          <t>Yes</t>
        </is>
      </c>
      <c r="AC42" t="inlineStr">
        <is>
          <t>Maybe</t>
        </is>
      </c>
      <c r="AD42" t="inlineStr">
        <is>
          <t>Open roads, make offerings, contact spirit paths, or transform thresholds.</t>
        </is>
      </c>
      <c r="AE42" t="inlineStr">
        <is>
          <t>App should pull this row's Greenman Energy Mode from the main item sheets. Use Secondary Energy Hint only if a serious/adult spell still needs a Draw/Hold/Release/Open/Transform flavour.</t>
        </is>
      </c>
      <c r="AF42" t="inlineStr">
        <is>
          <t>Carry it close on your person</t>
        </is>
      </c>
      <c r="AG42" t="inlineStr">
        <is>
          <t>Place at a shrine or altar | Place in a tree</t>
        </is>
      </c>
    </row>
    <row r="43" ht="60" customHeight="1" s="56">
      <c r="A43" s="5" t="inlineStr">
        <is>
          <t>Spirit Work, Otherworld &amp; Planes</t>
        </is>
      </c>
      <c r="B43" s="5" t="inlineStr">
        <is>
          <t>Spirit offerings</t>
        </is>
      </c>
      <c r="C43" s="4" t="inlineStr">
        <is>
          <t>Waxing/Full</t>
        </is>
      </c>
      <c r="D43" s="40" t="inlineStr">
        <is>
          <t>Earth</t>
        </is>
      </c>
      <c r="E43" s="40" t="inlineStr">
        <is>
          <t>Saturn</t>
        </is>
      </c>
      <c r="F43" s="40" t="inlineStr">
        <is>
          <t>Saturday</t>
        </is>
      </c>
      <c r="G43" s="40" t="inlineStr">
        <is>
          <t>White</t>
        </is>
      </c>
      <c r="H43" s="40" t="inlineStr">
        <is>
          <t>North</t>
        </is>
      </c>
      <c r="I43" s="40" t="inlineStr">
        <is>
          <t>Receptive</t>
        </is>
      </c>
      <c r="J43" s="40" t="inlineStr">
        <is>
          <t>Black, green, yellow, brown</t>
        </is>
      </c>
      <c r="K43" s="40" t="inlineStr">
        <is>
          <t>8</t>
        </is>
      </c>
      <c r="L43" s="40" t="inlineStr">
        <is>
          <t>Material aspects, travel, protection, discipline</t>
        </is>
      </c>
      <c r="M43" s="40" t="inlineStr">
        <is>
          <t>3 or 7</t>
        </is>
      </c>
      <c r="N43"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43" s="40" t="inlineStr">
        <is>
          <t>68</t>
        </is>
      </c>
      <c r="P43"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43" s="40" t="inlineStr">
        <is>
          <t>32</t>
        </is>
      </c>
      <c r="R43" s="40" t="inlineStr">
        <is>
          <t>Apple, Bergamot, Clove Bud, Frankincense, Geranium, Juniper, Lavender, Lemon, Lemon Grass, Marjoram, Melissa, Neroli, Orange Bitter, Pine, Rose, Rosemary, Thyme, Vanilla, Ylang Ylang, Cinnamon, Ginger, Patchouli, Sandalwood In.</t>
        </is>
      </c>
      <c r="S43" s="40" t="inlineStr">
        <is>
          <t>23</t>
        </is>
      </c>
      <c r="T43" s="40" t="inlineStr">
        <is>
          <t>FEHU, ANSUZ, RAIDO, GEBO, WUNJO, PERTH, SOWILO, TIWAZ, EHWAZ, INGWAZ, OTHILA</t>
        </is>
      </c>
      <c r="U43" s="40" t="inlineStr">
        <is>
          <t>11</t>
        </is>
      </c>
      <c r="V43" s="40" t="inlineStr">
        <is>
          <t>AESCULAPUS, ALL, ALL GODDESSES, ALL LUNAR GODDESSES, ALLAT, AMATERASU, AMBERELLA, APHRODITE, ARADIA, ARES, ARIANRHOD, ARTEMIS, ASTARTE, ATTIS, BAAL, BACCHUS, BALDOR, BALDUR &amp; HATHOR, BEFANA, BONA DEA</t>
        </is>
      </c>
      <c r="W43" s="40" t="inlineStr">
        <is>
          <t>89</t>
        </is>
      </c>
      <c r="X43" t="inlineStr">
        <is>
          <t>Open / Reveal</t>
        </is>
      </c>
      <c r="Y43" t="inlineStr">
        <is>
          <t>Open / Reveal</t>
        </is>
      </c>
      <c r="Z43" t="inlineStr">
        <is>
          <t>Smoke and Flame</t>
        </is>
      </c>
      <c r="AA43" t="inlineStr">
        <is>
          <t>Maybe</t>
        </is>
      </c>
      <c r="AB43" t="inlineStr">
        <is>
          <t>Yes</t>
        </is>
      </c>
      <c r="AC43" t="inlineStr">
        <is>
          <t>Maybe</t>
        </is>
      </c>
      <c r="AD43" t="inlineStr">
        <is>
          <t>Open roads, make offerings, contact spirit paths, or transform thresholds.</t>
        </is>
      </c>
      <c r="AE43" t="inlineStr">
        <is>
          <t>App should pull this row's Greenman Energy Mode from the main item sheets. Use Secondary Energy Hint only if a serious/adult spell still needs a Draw/Hold/Release/Open/Transform flavour.</t>
        </is>
      </c>
      <c r="AF43" t="inlineStr">
        <is>
          <t>Place at a shrine or altar</t>
        </is>
      </c>
      <c r="AG43" t="inlineStr">
        <is>
          <t>Place in a tree | Leave in running water</t>
        </is>
      </c>
    </row>
    <row r="44" ht="60" customHeight="1" s="56">
      <c r="A44" s="3" t="inlineStr">
        <is>
          <t>Happiness, Harmony &amp; Peace</t>
        </is>
      </c>
      <c r="B44" s="3" t="inlineStr">
        <is>
          <t>Happiness</t>
        </is>
      </c>
      <c r="C44" s="2" t="inlineStr">
        <is>
          <t>Waxing</t>
        </is>
      </c>
      <c r="D44" s="40" t="inlineStr">
        <is>
          <t>Air</t>
        </is>
      </c>
      <c r="E44" s="40" t="inlineStr">
        <is>
          <t>Venus</t>
        </is>
      </c>
      <c r="F44" s="40" t="inlineStr">
        <is>
          <t>Friday</t>
        </is>
      </c>
      <c r="G44" s="40" t="inlineStr">
        <is>
          <t>Yellow</t>
        </is>
      </c>
      <c r="H44" s="40" t="inlineStr">
        <is>
          <t>East</t>
        </is>
      </c>
      <c r="I44" s="40" t="inlineStr">
        <is>
          <t>Projective</t>
        </is>
      </c>
      <c r="J44" s="40" t="inlineStr">
        <is>
          <t>Yellow, white, crimson</t>
        </is>
      </c>
      <c r="K44" s="40" t="inlineStr">
        <is>
          <t>6</t>
        </is>
      </c>
      <c r="L44" s="40" t="inlineStr">
        <is>
          <t>Emotions, magnetism, gods/goddesses, cats</t>
        </is>
      </c>
      <c r="M44" s="40" t="inlineStr">
        <is>
          <t>1 or 3</t>
        </is>
      </c>
      <c r="N44" s="40" t="inlineStr">
        <is>
          <t>ANISE, APPLE BLOSSOM, BASIL, CINNAMON STICKS, EYEBRIGHT, LAVENDER FLOWERS, LEMON BALM, OREGANO, PARSLEY, PEPPERMINT, ROSEMARY, SAGE, THYME</t>
        </is>
      </c>
      <c r="O44" s="40" t="inlineStr">
        <is>
          <t>13</t>
        </is>
      </c>
      <c r="P44" s="40" t="inlineStr">
        <is>
          <t>agate Botswana , chrysophase, Citrine, Lodestone, quartz Rose , Ruby</t>
        </is>
      </c>
      <c r="Q44" s="40" t="inlineStr">
        <is>
          <t>6</t>
        </is>
      </c>
      <c r="R44" s="40" t="inlineStr">
        <is>
          <t>Apple, Bergamot, Lavender, Marjoram, Neroli, Pine, Vanilla</t>
        </is>
      </c>
      <c r="S44" s="40" t="inlineStr">
        <is>
          <t>7</t>
        </is>
      </c>
      <c r="T44" s="40" t="inlineStr">
        <is>
          <t>WUNJO, INGWAZ</t>
        </is>
      </c>
      <c r="U44" s="40" t="inlineStr">
        <is>
          <t>2</t>
        </is>
      </c>
      <c r="V44" s="40" t="inlineStr">
        <is>
          <t>ALL GODDESSES, ALL LUNAR GODDESSES, AMATERASU, AMBERELLA, APHRODITE, ARADIA, BAAL, BACCHUS, BALDOR, BALDUR &amp; HATHOR, BEFANA, CUPID, DIONYSUS, ELECTRA, FATHER GOD, GOD AND GODDESS IN BALANCE, JUPITER, KWAN-YIN AND BUDDHA, LUNA, MAAT</t>
        </is>
      </c>
      <c r="W44" s="40" t="inlineStr">
        <is>
          <t>34</t>
        </is>
      </c>
      <c r="X44" t="inlineStr">
        <is>
          <t>Hold</t>
        </is>
      </c>
      <c r="Y44" t="inlineStr">
        <is>
          <t>Hold</t>
        </is>
      </c>
      <c r="Z44" t="inlineStr">
        <is>
          <t>Charm Bag</t>
        </is>
      </c>
      <c r="AA44" t="inlineStr">
        <is>
          <t>Maybe</t>
        </is>
      </c>
      <c r="AB44" t="inlineStr">
        <is>
          <t>Maybe</t>
        </is>
      </c>
      <c r="AC44" t="inlineStr">
        <is>
          <t>Yes</t>
        </is>
      </c>
      <c r="AD44" t="inlineStr">
        <is>
          <t>Carry peace, happiness and harmony as a quiet working.</t>
        </is>
      </c>
      <c r="AE44" t="inlineStr">
        <is>
          <t>App should pull this row's Greenman Energy Mode from the main item sheets. Use Secondary Energy Hint only if a serious/adult spell still needs a Draw/Hold/Release/Open/Transform flavour.</t>
        </is>
      </c>
      <c r="AF44" t="inlineStr">
        <is>
          <t>Carry it close on your person</t>
        </is>
      </c>
      <c r="AG44" t="inlineStr">
        <is>
          <t>Place where it can be seen | Hang it in the home</t>
        </is>
      </c>
    </row>
    <row r="45" ht="60" customHeight="1" s="56">
      <c r="A45" s="5" t="inlineStr">
        <is>
          <t>Happiness, Harmony &amp; Peace</t>
        </is>
      </c>
      <c r="B45" s="5" t="inlineStr">
        <is>
          <t>Harmony</t>
        </is>
      </c>
      <c r="C45" s="4" t="inlineStr">
        <is>
          <t>Waxing</t>
        </is>
      </c>
      <c r="D45" s="40" t="inlineStr">
        <is>
          <t>Water</t>
        </is>
      </c>
      <c r="E45" s="40" t="inlineStr">
        <is>
          <t>Venus</t>
        </is>
      </c>
      <c r="F45" s="40" t="inlineStr">
        <is>
          <t>Friday</t>
        </is>
      </c>
      <c r="G45" s="40" t="inlineStr">
        <is>
          <t>Pink</t>
        </is>
      </c>
      <c r="H45" s="40" t="inlineStr">
        <is>
          <t>West</t>
        </is>
      </c>
      <c r="I45" s="40" t="inlineStr">
        <is>
          <t>Receptive</t>
        </is>
      </c>
      <c r="J45" s="40" t="inlineStr">
        <is>
          <t>Blue, turquoise, green, grey, indigo, black</t>
        </is>
      </c>
      <c r="K45" s="40" t="inlineStr">
        <is>
          <t>6</t>
        </is>
      </c>
      <c r="L45" s="40" t="inlineStr">
        <is>
          <t>Emotions, magnetism, gods/goddesses, cats</t>
        </is>
      </c>
      <c r="M45" s="40" t="inlineStr">
        <is>
          <t>1 or 3</t>
        </is>
      </c>
      <c r="N45"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45" s="40" t="inlineStr">
        <is>
          <t>68</t>
        </is>
      </c>
      <c r="P45"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45" s="40" t="inlineStr">
        <is>
          <t>32</t>
        </is>
      </c>
      <c r="R45" s="40" t="inlineStr">
        <is>
          <t>Apple, Bergamot, Clove Bud, Frankincense, Geranium, Juniper, Lavender, Lemon, Lemon Grass, Marjoram, Melissa, Neroli, Orange Bitter, Pine, Rose, Rosemary, Thyme, Vanilla, Ylang Ylang, Cinnamon, Ginger, Patchouli, Sandalwood In.</t>
        </is>
      </c>
      <c r="S45" s="40" t="inlineStr">
        <is>
          <t>23</t>
        </is>
      </c>
      <c r="T45" s="40" t="inlineStr">
        <is>
          <t>FEHU, ANSUZ, RAIDO, GEBO, WUNJO, PERTH, SOWILO, TIWAZ, EHWAZ, INGWAZ, OTHILA</t>
        </is>
      </c>
      <c r="U45" s="40" t="inlineStr">
        <is>
          <t>11</t>
        </is>
      </c>
      <c r="V45" s="40" t="inlineStr">
        <is>
          <t>AESCULAPUS, ALL, ALL GODDESSES, ALL LUNAR GODDESSES, ALLAT, AMATERASU, AMBERELLA, APHRODITE, ARADIA, ARES, ARIANRHOD, ARTEMIS, ASTARTE, ATTIS, BAAL, BACCHUS, BALDOR, BALDUR &amp; HATHOR, BEFANA, BONA DEA</t>
        </is>
      </c>
      <c r="W45" s="40" t="inlineStr">
        <is>
          <t>89</t>
        </is>
      </c>
      <c r="X45" t="inlineStr">
        <is>
          <t>Hold</t>
        </is>
      </c>
      <c r="Y45" t="inlineStr">
        <is>
          <t>Hold</t>
        </is>
      </c>
      <c r="Z45" t="inlineStr">
        <is>
          <t>Charm Bag</t>
        </is>
      </c>
      <c r="AA45" t="inlineStr">
        <is>
          <t>Maybe</t>
        </is>
      </c>
      <c r="AB45" t="inlineStr">
        <is>
          <t>Maybe</t>
        </is>
      </c>
      <c r="AC45" t="inlineStr">
        <is>
          <t>Yes</t>
        </is>
      </c>
      <c r="AD45" t="inlineStr">
        <is>
          <t>Carry peace, happiness and harmony as a quiet working.</t>
        </is>
      </c>
      <c r="AE45" t="inlineStr">
        <is>
          <t>App should pull this row's Greenman Energy Mode from the main item sheets. Use Secondary Energy Hint only if a serious/adult spell still needs a Draw/Hold/Release/Open/Transform flavour.</t>
        </is>
      </c>
      <c r="AF45" t="inlineStr">
        <is>
          <t>Hang it in the home</t>
        </is>
      </c>
      <c r="AG45" t="inlineStr">
        <is>
          <t>Carry it close on your person | Place where it can be seen</t>
        </is>
      </c>
    </row>
    <row r="46" ht="60" customHeight="1" s="56">
      <c r="A46" s="3" t="inlineStr">
        <is>
          <t>Happiness, Harmony &amp; Peace</t>
        </is>
      </c>
      <c r="B46" s="3" t="inlineStr">
        <is>
          <t>Peace</t>
        </is>
      </c>
      <c r="C46" s="2" t="inlineStr">
        <is>
          <t>Waxing</t>
        </is>
      </c>
      <c r="D46" s="40" t="inlineStr">
        <is>
          <t>Water</t>
        </is>
      </c>
      <c r="E46" s="40" t="inlineStr">
        <is>
          <t>Venus</t>
        </is>
      </c>
      <c r="F46" s="40" t="inlineStr">
        <is>
          <t>Friday</t>
        </is>
      </c>
      <c r="G46" s="40" t="inlineStr">
        <is>
          <t>Blue</t>
        </is>
      </c>
      <c r="H46" s="40" t="inlineStr">
        <is>
          <t>West</t>
        </is>
      </c>
      <c r="I46" s="40" t="inlineStr">
        <is>
          <t>Receptive</t>
        </is>
      </c>
      <c r="J46" s="40" t="inlineStr">
        <is>
          <t>Blue, turquoise, green, grey, indigo, black</t>
        </is>
      </c>
      <c r="K46" s="40" t="inlineStr">
        <is>
          <t>6</t>
        </is>
      </c>
      <c r="L46" s="40" t="inlineStr">
        <is>
          <t>Emotions, magnetism, gods/goddesses, cats</t>
        </is>
      </c>
      <c r="M46" s="40" t="inlineStr">
        <is>
          <t>1 or 3</t>
        </is>
      </c>
      <c r="N46"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46" s="40" t="inlineStr">
        <is>
          <t>66</t>
        </is>
      </c>
      <c r="P46"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46" s="40" t="inlineStr">
        <is>
          <t>32</t>
        </is>
      </c>
      <c r="R46" s="40" t="inlineStr">
        <is>
          <t>Apple, Bergamot, Clove Bud, Frankincense, Geranium, Juniper, Lavender, Lemon, Lemon Grass, Marjoram, Melissa, Neroli, Orange Bitter, Pine, Rose, Rosemary, Thyme, Vanilla, Ylang Ylang, Cinnamon, Ginger, Patchouli, Sandalwood In.</t>
        </is>
      </c>
      <c r="S46" s="40" t="inlineStr">
        <is>
          <t>23</t>
        </is>
      </c>
      <c r="T46" s="40" t="inlineStr">
        <is>
          <t>FEHU, ANSUZ, RAIDO, GEBO, WUNJO, PERTH, SOWILO, TIWAZ, EHWAZ, INGWAZ, OTHILA</t>
        </is>
      </c>
      <c r="U46" s="40" t="inlineStr">
        <is>
          <t>11</t>
        </is>
      </c>
      <c r="V46" s="40" t="inlineStr">
        <is>
          <t>AESCULAPUS, ALL, ALL GODDESSES, ALL LUNAR GODDESSES, ALLAT, AMATERASU, AMBERELLA, APHRODITE, ARADIA, ARES, ARIANRHOD, ARTEMIS, ASTARTE, ATTIS, BAAL, BACCHUS, BALDOR, BALDUR &amp; HATHOR, BEFANA, BONA DEA</t>
        </is>
      </c>
      <c r="W46" s="40" t="inlineStr">
        <is>
          <t>89</t>
        </is>
      </c>
      <c r="X46" t="inlineStr">
        <is>
          <t>Hold</t>
        </is>
      </c>
      <c r="Y46" t="inlineStr">
        <is>
          <t>Hold</t>
        </is>
      </c>
      <c r="Z46" t="inlineStr">
        <is>
          <t>Charm Bag</t>
        </is>
      </c>
      <c r="AA46" t="inlineStr">
        <is>
          <t>Maybe</t>
        </is>
      </c>
      <c r="AB46" t="inlineStr">
        <is>
          <t>Maybe</t>
        </is>
      </c>
      <c r="AC46" t="inlineStr">
        <is>
          <t>Yes</t>
        </is>
      </c>
      <c r="AD46" t="inlineStr">
        <is>
          <t>Carry peace, happiness and harmony as a quiet working.</t>
        </is>
      </c>
      <c r="AE46" t="inlineStr">
        <is>
          <t>App should pull this row's Greenman Energy Mode from the main item sheets. Use Secondary Energy Hint only if a serious/adult spell still needs a Draw/Hold/Release/Open/Transform flavour.</t>
        </is>
      </c>
      <c r="AF46" t="inlineStr">
        <is>
          <t>Hang it in the home</t>
        </is>
      </c>
      <c r="AG46" t="inlineStr">
        <is>
          <t>Carry it close on your person | Place at a shrine or altar</t>
        </is>
      </c>
    </row>
    <row r="47" ht="60" customHeight="1" s="56">
      <c r="A47" s="5" t="inlineStr">
        <is>
          <t>Change, Beginnings &amp; Habit Work</t>
        </is>
      </c>
      <c r="B47" s="5" t="inlineStr">
        <is>
          <t>Breaking habits</t>
        </is>
      </c>
      <c r="C47" s="4" t="inlineStr">
        <is>
          <t>Waning</t>
        </is>
      </c>
      <c r="D47" s="40" t="inlineStr">
        <is>
          <t>Fire</t>
        </is>
      </c>
      <c r="E47" s="40" t="inlineStr">
        <is>
          <t>Mars</t>
        </is>
      </c>
      <c r="F47" s="40" t="inlineStr">
        <is>
          <t>Tuesday</t>
        </is>
      </c>
      <c r="G47" s="40" t="inlineStr">
        <is>
          <t>Black</t>
        </is>
      </c>
      <c r="H47" s="40" t="inlineStr">
        <is>
          <t>South</t>
        </is>
      </c>
      <c r="I47" s="40" t="inlineStr">
        <is>
          <t>Projective</t>
        </is>
      </c>
      <c r="J47" s="40" t="inlineStr">
        <is>
          <t>Red, gold, crimson, orange, white</t>
        </is>
      </c>
      <c r="K47" s="40" t="inlineStr">
        <is>
          <t>9</t>
        </is>
      </c>
      <c r="L47" s="40" t="inlineStr">
        <is>
          <t>Aggression, conflict, dominance</t>
        </is>
      </c>
      <c r="M47" s="40" t="inlineStr">
        <is>
          <t>3 or 7</t>
        </is>
      </c>
      <c r="N47" s="40" t="inlineStr">
        <is>
          <t>ACORN, CAMPHOR SYNTHETIC, CEDARWOOD (HIMALAYAN), CHIVE, CLOVES, COMFREY, HEATHER, JASMINE, LEMON VERBENA, PEPPERMINT, ROSEMARY, THYME, VALERIAN ROOT</t>
        </is>
      </c>
      <c r="O47" s="40" t="inlineStr">
        <is>
          <t>13</t>
        </is>
      </c>
      <c r="P47" s="40" t="inlineStr">
        <is>
          <t>agate Botswana , Citrine, Rhodocrosite</t>
        </is>
      </c>
      <c r="Q47" s="40" t="inlineStr">
        <is>
          <t>3</t>
        </is>
      </c>
      <c r="R47" s="40" t="inlineStr">
        <is>
          <t>Peppermint, Frankincense, Lavender, Cedarwood</t>
        </is>
      </c>
      <c r="S47" s="40" t="n">
        <v>4</v>
      </c>
      <c r="T47" s="40" t="inlineStr">
        <is>
          <t>FEHU, RAIDO, IHWAZ, BERKANAN, MANNAZ, LAGUZ, DAGAZ</t>
        </is>
      </c>
      <c r="U47" s="40" t="inlineStr">
        <is>
          <t>7</t>
        </is>
      </c>
      <c r="V47" s="40" t="inlineStr">
        <is>
          <t>AESCULAPUS, ALL GODDESSES, ALL LUNAR GODDESSES, ALLAT, AMBERELLA, ARADIA, ARIANRHOD, ARTEMIS, ASTARTE, ATTIS, BAAL, BACCHUS, BALDUR &amp; HATHOR, BEFANA, BONA DEA, BRIGID, BUDDHA, CEBELE, CERES, CERRIDWEN</t>
        </is>
      </c>
      <c r="W47" s="40" t="inlineStr">
        <is>
          <t>71</t>
        </is>
      </c>
      <c r="X47" t="inlineStr">
        <is>
          <t>Release</t>
        </is>
      </c>
      <c r="Y47" t="inlineStr">
        <is>
          <t>Release</t>
        </is>
      </c>
      <c r="Z47" t="inlineStr">
        <is>
          <t>Smoke and Flame</t>
        </is>
      </c>
      <c r="AA47" t="inlineStr">
        <is>
          <t>Maybe</t>
        </is>
      </c>
      <c r="AB47" t="inlineStr">
        <is>
          <t>Yes</t>
        </is>
      </c>
      <c r="AC47" t="inlineStr">
        <is>
          <t>Yes</t>
        </is>
      </c>
      <c r="AD47" t="inlineStr">
        <is>
          <t>Turn the old pattern, release what binds, or open the next path.</t>
        </is>
      </c>
      <c r="AE47" t="inlineStr">
        <is>
          <t>App should pull this row's Greenman Energy Mode from the main item sheets. Use Secondary Energy Hint only if a serious/adult spell still needs a Draw/Hold/Release/Open/Transform flavour.</t>
        </is>
      </c>
      <c r="AF47" t="inlineStr">
        <is>
          <t>Bury in the earth</t>
        </is>
      </c>
      <c r="AG47" t="inlineStr">
        <is>
          <t>Burn and release, no remains | Leave in running water</t>
        </is>
      </c>
    </row>
    <row r="48" ht="60" customHeight="1" s="56">
      <c r="A48" s="3" t="inlineStr">
        <is>
          <t>Change, Beginnings &amp; Habit Work</t>
        </is>
      </c>
      <c r="B48" s="3" t="inlineStr">
        <is>
          <t>New beginnings</t>
        </is>
      </c>
      <c r="C48" s="2" t="inlineStr">
        <is>
          <t>Dark</t>
        </is>
      </c>
      <c r="D48" s="40" t="inlineStr">
        <is>
          <t>Earth</t>
        </is>
      </c>
      <c r="E48" s="40" t="inlineStr">
        <is>
          <t>Moon</t>
        </is>
      </c>
      <c r="F48" s="40" t="inlineStr">
        <is>
          <t>Monday</t>
        </is>
      </c>
      <c r="G48" s="40" t="inlineStr">
        <is>
          <t>White</t>
        </is>
      </c>
      <c r="H48" s="40" t="inlineStr">
        <is>
          <t>North</t>
        </is>
      </c>
      <c r="I48" s="40" t="inlineStr">
        <is>
          <t>Receptive</t>
        </is>
      </c>
      <c r="J48" s="40" t="inlineStr">
        <is>
          <t>Black, green, yellow, brown</t>
        </is>
      </c>
      <c r="K48" s="40" t="inlineStr">
        <is>
          <t>2</t>
        </is>
      </c>
      <c r="L48" s="40" t="inlineStr">
        <is>
          <t>Duality, balance, couples, partnerships</t>
        </is>
      </c>
      <c r="M48" s="40" t="inlineStr">
        <is>
          <t>3 or 7</t>
        </is>
      </c>
      <c r="N48" s="40" t="inlineStr">
        <is>
          <t>ACORN, CAMPHOR SYNTHETIC, CEDARWOOD (HIMALAYAN), CHIVE, CLOVES, COMFREY, HEATHER, JASMINE, LEMON VERBENA, PEPPERMINT, ROSEMARY, THYME, VALERIAN ROOT</t>
        </is>
      </c>
      <c r="O48" s="40" t="inlineStr">
        <is>
          <t>13</t>
        </is>
      </c>
      <c r="P48" s="40" t="inlineStr">
        <is>
          <t>agate Botswana , Citrine, Rhodocrosite</t>
        </is>
      </c>
      <c r="Q48" s="40" t="inlineStr">
        <is>
          <t>3</t>
        </is>
      </c>
      <c r="R48" s="40" t="inlineStr">
        <is>
          <t>Neroli, Frankincense, Lavender, Pine</t>
        </is>
      </c>
      <c r="S48" s="40" t="n">
        <v>4</v>
      </c>
      <c r="T48" s="40" t="inlineStr">
        <is>
          <t>FEHU, RAIDO, IHWAZ, BERKANAN, MANNAZ, LAGUZ, DAGAZ</t>
        </is>
      </c>
      <c r="U48" s="40" t="inlineStr">
        <is>
          <t>7</t>
        </is>
      </c>
      <c r="V48" s="40" t="inlineStr">
        <is>
          <t>AESCULAPUS, ALL GODDESSES, ALL LUNAR GODDESSES, ALLAT, AMBERELLA, ARADIA, ARIANRHOD, ARTEMIS, ASTARTE, ATTIS, BAAL, BACCHUS, BALDUR &amp; HATHOR, BEFANA, BONA DEA, BRIGID, BUDDHA, CEBELE, CERES, CERRIDWEN</t>
        </is>
      </c>
      <c r="W48" s="40" t="inlineStr">
        <is>
          <t>70</t>
        </is>
      </c>
      <c r="X48" t="inlineStr">
        <is>
          <t>Transform / Turn</t>
        </is>
      </c>
      <c r="Y48" t="inlineStr">
        <is>
          <t>Transform / Turn</t>
        </is>
      </c>
      <c r="Z48" t="inlineStr">
        <is>
          <t>Smoke and Flame</t>
        </is>
      </c>
      <c r="AA48" t="inlineStr">
        <is>
          <t>Maybe</t>
        </is>
      </c>
      <c r="AB48" t="inlineStr">
        <is>
          <t>Yes</t>
        </is>
      </c>
      <c r="AC48" t="inlineStr">
        <is>
          <t>Yes</t>
        </is>
      </c>
      <c r="AD48" t="inlineStr">
        <is>
          <t>Turn the old pattern, release what binds, or open the next path.</t>
        </is>
      </c>
      <c r="AE48" t="inlineStr">
        <is>
          <t>App should pull this row's Greenman Energy Mode from the main item sheets. Use Secondary Energy Hint only if a serious/adult spell still needs a Draw/Hold/Release/Open/Transform flavour.</t>
        </is>
      </c>
      <c r="AF48" t="inlineStr">
        <is>
          <t>Place in a tree</t>
        </is>
      </c>
      <c r="AG48" t="inlineStr">
        <is>
          <t>Bury in the earth | Place where it can be seen</t>
        </is>
      </c>
    </row>
    <row r="49" ht="60" customHeight="1" s="56">
      <c r="A49" s="5" t="inlineStr">
        <is>
          <t>Sabbat &amp; Solar Observance</t>
        </is>
      </c>
      <c r="B49" s="5" t="inlineStr">
        <is>
          <t>Beltane</t>
        </is>
      </c>
      <c r="C49" s="4" t="inlineStr">
        <is>
          <t>Waxing</t>
        </is>
      </c>
      <c r="D49" s="40" t="inlineStr">
        <is>
          <t>Fire</t>
        </is>
      </c>
      <c r="E49" s="40" t="inlineStr">
        <is>
          <t>Sun</t>
        </is>
      </c>
      <c r="F49" s="40" t="inlineStr">
        <is>
          <t>Sunday</t>
        </is>
      </c>
      <c r="G49" s="40" t="inlineStr">
        <is>
          <t>Red</t>
        </is>
      </c>
      <c r="H49" s="40" t="inlineStr">
        <is>
          <t>South</t>
        </is>
      </c>
      <c r="I49" s="40" t="inlineStr">
        <is>
          <t>Projective</t>
        </is>
      </c>
      <c r="J49" s="40" t="inlineStr">
        <is>
          <t>Red, gold, crimson, orange, white</t>
        </is>
      </c>
      <c r="K49" s="40" t="inlineStr">
        <is>
          <t>1</t>
        </is>
      </c>
      <c r="L49" s="40" t="inlineStr">
        <is>
          <t>Developing the self, the All, wholeness, unity, beginnings</t>
        </is>
      </c>
      <c r="M49" s="40" t="inlineStr">
        <is>
          <t>3 or 7</t>
        </is>
      </c>
      <c r="N49" s="40" t="inlineStr">
        <is>
          <t>COLTSFOOT, FENNEL (SEED), HEARTSEASE, LAVENDER FLOWERS, THYME</t>
        </is>
      </c>
      <c r="O49" s="40" t="inlineStr">
        <is>
          <t>5</t>
        </is>
      </c>
      <c r="P49" s="40" t="inlineStr">
        <is>
          <t>Carnelian, Garnet, quartz Rose, Aventurine</t>
        </is>
      </c>
      <c r="Q49" s="40" t="n">
        <v>4</v>
      </c>
      <c r="R49" s="40" t="inlineStr">
        <is>
          <t>Rose, Ylang Ylang, Frankincense, Patchouli</t>
        </is>
      </c>
      <c r="S49" s="40" t="n">
        <v>4</v>
      </c>
      <c r="T49" s="40" t="inlineStr">
        <is>
          <t>BERKANAN, INGWAZ, WUNJO, FEHU</t>
        </is>
      </c>
      <c r="U49" s="40" t="n">
        <v>4</v>
      </c>
      <c r="V49" s="40" t="inlineStr">
        <is>
          <t>APHRODITE, BRIGID, FREYJA, VENUS, PAN, FREY, EROS, DIONYSUS</t>
        </is>
      </c>
      <c r="W49" s="40" t="inlineStr">
        <is>
          <t>2</t>
        </is>
      </c>
      <c r="X49" t="inlineStr">
        <is>
          <t>Transform / Turn</t>
        </is>
      </c>
      <c r="Y49" t="inlineStr">
        <is>
          <t>Transform / Turn</t>
        </is>
      </c>
      <c r="Z49" t="inlineStr">
        <is>
          <t>Smoke and Flame</t>
        </is>
      </c>
      <c r="AA49" t="inlineStr">
        <is>
          <t>Maybe</t>
        </is>
      </c>
      <c r="AB49" t="inlineStr">
        <is>
          <t>Yes</t>
        </is>
      </c>
      <c r="AC49" t="inlineStr">
        <is>
          <t>Maybe</t>
        </is>
      </c>
      <c r="AD49" t="inlineStr">
        <is>
          <t>Mark seasonal turning, solar fire, ancestral gates or festival rites.</t>
        </is>
      </c>
      <c r="AE49" t="inlineStr">
        <is>
          <t>App should pull this row's Greenman Energy Mode from the main item sheets. Use Secondary Energy Hint only if a serious/adult spell still needs a Draw/Hold/Release/Open/Transform flavour.</t>
        </is>
      </c>
      <c r="AF49" t="inlineStr">
        <is>
          <t>Place in a tree</t>
        </is>
      </c>
      <c r="AG49" t="inlineStr">
        <is>
          <t>Place at a shrine or altar | Bury in the earth</t>
        </is>
      </c>
    </row>
    <row r="50" ht="60" customHeight="1" s="56">
      <c r="A50" s="3" t="inlineStr">
        <is>
          <t>Sabbat &amp; Solar Observance</t>
        </is>
      </c>
      <c r="B50" s="3" t="inlineStr">
        <is>
          <t>Imbolc/Ostara</t>
        </is>
      </c>
      <c r="C50" s="2" t="inlineStr">
        <is>
          <t>Waxing</t>
        </is>
      </c>
      <c r="D50" s="40" t="inlineStr">
        <is>
          <t>Earth</t>
        </is>
      </c>
      <c r="E50" s="40" t="inlineStr">
        <is>
          <t>Moon</t>
        </is>
      </c>
      <c r="F50" s="40" t="inlineStr">
        <is>
          <t>Monday</t>
        </is>
      </c>
      <c r="G50" s="40" t="inlineStr">
        <is>
          <t>White</t>
        </is>
      </c>
      <c r="H50" s="40" t="inlineStr">
        <is>
          <t>North</t>
        </is>
      </c>
      <c r="I50" s="40" t="inlineStr">
        <is>
          <t>Receptive</t>
        </is>
      </c>
      <c r="J50" s="40" t="inlineStr">
        <is>
          <t>Black, green, yellow, brown</t>
        </is>
      </c>
      <c r="K50" s="40" t="inlineStr">
        <is>
          <t>2</t>
        </is>
      </c>
      <c r="L50" s="40" t="inlineStr">
        <is>
          <t>Duality, balance, couples, partnerships</t>
        </is>
      </c>
      <c r="M50" s="40" t="inlineStr">
        <is>
          <t>3 or 7</t>
        </is>
      </c>
      <c r="N50" s="40" t="inlineStr">
        <is>
          <t>CLEAVERS, COLTSFOOT, LEMON VERBENA, TANSY</t>
        </is>
      </c>
      <c r="O50" s="40" t="inlineStr">
        <is>
          <t>4</t>
        </is>
      </c>
      <c r="P50" s="40" t="inlineStr">
        <is>
          <t>Amethyst, quartz Rose, Moonstone, Aventurine</t>
        </is>
      </c>
      <c r="Q50" s="40" t="n">
        <v>4</v>
      </c>
      <c r="R50" s="40" t="inlineStr">
        <is>
          <t>Lavender, Frankincense, Neroli, Rose</t>
        </is>
      </c>
      <c r="S50" s="40" t="n">
        <v>4</v>
      </c>
      <c r="T50" s="40" t="inlineStr">
        <is>
          <t>BERKANAN, DAGAZ, JERA, INGWAZ</t>
        </is>
      </c>
      <c r="U50" s="40" t="n">
        <v>4</v>
      </c>
      <c r="V50" s="40" t="inlineStr">
        <is>
          <t>BRIGID, EOSTRE, FREYJA, ISIS, FREY, ING, ODIN, THOR</t>
        </is>
      </c>
      <c r="W50" s="40" t="inlineStr">
        <is>
          <t>1</t>
        </is>
      </c>
      <c r="X50" t="inlineStr">
        <is>
          <t>Transform / Turn</t>
        </is>
      </c>
      <c r="Y50" t="inlineStr">
        <is>
          <t>Transform / Turn</t>
        </is>
      </c>
      <c r="Z50" t="inlineStr">
        <is>
          <t>Smoke and Flame</t>
        </is>
      </c>
      <c r="AA50" t="inlineStr">
        <is>
          <t>Maybe</t>
        </is>
      </c>
      <c r="AB50" t="inlineStr">
        <is>
          <t>Yes</t>
        </is>
      </c>
      <c r="AC50" t="inlineStr">
        <is>
          <t>Maybe</t>
        </is>
      </c>
      <c r="AD50" t="inlineStr">
        <is>
          <t>Mark seasonal turning, solar fire, ancestral gates or festival rites.</t>
        </is>
      </c>
      <c r="AE50" t="inlineStr">
        <is>
          <t>App should pull this row's Greenman Energy Mode from the main item sheets. Use Secondary Energy Hint only if a serious/adult spell still needs a Draw/Hold/Release/Open/Transform flavour.</t>
        </is>
      </c>
      <c r="AF50" t="inlineStr">
        <is>
          <t>Place in a tree</t>
        </is>
      </c>
      <c r="AG50" t="inlineStr">
        <is>
          <t>Place at a shrine or altar | Place where it can be seen</t>
        </is>
      </c>
    </row>
    <row r="51" ht="60" customHeight="1" s="56">
      <c r="A51" s="5" t="inlineStr">
        <is>
          <t>Sabbat &amp; Solar Observance</t>
        </is>
      </c>
      <c r="B51" s="5" t="inlineStr">
        <is>
          <t>Mabon/Samhain</t>
        </is>
      </c>
      <c r="C51" s="4" t="inlineStr">
        <is>
          <t>Waning</t>
        </is>
      </c>
      <c r="D51" s="40" t="inlineStr">
        <is>
          <t>Earth</t>
        </is>
      </c>
      <c r="E51" s="40" t="inlineStr">
        <is>
          <t>Saturn</t>
        </is>
      </c>
      <c r="F51" s="40" t="inlineStr">
        <is>
          <t>Saturday</t>
        </is>
      </c>
      <c r="G51" s="40" t="inlineStr">
        <is>
          <t>Orange</t>
        </is>
      </c>
      <c r="H51" s="40" t="inlineStr">
        <is>
          <t>North</t>
        </is>
      </c>
      <c r="I51" s="40" t="inlineStr">
        <is>
          <t>Receptive</t>
        </is>
      </c>
      <c r="J51" s="40" t="inlineStr">
        <is>
          <t>Black, green, yellow, brown</t>
        </is>
      </c>
      <c r="K51" s="40" t="inlineStr">
        <is>
          <t>8</t>
        </is>
      </c>
      <c r="L51" s="40" t="inlineStr">
        <is>
          <t>Material aspects, travel, protection, discipline</t>
        </is>
      </c>
      <c r="M51" s="40" t="inlineStr">
        <is>
          <t>3 or 7</t>
        </is>
      </c>
      <c r="N51" s="40" t="inlineStr">
        <is>
          <t>ANISE, APPLEWOOD CHIPS, BASIL, CHRYSANTHEMUM, CLOVER, COLTSFOOT, LEMON BALM, MULLEIN, PARSLEY, PENNYROYAL, SAGE, SANDALWOOD RED, SANDALWOOD WHITE, TANSY, THYME, BLACK SALT, YARROW</t>
        </is>
      </c>
      <c r="O51" s="40" t="inlineStr">
        <is>
          <t>17</t>
        </is>
      </c>
      <c r="P51" s="40" t="inlineStr">
        <is>
          <t>Jet, obsidian snowflake, Onyx, Petrified Wood, Serpentine</t>
        </is>
      </c>
      <c r="Q51" s="40" t="inlineStr">
        <is>
          <t>5</t>
        </is>
      </c>
      <c r="R51" s="40" t="inlineStr">
        <is>
          <t>Frankincense, Sandalwood w.i.</t>
        </is>
      </c>
      <c r="S51" s="40" t="inlineStr">
        <is>
          <t>2</t>
        </is>
      </c>
      <c r="T51" s="40" t="inlineStr">
        <is>
          <t>JERA, OTHILA, DAGAZ, IHWAZ</t>
        </is>
      </c>
      <c r="U51" s="40" t="n">
        <v>4</v>
      </c>
      <c r="V51" s="40" t="inlineStr">
        <is>
          <t>ALL, AMATERASU, AMBERELLA, ARTEMIS, BEFANA, BUDDHA, DIANA, EREYR, FLIDAIS, GAIA, HATHOR, HECATE, HEL, ISIS, JANA, KWAN-YIN AND BUDDHA, LOKI, MADAME PELE, MARY MAGDALENE, MERCURY</t>
        </is>
      </c>
      <c r="W51" s="40" t="inlineStr">
        <is>
          <t>34</t>
        </is>
      </c>
      <c r="X51" t="inlineStr">
        <is>
          <t>Transform / Turn</t>
        </is>
      </c>
      <c r="Y51" t="inlineStr">
        <is>
          <t>Transform / Turn</t>
        </is>
      </c>
      <c r="Z51" t="inlineStr">
        <is>
          <t>Smoke and Flame</t>
        </is>
      </c>
      <c r="AA51" t="inlineStr">
        <is>
          <t>Maybe</t>
        </is>
      </c>
      <c r="AB51" t="inlineStr">
        <is>
          <t>Yes</t>
        </is>
      </c>
      <c r="AC51" t="inlineStr">
        <is>
          <t>Maybe</t>
        </is>
      </c>
      <c r="AD51" t="inlineStr">
        <is>
          <t>Mark seasonal turning, solar fire, ancestral gates or festival rites.</t>
        </is>
      </c>
      <c r="AE51" t="inlineStr">
        <is>
          <t>App should pull this row's Greenman Energy Mode from the main item sheets. Use Secondary Energy Hint only if a serious/adult spell still needs a Draw/Hold/Release/Open/Transform flavour.</t>
        </is>
      </c>
      <c r="AF51" t="inlineStr">
        <is>
          <t>Place at a shrine or altar</t>
        </is>
      </c>
      <c r="AG51" t="inlineStr">
        <is>
          <t>Bury in the earth | Place in a tree</t>
        </is>
      </c>
    </row>
    <row r="52" ht="60" customHeight="1" s="56">
      <c r="A52" s="3" t="inlineStr">
        <is>
          <t>Sabbat &amp; Solar Observance</t>
        </is>
      </c>
      <c r="B52" s="3" t="inlineStr">
        <is>
          <t>Midsummer</t>
        </is>
      </c>
      <c r="C52" s="2" t="inlineStr">
        <is>
          <t>Full</t>
        </is>
      </c>
      <c r="D52" s="40" t="inlineStr">
        <is>
          <t>Fire</t>
        </is>
      </c>
      <c r="E52" s="40" t="inlineStr">
        <is>
          <t>Sun</t>
        </is>
      </c>
      <c r="F52" s="40" t="inlineStr">
        <is>
          <t>Sunday</t>
        </is>
      </c>
      <c r="G52" s="40" t="inlineStr">
        <is>
          <t>Gold</t>
        </is>
      </c>
      <c r="H52" s="40" t="inlineStr">
        <is>
          <t>South</t>
        </is>
      </c>
      <c r="I52" s="40" t="inlineStr">
        <is>
          <t>Projective</t>
        </is>
      </c>
      <c r="J52" s="40" t="inlineStr">
        <is>
          <t>Red, gold, crimson, orange, white</t>
        </is>
      </c>
      <c r="K52" s="40" t="inlineStr">
        <is>
          <t>1</t>
        </is>
      </c>
      <c r="L52" s="40" t="inlineStr">
        <is>
          <t>Developing the self, the All, wholeness, unity, beginnings</t>
        </is>
      </c>
      <c r="M52" s="40" t="inlineStr">
        <is>
          <t>3 or 7</t>
        </is>
      </c>
      <c r="N52" s="40" t="inlineStr">
        <is>
          <t>COLTSFOOT, FENNEL (SEED), HEARTSEASE, LAVENDER FLOWERS, THYME</t>
        </is>
      </c>
      <c r="O52" s="40" t="inlineStr">
        <is>
          <t>5</t>
        </is>
      </c>
      <c r="P52" s="40" t="inlineStr">
        <is>
          <t>Citrine, Carnelian, Garnet, Quartz Clear</t>
        </is>
      </c>
      <c r="Q52" s="40" t="n">
        <v>4</v>
      </c>
      <c r="R52" s="40" t="inlineStr">
        <is>
          <t>Frankincense, Rose, Lavender, Orange Bitter</t>
        </is>
      </c>
      <c r="S52" s="40" t="n">
        <v>4</v>
      </c>
      <c r="T52" s="40" t="inlineStr">
        <is>
          <t>SOWILO, TIWAZ, DAGAZ, FEHU</t>
        </is>
      </c>
      <c r="U52" s="40" t="n">
        <v>4</v>
      </c>
      <c r="V52" s="40" t="inlineStr">
        <is>
          <t>BRIGID, DIANA, FREYJA, ISIS, SOL, RA, ODIN, THOR</t>
        </is>
      </c>
      <c r="W52" s="40" t="inlineStr">
        <is>
          <t>2</t>
        </is>
      </c>
      <c r="X52" t="inlineStr">
        <is>
          <t>Transform / Turn</t>
        </is>
      </c>
      <c r="Y52" t="inlineStr">
        <is>
          <t>Transform / Turn</t>
        </is>
      </c>
      <c r="Z52" t="inlineStr">
        <is>
          <t>Smoke and Flame</t>
        </is>
      </c>
      <c r="AA52" t="inlineStr">
        <is>
          <t>Maybe</t>
        </is>
      </c>
      <c r="AB52" t="inlineStr">
        <is>
          <t>Yes</t>
        </is>
      </c>
      <c r="AC52" t="inlineStr">
        <is>
          <t>Maybe</t>
        </is>
      </c>
      <c r="AD52" t="inlineStr">
        <is>
          <t>Mark seasonal turning, solar fire, ancestral gates or festival rites.</t>
        </is>
      </c>
      <c r="AE52" t="inlineStr">
        <is>
          <t>App should pull this row's Greenman Energy Mode from the main item sheets. Use Secondary Energy Hint only if a serious/adult spell still needs a Draw/Hold/Release/Open/Transform flavour.</t>
        </is>
      </c>
      <c r="AF52" t="inlineStr">
        <is>
          <t>Place in a tree</t>
        </is>
      </c>
      <c r="AG52" t="inlineStr">
        <is>
          <t>Place at a shrine or altar | Place where it can be seen</t>
        </is>
      </c>
    </row>
    <row r="53" ht="60" customHeight="1" s="56">
      <c r="A53" s="5" t="inlineStr">
        <is>
          <t>Sabbat &amp; Solar Observance</t>
        </is>
      </c>
      <c r="B53" s="5" t="inlineStr">
        <is>
          <t>Sabbat rituals</t>
        </is>
      </c>
      <c r="C53" s="4" t="inlineStr">
        <is>
          <t>Various</t>
        </is>
      </c>
      <c r="D53" s="40" t="inlineStr">
        <is>
          <t>Earth</t>
        </is>
      </c>
      <c r="E53" s="40" t="inlineStr">
        <is>
          <t>Moon</t>
        </is>
      </c>
      <c r="F53" s="40" t="inlineStr">
        <is>
          <t>Monday</t>
        </is>
      </c>
      <c r="G53" s="40" t="inlineStr">
        <is>
          <t>White</t>
        </is>
      </c>
      <c r="H53" s="40" t="inlineStr">
        <is>
          <t>North</t>
        </is>
      </c>
      <c r="I53" s="40" t="inlineStr">
        <is>
          <t>Receptive</t>
        </is>
      </c>
      <c r="J53" s="40" t="inlineStr">
        <is>
          <t>Black, green, yellow, brown</t>
        </is>
      </c>
      <c r="K53" s="40" t="inlineStr">
        <is>
          <t>2</t>
        </is>
      </c>
      <c r="L53" s="40" t="inlineStr">
        <is>
          <t>Duality, balance, couples, partnerships</t>
        </is>
      </c>
      <c r="M53" s="40" t="inlineStr">
        <is>
          <t>3 or 7</t>
        </is>
      </c>
      <c r="N53" s="40" t="inlineStr">
        <is>
          <t>ROSEMARY, SAGE, FRANKINCENSE, WORMWOOD, ELDERFLOWER, LAVENDER FLOWERS, THYME</t>
        </is>
      </c>
      <c r="O53" s="40" t="n">
        <v>7</v>
      </c>
      <c r="P53" s="40" t="inlineStr">
        <is>
          <t>Quartz Clear, Amethyst, Moonstone, Labradorite</t>
        </is>
      </c>
      <c r="Q53" s="40" t="n">
        <v>4</v>
      </c>
      <c r="R53" s="40" t="inlineStr">
        <is>
          <t>Frankincense, Sandalwood w.i., Lavender, Cedarwood</t>
        </is>
      </c>
      <c r="S53" s="40" t="n">
        <v>4</v>
      </c>
      <c r="T53" s="40" t="inlineStr">
        <is>
          <t>JERA, IHWAZ, DAGAZ, OTHILA</t>
        </is>
      </c>
      <c r="U53" s="40" t="n">
        <v>4</v>
      </c>
      <c r="V53" s="40" t="inlineStr">
        <is>
          <t>BRIGID, CERRIDWEN, HECATE, THE GREAT MOTHER, ODIN, PAN, PAN, SATURN</t>
        </is>
      </c>
      <c r="W53" s="40" t="n">
        <v>8</v>
      </c>
      <c r="X53" t="inlineStr">
        <is>
          <t>Transform / Turn</t>
        </is>
      </c>
      <c r="Y53" t="inlineStr">
        <is>
          <t>Transform / Turn</t>
        </is>
      </c>
      <c r="Z53" t="inlineStr">
        <is>
          <t>Smoke and Flame</t>
        </is>
      </c>
      <c r="AA53" t="inlineStr">
        <is>
          <t>Maybe</t>
        </is>
      </c>
      <c r="AB53" t="inlineStr">
        <is>
          <t>Yes</t>
        </is>
      </c>
      <c r="AC53" t="inlineStr">
        <is>
          <t>Maybe</t>
        </is>
      </c>
      <c r="AD53" t="inlineStr">
        <is>
          <t>Mark seasonal turning, solar fire, ancestral gates or festival rites.</t>
        </is>
      </c>
      <c r="AE53" t="inlineStr">
        <is>
          <t>App should pull this row's Greenman Energy Mode from the main item sheets. Use Secondary Energy Hint only if a serious/adult spell still needs a Draw/Hold/Release/Open/Transform flavour.</t>
        </is>
      </c>
      <c r="AF53" t="inlineStr">
        <is>
          <t>Place at a shrine or altar</t>
        </is>
      </c>
      <c r="AG53" t="inlineStr">
        <is>
          <t>Place in a tree</t>
        </is>
      </c>
    </row>
    <row r="54" ht="60" customHeight="1" s="56">
      <c r="A54" s="3" t="inlineStr">
        <is>
          <t>Sabbat &amp; Solar Observance</t>
        </is>
      </c>
      <c r="B54" s="3" t="inlineStr">
        <is>
          <t>Samhain/ancestral altars</t>
        </is>
      </c>
      <c r="C54" s="2" t="inlineStr">
        <is>
          <t>Dark</t>
        </is>
      </c>
      <c r="D54" s="40" t="inlineStr">
        <is>
          <t>Earth</t>
        </is>
      </c>
      <c r="E54" s="40" t="inlineStr">
        <is>
          <t>Saturn</t>
        </is>
      </c>
      <c r="F54" s="40" t="inlineStr">
        <is>
          <t>Saturday</t>
        </is>
      </c>
      <c r="G54" s="40" t="inlineStr">
        <is>
          <t>Black</t>
        </is>
      </c>
      <c r="H54" s="40" t="inlineStr">
        <is>
          <t>North</t>
        </is>
      </c>
      <c r="I54" s="40" t="inlineStr">
        <is>
          <t>Receptive</t>
        </is>
      </c>
      <c r="J54" s="40" t="inlineStr">
        <is>
          <t>Black, green, yellow, brown</t>
        </is>
      </c>
      <c r="K54" s="40" t="inlineStr">
        <is>
          <t>8</t>
        </is>
      </c>
      <c r="L54" s="40" t="inlineStr">
        <is>
          <t>Material aspects, travel, protection, discipline</t>
        </is>
      </c>
      <c r="M54" s="40" t="inlineStr">
        <is>
          <t>3 or 7</t>
        </is>
      </c>
      <c r="N54" s="40" t="inlineStr">
        <is>
          <t>ANISE, APPLEWOOD CHIPS, BASIL, CHRYSANTHEMUM, CLOVER, COLTSFOOT, LEMON BALM, MULLEIN, PARSLEY, PENNYROYAL, SAGE, SANDALWOOD RED, SANDALWOOD WHITE, TANSY, THYME, BLACK SALT, YARROW</t>
        </is>
      </c>
      <c r="O54" s="40" t="inlineStr">
        <is>
          <t>17</t>
        </is>
      </c>
      <c r="P54" s="40" t="inlineStr">
        <is>
          <t>Jet, obsidian snowflake, Onyx, Petrified Wood, Serpentine</t>
        </is>
      </c>
      <c r="Q54" s="40" t="inlineStr">
        <is>
          <t>5</t>
        </is>
      </c>
      <c r="R54" s="40" t="inlineStr">
        <is>
          <t>Frankincense, Sandalwood w.i.</t>
        </is>
      </c>
      <c r="S54" s="40" t="inlineStr">
        <is>
          <t>2</t>
        </is>
      </c>
      <c r="T54" s="40" t="inlineStr">
        <is>
          <t>OTHILA, PERTH, ISA, HAGALAZ</t>
        </is>
      </c>
      <c r="U54" s="40" t="n">
        <v>4</v>
      </c>
      <c r="V54" s="40" t="inlineStr">
        <is>
          <t>ALL, AMATERASU, AMBERELLA, ARTEMIS, BEFANA, BUDDHA, DIANA, EREYR, FLIDAIS, GAIA, HATHOR, HECATE, HEL, ISIS, JANA, KWAN-YIN AND BUDDHA, LOKI, MADAME PELE, MARY MAGDALENE, MERCURY</t>
        </is>
      </c>
      <c r="W54" s="40" t="inlineStr">
        <is>
          <t>34</t>
        </is>
      </c>
      <c r="X54" t="inlineStr">
        <is>
          <t>Open / Reveal</t>
        </is>
      </c>
      <c r="Y54" t="inlineStr">
        <is>
          <t>Open / Reveal</t>
        </is>
      </c>
      <c r="Z54" t="inlineStr">
        <is>
          <t>Smoke and Flame</t>
        </is>
      </c>
      <c r="AA54" t="inlineStr">
        <is>
          <t>Maybe</t>
        </is>
      </c>
      <c r="AB54" t="inlineStr">
        <is>
          <t>Yes</t>
        </is>
      </c>
      <c r="AC54" t="inlineStr">
        <is>
          <t>Maybe</t>
        </is>
      </c>
      <c r="AD54" t="inlineStr">
        <is>
          <t>Mark seasonal turning, solar fire, ancestral gates or festival rites.</t>
        </is>
      </c>
      <c r="AE54" t="inlineStr">
        <is>
          <t>App should pull this row's Greenman Energy Mode from the main item sheets. Use Secondary Energy Hint only if a serious/adult spell still needs a Draw/Hold/Release/Open/Transform flavour.</t>
        </is>
      </c>
      <c r="AF54" t="inlineStr">
        <is>
          <t>Place at a shrine or altar</t>
        </is>
      </c>
      <c r="AG54" t="inlineStr">
        <is>
          <t>Bury in the earth</t>
        </is>
      </c>
    </row>
    <row r="55" ht="60" customHeight="1" s="56">
      <c r="A55" s="5" t="inlineStr">
        <is>
          <t>Sabbat &amp; Solar Observance</t>
        </is>
      </c>
      <c r="B55" s="5" t="inlineStr">
        <is>
          <t>Spring/Imbolc/Ostara/Beltane</t>
        </is>
      </c>
      <c r="C55" s="4" t="inlineStr">
        <is>
          <t>Waxing</t>
        </is>
      </c>
      <c r="D55" s="40" t="inlineStr">
        <is>
          <t>Earth</t>
        </is>
      </c>
      <c r="E55" s="40" t="inlineStr">
        <is>
          <t>Moon</t>
        </is>
      </c>
      <c r="F55" s="40" t="inlineStr">
        <is>
          <t>Monday</t>
        </is>
      </c>
      <c r="G55" s="40" t="inlineStr">
        <is>
          <t>White</t>
        </is>
      </c>
      <c r="H55" s="40" t="inlineStr">
        <is>
          <t>North</t>
        </is>
      </c>
      <c r="I55" s="40" t="inlineStr">
        <is>
          <t>Receptive</t>
        </is>
      </c>
      <c r="J55" s="40" t="inlineStr">
        <is>
          <t>Black, green, yellow, brown</t>
        </is>
      </c>
      <c r="K55" s="40" t="inlineStr">
        <is>
          <t>2</t>
        </is>
      </c>
      <c r="L55" s="40" t="inlineStr">
        <is>
          <t>Duality, balance, couples, partnerships</t>
        </is>
      </c>
      <c r="M55" s="40" t="inlineStr">
        <is>
          <t>3 or 7</t>
        </is>
      </c>
      <c r="N55" s="40" t="inlineStr">
        <is>
          <t>CLEAVERS, COLTSFOOT, LEMON VERBENA, TANSY</t>
        </is>
      </c>
      <c r="O55" s="40" t="inlineStr">
        <is>
          <t>4</t>
        </is>
      </c>
      <c r="P55" s="40" t="inlineStr">
        <is>
          <t>Amethyst, quartz Rose, Aventurine, Moonstone</t>
        </is>
      </c>
      <c r="Q55" s="40" t="n">
        <v>4</v>
      </c>
      <c r="R55" s="40" t="inlineStr">
        <is>
          <t>Lavender, Rose, Neroli, Frankincense</t>
        </is>
      </c>
      <c r="S55" s="40" t="n">
        <v>4</v>
      </c>
      <c r="T55" s="40" t="inlineStr">
        <is>
          <t>BERKANAN, DAGAZ, INGWAZ, WUNJO</t>
        </is>
      </c>
      <c r="U55" s="40" t="n">
        <v>4</v>
      </c>
      <c r="V55" s="40" t="inlineStr">
        <is>
          <t>BRIGID, EOSTRE, FREYJA, ISIS, FREY, ING, ODIN, PAN</t>
        </is>
      </c>
      <c r="W55" s="40" t="inlineStr">
        <is>
          <t>1</t>
        </is>
      </c>
      <c r="X55" t="inlineStr">
        <is>
          <t>Transform / Turn</t>
        </is>
      </c>
      <c r="Y55" t="inlineStr">
        <is>
          <t>Transform / Turn</t>
        </is>
      </c>
      <c r="Z55" t="inlineStr">
        <is>
          <t>Smoke and Flame</t>
        </is>
      </c>
      <c r="AA55" t="inlineStr">
        <is>
          <t>Maybe</t>
        </is>
      </c>
      <c r="AB55" t="inlineStr">
        <is>
          <t>Yes</t>
        </is>
      </c>
      <c r="AC55" t="inlineStr">
        <is>
          <t>Maybe</t>
        </is>
      </c>
      <c r="AD55" t="inlineStr">
        <is>
          <t>Mark seasonal turning, solar fire, ancestral gates or festival rites.</t>
        </is>
      </c>
      <c r="AE55" t="inlineStr">
        <is>
          <t>App should pull this row's Greenman Energy Mode from the main item sheets. Use Secondary Energy Hint only if a serious/adult spell still needs a Draw/Hold/Release/Open/Transform flavour.</t>
        </is>
      </c>
      <c r="AF55" t="inlineStr">
        <is>
          <t>Place in a tree</t>
        </is>
      </c>
      <c r="AG55" t="inlineStr">
        <is>
          <t>Place at a shrine or altar | Place where it can be seen</t>
        </is>
      </c>
    </row>
    <row r="56" ht="60" customHeight="1" s="56">
      <c r="A56" s="3" t="inlineStr">
        <is>
          <t>Sabbat &amp; Solar Observance</t>
        </is>
      </c>
      <c r="B56" s="3" t="inlineStr">
        <is>
          <t>Sun God offerings</t>
        </is>
      </c>
      <c r="C56" s="2" t="inlineStr">
        <is>
          <t>Waxing</t>
        </is>
      </c>
      <c r="D56" s="40" t="inlineStr">
        <is>
          <t>Fire</t>
        </is>
      </c>
      <c r="E56" s="40" t="inlineStr">
        <is>
          <t>Sun</t>
        </is>
      </c>
      <c r="F56" s="40" t="inlineStr">
        <is>
          <t>Sunday</t>
        </is>
      </c>
      <c r="G56" s="40" t="inlineStr">
        <is>
          <t>Gold</t>
        </is>
      </c>
      <c r="H56" s="40" t="inlineStr">
        <is>
          <t>South</t>
        </is>
      </c>
      <c r="I56" s="40" t="inlineStr">
        <is>
          <t>Projective</t>
        </is>
      </c>
      <c r="J56" s="40" t="inlineStr">
        <is>
          <t>Red, gold, crimson, orange, white</t>
        </is>
      </c>
      <c r="K56" s="40" t="inlineStr">
        <is>
          <t>1</t>
        </is>
      </c>
      <c r="L56" s="40" t="inlineStr">
        <is>
          <t>Developing the self, the All, wholeness, unity, beginnings</t>
        </is>
      </c>
      <c r="M56" s="40" t="inlineStr">
        <is>
          <t>3 or 7</t>
        </is>
      </c>
      <c r="N56"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56" s="40" t="inlineStr">
        <is>
          <t>68</t>
        </is>
      </c>
      <c r="P56"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56" s="40" t="inlineStr">
        <is>
          <t>32</t>
        </is>
      </c>
      <c r="R56" s="40" t="inlineStr">
        <is>
          <t>Apple, Bergamot, Clove Bud, Frankincense, Geranium, Juniper, Lavender, Lemon, Lemon Grass, Marjoram, Melissa, Neroli, Orange Bitter, Pine, Rose, Rosemary, Thyme, Vanilla, Ylang Ylang, Cinnamon, Ginger, Patchouli, Sandalwood In.</t>
        </is>
      </c>
      <c r="S56" s="40" t="inlineStr">
        <is>
          <t>23</t>
        </is>
      </c>
      <c r="T56" s="40" t="inlineStr">
        <is>
          <t>FEHU, ANSUZ, RAIDO, GEBO, WUNJO, PERTH, SOWILO, TIWAZ, EHWAZ, INGWAZ, OTHILA</t>
        </is>
      </c>
      <c r="U56" s="40" t="inlineStr">
        <is>
          <t>11</t>
        </is>
      </c>
      <c r="V56" s="40" t="inlineStr">
        <is>
          <t>AESCULAPUS, ALL, ALL GODDESSES, ALL LUNAR GODDESSES, ALLAT, AMATERASU, AMBERELLA, APHRODITE, ARADIA, ARES, ARIANRHOD, ARTEMIS, ASTARTE, ATTIS, BAAL, BACCHUS, BALDOR, BALDUR &amp; HATHOR, BEFANA, BONA DEA</t>
        </is>
      </c>
      <c r="W56" s="40" t="inlineStr">
        <is>
          <t>89</t>
        </is>
      </c>
      <c r="X56" t="inlineStr">
        <is>
          <t>Draw</t>
        </is>
      </c>
      <c r="Y56" t="inlineStr">
        <is>
          <t>Draw</t>
        </is>
      </c>
      <c r="Z56" t="inlineStr">
        <is>
          <t>Smoke and Flame</t>
        </is>
      </c>
      <c r="AA56" t="inlineStr">
        <is>
          <t>Maybe</t>
        </is>
      </c>
      <c r="AB56" t="inlineStr">
        <is>
          <t>Yes</t>
        </is>
      </c>
      <c r="AC56" t="inlineStr">
        <is>
          <t>Maybe</t>
        </is>
      </c>
      <c r="AD56" t="inlineStr">
        <is>
          <t>Mark seasonal turning, solar fire, ancestral gates or festival rites.</t>
        </is>
      </c>
      <c r="AE56" t="inlineStr">
        <is>
          <t>App should pull this row's Greenman Energy Mode from the main item sheets. Use Secondary Energy Hint only if a serious/adult spell still needs a Draw/Hold/Release/Open/Transform flavour.</t>
        </is>
      </c>
      <c r="AF56" t="inlineStr">
        <is>
          <t>Place at a shrine or altar</t>
        </is>
      </c>
      <c r="AG56" t="inlineStr">
        <is>
          <t>Place in a tree | Place where it can be seen</t>
        </is>
      </c>
    </row>
    <row r="57" ht="60" customHeight="1" s="56">
      <c r="A57" s="5" t="inlineStr">
        <is>
          <t>Sabbat &amp; Solar Observance</t>
        </is>
      </c>
      <c r="B57" s="5" t="inlineStr">
        <is>
          <t>Yule</t>
        </is>
      </c>
      <c r="C57" s="4" t="inlineStr">
        <is>
          <t>Full</t>
        </is>
      </c>
      <c r="D57" s="40" t="inlineStr">
        <is>
          <t>Earth</t>
        </is>
      </c>
      <c r="E57" s="40" t="inlineStr">
        <is>
          <t>Saturn</t>
        </is>
      </c>
      <c r="F57" s="40" t="inlineStr">
        <is>
          <t>Saturday</t>
        </is>
      </c>
      <c r="G57" s="40" t="inlineStr">
        <is>
          <t>Red</t>
        </is>
      </c>
      <c r="H57" s="40" t="inlineStr">
        <is>
          <t>North</t>
        </is>
      </c>
      <c r="I57" s="40" t="inlineStr">
        <is>
          <t>Receptive</t>
        </is>
      </c>
      <c r="J57" s="40" t="inlineStr">
        <is>
          <t>Black, green, yellow, brown</t>
        </is>
      </c>
      <c r="K57" s="40" t="inlineStr">
        <is>
          <t>8</t>
        </is>
      </c>
      <c r="L57" s="40" t="inlineStr">
        <is>
          <t>Material aspects, travel, protection, discipline</t>
        </is>
      </c>
      <c r="M57" s="40" t="inlineStr">
        <is>
          <t>3 or 7</t>
        </is>
      </c>
      <c r="N57" s="40" t="inlineStr">
        <is>
          <t>FRANKINCENSE, ROSEMARY, SAGE, CINNAMON STICKS, PINE NUT, OAKBARK RED, MYRRH GUM</t>
        </is>
      </c>
      <c r="O57" s="40" t="n">
        <v>7</v>
      </c>
      <c r="P57" s="40" t="inlineStr">
        <is>
          <t>Quartz Clear, Garnet, Ruby, Citrine</t>
        </is>
      </c>
      <c r="Q57" s="40" t="n">
        <v>4</v>
      </c>
      <c r="R57" s="40" t="inlineStr">
        <is>
          <t>Frankincense, Sandalwood w.i., Cinnamon, Cedarwood</t>
        </is>
      </c>
      <c r="S57" s="40" t="n">
        <v>4</v>
      </c>
      <c r="T57" s="40" t="inlineStr">
        <is>
          <t>JERA, DAGAZ, SOWILO, IHWAZ</t>
        </is>
      </c>
      <c r="U57" s="40" t="n">
        <v>4</v>
      </c>
      <c r="V57" s="40" t="inlineStr">
        <is>
          <t>BRIGID, FREYJA, HEL, HOLDA, ODIN, THOR, SATURN, FREY</t>
        </is>
      </c>
      <c r="W57" s="40" t="n">
        <v>8</v>
      </c>
      <c r="X57" t="inlineStr">
        <is>
          <t>Transform / Turn</t>
        </is>
      </c>
      <c r="Y57" t="inlineStr">
        <is>
          <t>Transform / Turn</t>
        </is>
      </c>
      <c r="Z57" t="inlineStr">
        <is>
          <t>Smoke and Flame</t>
        </is>
      </c>
      <c r="AA57" t="inlineStr">
        <is>
          <t>Maybe</t>
        </is>
      </c>
      <c r="AB57" t="inlineStr">
        <is>
          <t>Yes</t>
        </is>
      </c>
      <c r="AC57" t="inlineStr">
        <is>
          <t>Maybe</t>
        </is>
      </c>
      <c r="AD57" t="inlineStr">
        <is>
          <t>Mark seasonal turning, solar fire, ancestral gates or festival rites.</t>
        </is>
      </c>
      <c r="AE57" t="inlineStr">
        <is>
          <t>App should pull this row's Greenman Energy Mode from the main item sheets. Use Secondary Energy Hint only if a serious/adult spell still needs a Draw/Hold/Release/Open/Transform flavour.</t>
        </is>
      </c>
      <c r="AF57" t="inlineStr">
        <is>
          <t>Hang it in the home</t>
        </is>
      </c>
      <c r="AG57" t="inlineStr">
        <is>
          <t>Place at a shrine or altar | Place in a tree</t>
        </is>
      </c>
    </row>
    <row r="58" ht="60" customHeight="1" s="56">
      <c r="A58" s="3" t="inlineStr">
        <is>
          <t>Miscellaneous</t>
        </is>
      </c>
      <c r="B58" s="3" t="inlineStr">
        <is>
          <t>Amulets/talismans</t>
        </is>
      </c>
      <c r="C58" s="2" t="inlineStr">
        <is>
          <t>Waxing</t>
        </is>
      </c>
      <c r="D58" s="40" t="inlineStr">
        <is>
          <t>Earth</t>
        </is>
      </c>
      <c r="E58" s="40" t="inlineStr">
        <is>
          <t>Saturn</t>
        </is>
      </c>
      <c r="F58" s="40" t="inlineStr">
        <is>
          <t>Saturday</t>
        </is>
      </c>
      <c r="G58" s="40" t="inlineStr">
        <is>
          <t>Black</t>
        </is>
      </c>
      <c r="H58" s="40" t="inlineStr">
        <is>
          <t>North</t>
        </is>
      </c>
      <c r="I58" s="40" t="inlineStr">
        <is>
          <t>Receptive</t>
        </is>
      </c>
      <c r="J58" s="40" t="inlineStr">
        <is>
          <t>Black, green, yellow, brown</t>
        </is>
      </c>
      <c r="K58" s="40" t="inlineStr">
        <is>
          <t>8</t>
        </is>
      </c>
      <c r="L58" s="40" t="inlineStr">
        <is>
          <t>Material aspects, travel, protection, discipline</t>
        </is>
      </c>
      <c r="M58" s="40" t="inlineStr">
        <is>
          <t>1 or 3</t>
        </is>
      </c>
      <c r="N58" s="40" t="inlineStr">
        <is>
          <t>AGRIMONY, ANISE, BASIL, BAY LAUREL, BENZOIN, BLACKBERRY LEAVES, CAMPHOR SYNTHETIC, CARAWAY, CEDARWOOD (HIMALAYAN), CHAMOMILE, CHRYSANTHEMUM, CINNAMON STICKS, CLEAVERS, CLOVER RED, CLOVES, DEVILS CLAW ROOT, DRAGON'S BLOOD, FENNEL (SEED), GARLIC POWDER, HYSSOP, JUNIPER BERRIES, LADIES MANTLE, LAVENDER FLOWERS, MYRRH GUM, MYRRH GUM POWDER, OAKLEAF, SWEET MYRRH, PARSLEY, PENNYROYAL, PEPPERMINT, PINE NUT, ROSE BUDS RED, ROSE HIP, ROSEMARY, RUE, SAGE, SANDALWOOD WHITE, SEA SALT, THYME, TONKA BEANS, VALERIAN ROOT, WITCH HAZEL LEAVES, BLACK SALT</t>
        </is>
      </c>
      <c r="O58" s="40" t="inlineStr">
        <is>
          <t>43</t>
        </is>
      </c>
      <c r="P58" s="40" t="inlineStr">
        <is>
          <t>Aquamarine, Quartz Clear , quartz snow , Seraphinite</t>
        </is>
      </c>
      <c r="Q58" s="40" t="inlineStr">
        <is>
          <t>4</t>
        </is>
      </c>
      <c r="R58" s="40" t="inlineStr">
        <is>
          <t>Cedarwood, Clove Bud, Fir Needle, Lavender, Lemon, Neroli, Peppermint, Pine, Rosemary, Tea Tree, Thyme, Cinnamon, Sandalwood In.</t>
        </is>
      </c>
      <c r="S58" s="40" t="inlineStr">
        <is>
          <t>13</t>
        </is>
      </c>
      <c r="T58" s="40" t="inlineStr">
        <is>
          <t>ALGIZ, OTHILA, TIWAZ, BERKANAN</t>
        </is>
      </c>
      <c r="U58" s="40" t="n">
        <v>4</v>
      </c>
      <c r="V58" s="40" t="inlineStr">
        <is>
          <t>GAIA, HYGIA, JUTERNA, BALDUR</t>
        </is>
      </c>
      <c r="W58" s="40" t="inlineStr">
        <is>
          <t>4</t>
        </is>
      </c>
      <c r="X58" t="inlineStr">
        <is>
          <t>Hold</t>
        </is>
      </c>
      <c r="Y58" t="inlineStr">
        <is>
          <t>Hold</t>
        </is>
      </c>
      <c r="Z58" t="inlineStr">
        <is>
          <t>Charm Bag</t>
        </is>
      </c>
      <c r="AA58" t="inlineStr">
        <is>
          <t>Maybe</t>
        </is>
      </c>
      <c r="AB58" t="inlineStr">
        <is>
          <t>Maybe</t>
        </is>
      </c>
      <c r="AC58" t="inlineStr">
        <is>
          <t>Yes</t>
        </is>
      </c>
      <c r="AD58" t="inlineStr">
        <is>
          <t>General working: usually best carried, held, or kept close.</t>
        </is>
      </c>
      <c r="AE58" t="inlineStr">
        <is>
          <t>App should pull this row's Greenman Energy Mode from the main item sheets. Use Secondary Energy Hint only if a serious/adult spell still needs a Draw/Hold/Release/Open/Transform flavour.</t>
        </is>
      </c>
      <c r="AF58" t="inlineStr">
        <is>
          <t>Carry it close on your person</t>
        </is>
      </c>
      <c r="AG58" t="inlineStr">
        <is>
          <t>Hang it in the home | Place at a shrine or altar</t>
        </is>
      </c>
    </row>
    <row r="59" ht="60" customHeight="1" s="56">
      <c r="A59" s="5" t="inlineStr">
        <is>
          <t>Miscellaneous</t>
        </is>
      </c>
      <c r="B59" s="5" t="inlineStr">
        <is>
          <t>Fruitfulness</t>
        </is>
      </c>
      <c r="C59" s="4" t="inlineStr">
        <is>
          <t>Waxing</t>
        </is>
      </c>
      <c r="D59" s="40" t="inlineStr">
        <is>
          <t>Earth</t>
        </is>
      </c>
      <c r="E59" s="40" t="inlineStr">
        <is>
          <t>Moon</t>
        </is>
      </c>
      <c r="F59" s="40" t="inlineStr">
        <is>
          <t>Monday</t>
        </is>
      </c>
      <c r="G59" s="40" t="inlineStr">
        <is>
          <t>Green</t>
        </is>
      </c>
      <c r="H59" s="40" t="inlineStr">
        <is>
          <t>North</t>
        </is>
      </c>
      <c r="I59" s="40" t="inlineStr">
        <is>
          <t>Receptive</t>
        </is>
      </c>
      <c r="J59" s="40" t="inlineStr">
        <is>
          <t>Black, green, yellow, brown</t>
        </is>
      </c>
      <c r="K59" s="40" t="inlineStr">
        <is>
          <t>2</t>
        </is>
      </c>
      <c r="L59" s="40" t="inlineStr">
        <is>
          <t>Duality, balance, couples, partnerships</t>
        </is>
      </c>
      <c r="M59" s="40" t="inlineStr">
        <is>
          <t>1 or 3</t>
        </is>
      </c>
      <c r="N59" s="40" t="inlineStr">
        <is>
          <t>ACORN, ANISE, BASIL, BENZOIN, BLACK TEA, BLACKBERRY LEAVES, CARAWAY, CHAMOMILE, CINNAMON STICKS, CLOVER, CLOVER RED, CLOVES, COLTSFOOT, COMFREY, DILL, FENNEL (SEED), GARLIC POWDER, GOLDENSEAL ROOT, JASMINE, LADIES MANTLE, LAVENDER FLOWERS, LEMON BALM, LINSEED, MUSTARD SEED WHITE, NUTMEG POWDER, OAK MOSS, OAKBARK RED, PARSLEY, PEPPERMINT, PINE NUT, RUE, SAGE, THYME, VIOLET LEAVES, VIOLET</t>
        </is>
      </c>
      <c r="O59" s="40" t="inlineStr">
        <is>
          <t>35</t>
        </is>
      </c>
      <c r="P59" s="40" t="inlineStr">
        <is>
          <t>agate Botswana , agate Moss , Amazonite, Aventurine, Calcite, chrysophase, Citrine, Goldstone, Jade (jadeite), Lodestone, Pyrite (Fool's Gold), Rhodocrosite, Ruby, Sapphire, Serpentine, Topaz, Tourmalinee Black , Yellow Aventurine</t>
        </is>
      </c>
      <c r="Q59" s="40" t="inlineStr">
        <is>
          <t>18</t>
        </is>
      </c>
      <c r="R59" s="40" t="inlineStr">
        <is>
          <t>Bergamot, Cedarwood, Clove Bud, Geranium, Honeysuckle, Marjoram, Melissa, Neroli, Orange Bitter, Pine, Vanilla, Cinnamon, Ginger, Patchouli</t>
        </is>
      </c>
      <c r="S59" s="40" t="inlineStr">
        <is>
          <t>14</t>
        </is>
      </c>
      <c r="T59" s="40" t="inlineStr">
        <is>
          <t>FEHU, URUZ, WUNJO, JERA, SOWILO, BERKANAN, INGWAZ, OTHILA, DAGAZ</t>
        </is>
      </c>
      <c r="U59" s="40" t="inlineStr">
        <is>
          <t>9</t>
        </is>
      </c>
      <c r="V59" s="40" t="inlineStr">
        <is>
          <t>ALL GODDESSES, ALL LUNAR GODDESSES, ALLAT, AMATERASU, ARADIA, ARIANRHOD, ASTARTE, ATTIS, BAAL, BALDUR &amp; HATHOR, BONA DEA, CERES, CERRIDWEN, CRONOS, CUPRA, EROS, FILDIAS, GAIA, GOD AND GODDESS IN BALANCE, GREAT GODDESS. MANASA</t>
        </is>
      </c>
      <c r="W59" s="40" t="inlineStr">
        <is>
          <t>36</t>
        </is>
      </c>
      <c r="X59" t="inlineStr">
        <is>
          <t>Draw</t>
        </is>
      </c>
      <c r="Y59" t="inlineStr">
        <is>
          <t>Draw</t>
        </is>
      </c>
      <c r="Z59" t="inlineStr">
        <is>
          <t>Charm Bag</t>
        </is>
      </c>
      <c r="AA59" t="inlineStr">
        <is>
          <t>Maybe</t>
        </is>
      </c>
      <c r="AB59" t="inlineStr">
        <is>
          <t>Maybe</t>
        </is>
      </c>
      <c r="AC59" t="inlineStr">
        <is>
          <t>Yes</t>
        </is>
      </c>
      <c r="AD59" t="inlineStr">
        <is>
          <t>General working: usually best carried, held, or kept close.</t>
        </is>
      </c>
      <c r="AE59" t="inlineStr">
        <is>
          <t>App should pull this row's Greenman Energy Mode from the main item sheets. Use Secondary Energy Hint only if a serious/adult spell still needs a Draw/Hold/Release/Open/Transform flavour.</t>
        </is>
      </c>
      <c r="AF59" t="inlineStr">
        <is>
          <t>Place in a tree</t>
        </is>
      </c>
      <c r="AG59" t="inlineStr">
        <is>
          <t>Bury in the earth | Place where it can be seen</t>
        </is>
      </c>
    </row>
    <row r="60" ht="60" customHeight="1" s="56">
      <c r="A60" s="3" t="inlineStr">
        <is>
          <t>Miscellaneous</t>
        </is>
      </c>
      <c r="B60" s="3" t="inlineStr">
        <is>
          <t>Musk</t>
        </is>
      </c>
      <c r="C60" s="2" t="inlineStr">
        <is>
          <t>Waxing</t>
        </is>
      </c>
      <c r="D60" s="40" t="inlineStr">
        <is>
          <t>Earth</t>
        </is>
      </c>
      <c r="E60" s="40" t="inlineStr">
        <is>
          <t>Venus</t>
        </is>
      </c>
      <c r="F60" s="40" t="inlineStr">
        <is>
          <t>Friday</t>
        </is>
      </c>
      <c r="G60" s="40" t="inlineStr">
        <is>
          <t>Brown</t>
        </is>
      </c>
      <c r="H60" s="40" t="inlineStr">
        <is>
          <t>North</t>
        </is>
      </c>
      <c r="I60" s="40" t="inlineStr">
        <is>
          <t>Receptive</t>
        </is>
      </c>
      <c r="J60" s="40" t="inlineStr">
        <is>
          <t>Black, green, yellow, brown</t>
        </is>
      </c>
      <c r="K60" s="40" t="inlineStr">
        <is>
          <t>6</t>
        </is>
      </c>
      <c r="L60" s="40" t="inlineStr">
        <is>
          <t>Emotions, magnetism, gods/goddesses, cats</t>
        </is>
      </c>
      <c r="M60" s="40" t="inlineStr">
        <is>
          <t>1 or 3</t>
        </is>
      </c>
      <c r="N60" s="40" t="inlineStr">
        <is>
          <t>TONKA BEANS, TONKA BEANS, VIOLET LEAVES, ROSE PETALS, OAK MOSS, TONKA BEANS, MYRRH GUM</t>
        </is>
      </c>
      <c r="O60" s="40" t="n">
        <v>7</v>
      </c>
      <c r="P60" s="40" t="inlineStr">
        <is>
          <t>quartz Rose, Carnelian, Moonstone, Amber</t>
        </is>
      </c>
      <c r="Q60" s="40" t="n">
        <v>4</v>
      </c>
      <c r="R60" s="40" t="inlineStr">
        <is>
          <t>Patchouli, Ylang Ylang, Vanilla, Rose</t>
        </is>
      </c>
      <c r="S60" s="40" t="n">
        <v>4</v>
      </c>
      <c r="T60" s="40" t="inlineStr">
        <is>
          <t>FEHU, GEBO, BERKANAN, INGWAZ</t>
        </is>
      </c>
      <c r="U60" s="40" t="n">
        <v>4</v>
      </c>
      <c r="V60" s="40" t="inlineStr">
        <is>
          <t>APHRODITE, VENUS, HATHOR, DIANA, EROS, FREY, DIONYSUS, PAN</t>
        </is>
      </c>
      <c r="W60" s="40" t="n">
        <v>8</v>
      </c>
      <c r="X60" t="inlineStr">
        <is>
          <t>Draw</t>
        </is>
      </c>
      <c r="Y60" t="inlineStr">
        <is>
          <t>Draw</t>
        </is>
      </c>
      <c r="Z60" t="inlineStr">
        <is>
          <t>Charm Bag</t>
        </is>
      </c>
      <c r="AA60" t="inlineStr">
        <is>
          <t>Maybe</t>
        </is>
      </c>
      <c r="AB60" t="inlineStr">
        <is>
          <t>Maybe</t>
        </is>
      </c>
      <c r="AC60" t="inlineStr">
        <is>
          <t>Yes</t>
        </is>
      </c>
      <c r="AD60" t="inlineStr">
        <is>
          <t>General working: usually best carried, held, or kept close.</t>
        </is>
      </c>
      <c r="AE60" t="inlineStr">
        <is>
          <t>App should pull this row's Greenman Energy Mode from the main item sheets. Use Secondary Energy Hint only if a serious/adult spell still needs a Draw/Hold/Release/Open/Transform flavour.</t>
        </is>
      </c>
      <c r="AF60" t="inlineStr">
        <is>
          <t>Carry it close on your person</t>
        </is>
      </c>
      <c r="AG60" t="inlineStr">
        <is>
          <t>Place where it can be seen</t>
        </is>
      </c>
    </row>
    <row r="61" ht="60" customHeight="1" s="56">
      <c r="A61" s="5" t="inlineStr">
        <is>
          <t>Miscellaneous</t>
        </is>
      </c>
      <c r="B61" s="5" t="inlineStr">
        <is>
          <t>Star magick</t>
        </is>
      </c>
      <c r="C61" s="4" t="inlineStr">
        <is>
          <t>Waxing</t>
        </is>
      </c>
      <c r="D61" s="40" t="inlineStr">
        <is>
          <t>Air</t>
        </is>
      </c>
      <c r="E61" s="40" t="inlineStr">
        <is>
          <t>Mercury</t>
        </is>
      </c>
      <c r="F61" s="40" t="inlineStr">
        <is>
          <t>Wednesday</t>
        </is>
      </c>
      <c r="G61" s="40" t="inlineStr">
        <is>
          <t>Purple</t>
        </is>
      </c>
      <c r="H61" s="40" t="inlineStr">
        <is>
          <t>East</t>
        </is>
      </c>
      <c r="I61" s="40" t="inlineStr">
        <is>
          <t>Projective</t>
        </is>
      </c>
      <c r="J61" s="40" t="inlineStr">
        <is>
          <t>Yellow, white, crimson</t>
        </is>
      </c>
      <c r="K61" s="40" t="inlineStr">
        <is>
          <t>5</t>
        </is>
      </c>
      <c r="L61" s="40" t="inlineStr">
        <is>
          <t>Communication, fulfilment</t>
        </is>
      </c>
      <c r="M61" s="40" t="inlineStr">
        <is>
          <t>1 or 3</t>
        </is>
      </c>
      <c r="N61" s="40"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61" s="40" t="inlineStr">
        <is>
          <t>68</t>
        </is>
      </c>
      <c r="P61" s="40"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61" s="40" t="inlineStr">
        <is>
          <t>32</t>
        </is>
      </c>
      <c r="R61" s="40" t="inlineStr">
        <is>
          <t>Apple, Bergamot, Clove Bud, Frankincense, Geranium, Juniper, Lavender, Lemon, Lemon Grass, Marjoram, Melissa, Neroli, Orange Bitter, Pine, Rose, Rosemary, Thyme, Vanilla, Ylang Ylang, Cinnamon, Ginger, Patchouli, Sandalwood In.</t>
        </is>
      </c>
      <c r="S61" s="40" t="inlineStr">
        <is>
          <t>23</t>
        </is>
      </c>
      <c r="T61" s="40" t="inlineStr">
        <is>
          <t>FEHU, ANSUZ, RAIDO, GEBO, WUNJO, PERTH, SOWILO, TIWAZ, EHWAZ, INGWAZ, OTHILA</t>
        </is>
      </c>
      <c r="U61" s="40" t="inlineStr">
        <is>
          <t>11</t>
        </is>
      </c>
      <c r="V61" s="40" t="inlineStr">
        <is>
          <t>AESCULAPUS, ALL, ALL GODDESSES, ALL LUNAR GODDESSES, ALLAT, AMATERASU, AMBERELLA, APHRODITE, ARADIA, ARES, ARIANRHOD, ARTEMIS, ASTARTE, ATTIS, BAAL, BACCHUS, BALDOR, BALDUR &amp; HATHOR, BEFANA, BONA DEA</t>
        </is>
      </c>
      <c r="W61" s="40" t="inlineStr">
        <is>
          <t>89</t>
        </is>
      </c>
      <c r="X61" t="inlineStr">
        <is>
          <t>Open / Reveal</t>
        </is>
      </c>
      <c r="Y61" t="inlineStr">
        <is>
          <t>Open / Reveal</t>
        </is>
      </c>
      <c r="Z61" t="inlineStr">
        <is>
          <t>Charm Bag</t>
        </is>
      </c>
      <c r="AA61" t="inlineStr">
        <is>
          <t>Maybe</t>
        </is>
      </c>
      <c r="AB61" t="inlineStr">
        <is>
          <t>Maybe</t>
        </is>
      </c>
      <c r="AC61" t="inlineStr">
        <is>
          <t>Yes</t>
        </is>
      </c>
      <c r="AD61" t="inlineStr">
        <is>
          <t>General working: usually best carried, held, or kept close.</t>
        </is>
      </c>
      <c r="AE61" t="inlineStr">
        <is>
          <t>App should pull this row's Greenman Energy Mode from the main item sheets. Use Secondary Energy Hint only if a serious/adult spell still needs a Draw/Hold/Release/Open/Transform flavour.</t>
        </is>
      </c>
      <c r="AF61" t="inlineStr">
        <is>
          <t>Place in a tree</t>
        </is>
      </c>
      <c r="AG61" t="inlineStr">
        <is>
          <t>Place at a shrine or altar | Carry it close on your person</t>
        </is>
      </c>
    </row>
    <row r="62" ht="23.25" customHeight="1" s="56">
      <c r="A62" s="43" t="inlineStr">
        <is>
          <t>Over 18 🔞</t>
        </is>
      </c>
      <c r="B62" s="43" t="inlineStr">
        <is>
          <t>Solving marital problems</t>
        </is>
      </c>
      <c r="C62" s="43" t="inlineStr">
        <is>
          <t>Waxing</t>
        </is>
      </c>
      <c r="D62" s="43" t="inlineStr">
        <is>
          <t>Water</t>
        </is>
      </c>
      <c r="E62" s="43" t="inlineStr">
        <is>
          <t>Venus</t>
        </is>
      </c>
      <c r="F62" s="43" t="inlineStr">
        <is>
          <t>Friday</t>
        </is>
      </c>
      <c r="G62" s="43" t="inlineStr">
        <is>
          <t>Green</t>
        </is>
      </c>
      <c r="H62" s="43" t="inlineStr">
        <is>
          <t>West</t>
        </is>
      </c>
      <c r="I62" s="43" t="inlineStr">
        <is>
          <t>Receptive</t>
        </is>
      </c>
      <c r="J62" s="43" t="inlineStr">
        <is>
          <t>Blue, silver, grey, black, white</t>
        </is>
      </c>
      <c r="K62" s="43" t="inlineStr">
        <is>
          <t>6</t>
        </is>
      </c>
      <c r="L62" s="43" t="inlineStr">
        <is>
          <t>Emotions, magnetism, gods/goddesses, cats</t>
        </is>
      </c>
      <c r="M62" s="43" t="inlineStr">
        <is>
          <t>1, 3 or 7</t>
        </is>
      </c>
      <c r="N62" s="43" t="inlineStr">
        <is>
          <t>LAVENDER FLOWERS, ROSE PETALS, CHAMOMILE, LEMON BALM, CARAWAY, VIOLET LEAVES, YARROW</t>
        </is>
      </c>
      <c r="O62" s="43" t="n">
        <v>7</v>
      </c>
      <c r="P62" s="43" t="inlineStr">
        <is>
          <t>quartz Rose, Rhodocrosite, Lepidolite, Moonstone</t>
        </is>
      </c>
      <c r="Q62" s="43" t="n">
        <v>4</v>
      </c>
      <c r="R62" s="43" t="inlineStr">
        <is>
          <t>Rose, Lavender, Geranium, Ylang Ylang</t>
        </is>
      </c>
      <c r="S62" s="43" t="n">
        <v>4</v>
      </c>
      <c r="T62" s="43" t="inlineStr">
        <is>
          <t>GEBO, WUNJO, LAGUZ, INGWAZ</t>
        </is>
      </c>
      <c r="U62" s="43" t="n">
        <v>4</v>
      </c>
      <c r="V62" s="43" t="inlineStr">
        <is>
          <t>APHRODITE, VENUS, HATHOR, FREYJA, EROS, FREY, JUPITER, ODIN</t>
        </is>
      </c>
      <c r="W62" s="43" t="n">
        <v>8</v>
      </c>
      <c r="X62" t="inlineStr">
        <is>
          <t>Over 18</t>
        </is>
      </c>
      <c r="Y62" t="inlineStr">
        <is>
          <t>Draw</t>
        </is>
      </c>
      <c r="Z62" t="inlineStr">
        <is>
          <t>All Three / User Choice</t>
        </is>
      </c>
      <c r="AA62" t="inlineStr">
        <is>
          <t>Yes</t>
        </is>
      </c>
      <c r="AB62" t="inlineStr">
        <is>
          <t>Yes</t>
        </is>
      </c>
      <c r="AC62" t="inlineStr">
        <is>
          <t>Yes</t>
        </is>
      </c>
      <c r="AD62" t="inlineStr">
        <is>
          <t>Adult / serious working: let the user choose Jar, Smoke and Flame, or Charm after reading the method notes.</t>
        </is>
      </c>
      <c r="AE62" t="inlineStr">
        <is>
          <t>App should pull this row's Greenman Energy Mode from the main item sheets. Use Secondary Energy Hint only if a serious/adult spell still needs a Draw/Hold/Release/Open/Transform flavour.</t>
        </is>
      </c>
      <c r="AF62" t="inlineStr">
        <is>
          <t>Hang it in the home</t>
        </is>
      </c>
      <c r="AG62" t="inlineStr">
        <is>
          <t>Keep it hidden and safe | Place at a shrine or altar</t>
        </is>
      </c>
    </row>
    <row r="63" ht="56.25" customHeight="1" s="56">
      <c r="A63" s="43" t="inlineStr">
        <is>
          <t>Over 18 🔞</t>
        </is>
      </c>
      <c r="B63" s="43" t="inlineStr">
        <is>
          <t>Spell-breaking</t>
        </is>
      </c>
      <c r="C63" s="43" t="inlineStr">
        <is>
          <t>Waning</t>
        </is>
      </c>
      <c r="D63" s="43" t="inlineStr">
        <is>
          <t>Fire</t>
        </is>
      </c>
      <c r="E63" s="43" t="inlineStr">
        <is>
          <t>Mars</t>
        </is>
      </c>
      <c r="F63" s="43" t="inlineStr">
        <is>
          <t>Tuesday</t>
        </is>
      </c>
      <c r="G63" s="43" t="inlineStr">
        <is>
          <t>Black</t>
        </is>
      </c>
      <c r="H63" s="43" t="inlineStr">
        <is>
          <t>South</t>
        </is>
      </c>
      <c r="I63" s="43" t="inlineStr">
        <is>
          <t>Projective</t>
        </is>
      </c>
      <c r="J63" s="43" t="inlineStr">
        <is>
          <t>Red, gold, crimson, orange, white</t>
        </is>
      </c>
      <c r="K63" s="43" t="inlineStr">
        <is>
          <t>9</t>
        </is>
      </c>
      <c r="L63" s="43" t="inlineStr">
        <is>
          <t>Aggression, conflict, dominance</t>
        </is>
      </c>
      <c r="M63" s="43" t="inlineStr">
        <is>
          <t>1, 3 or 7</t>
        </is>
      </c>
      <c r="N63" s="43" t="inlineStr">
        <is>
          <t>ACORN, AGRIMONY, ANISE, BASIL, CHAMOMILE, CINNAMON STICKS, CLOVES, COMFREY, GARLIC POWDER, LAVENDER FLOWERS, MUSTARD SEED WHITE, MYRRH GUM, PARSLEY, PENNYROYAL, PEPPERMINT, PINE NUT, ROSE BUDS RED, ROSEMARY, RUE, SANDALWOOD WHITE, SEA SALT, VIOLET LEAVES, VIOLET, BLACK SALT, WORMWOOD</t>
        </is>
      </c>
      <c r="O63" s="43" t="inlineStr">
        <is>
          <t>25</t>
        </is>
      </c>
      <c r="P63" s="43" t="inlineStr">
        <is>
          <t>Amazonite, Apache Tears, Aventurine, Bloodstone, chrysophase, Jade (jadeite), Lodestone, Malachite, Onyx, Opal pink, Pyrite (Fool's Gold)</t>
        </is>
      </c>
      <c r="Q63" s="43" t="inlineStr">
        <is>
          <t>11</t>
        </is>
      </c>
      <c r="R63" s="43" t="inlineStr">
        <is>
          <t>Frankincense, Neroli, Orange Bitter, Rose, Sandalwood In.</t>
        </is>
      </c>
      <c r="S63" s="43" t="inlineStr">
        <is>
          <t>5</t>
        </is>
      </c>
      <c r="T63" s="43" t="inlineStr">
        <is>
          <t>FEHU, RAIDO, WUNJO</t>
        </is>
      </c>
      <c r="U63" s="43" t="inlineStr">
        <is>
          <t>3</t>
        </is>
      </c>
      <c r="V63" s="43" t="inlineStr">
        <is>
          <t>ALL GODDESSES, ALL LUNAR GODDESSES, AMATERASU, AMBERELLA, APHRODITE, ARADIA, BAAL, BACCHUS, BALDOR, BALDUR &amp; HATHOR, BEFANA, CUPID, DIONYSUS, ELECTRA, FATHER GOD, GOD AND GODDESS IN BALANCE, GREAT GODDESS. MANASA, JUPITER, KWAN-YIN AND BUDDHA, LUNA</t>
        </is>
      </c>
      <c r="W63" s="43" t="inlineStr">
        <is>
          <t>36</t>
        </is>
      </c>
      <c r="X63" t="inlineStr">
        <is>
          <t>Over 18</t>
        </is>
      </c>
      <c r="Y63" t="inlineStr">
        <is>
          <t>Release</t>
        </is>
      </c>
      <c r="Z63" t="inlineStr">
        <is>
          <t>All Three / User Choice</t>
        </is>
      </c>
      <c r="AA63" t="inlineStr">
        <is>
          <t>Yes</t>
        </is>
      </c>
      <c r="AB63" t="inlineStr">
        <is>
          <t>Yes</t>
        </is>
      </c>
      <c r="AC63" t="inlineStr">
        <is>
          <t>Yes</t>
        </is>
      </c>
      <c r="AD63" t="inlineStr">
        <is>
          <t>Adult / serious working: let the user choose Jar, Smoke and Flame, or Charm after reading the method notes.</t>
        </is>
      </c>
      <c r="AE63" t="inlineStr">
        <is>
          <t>App should pull this row's Greenman Energy Mode from the main item sheets. Use Secondary Energy Hint only if a serious/adult spell still needs a Draw/Hold/Release/Open/Transform flavour.</t>
        </is>
      </c>
      <c r="AF63" t="inlineStr">
        <is>
          <t>Burn and release, no remains</t>
        </is>
      </c>
      <c r="AG63" t="inlineStr">
        <is>
          <t>Bury in the earth | Leave in running water</t>
        </is>
      </c>
    </row>
    <row r="64" ht="56.25" customHeight="1" s="56">
      <c r="A64" s="43" t="inlineStr">
        <is>
          <t>Over 18 🔞</t>
        </is>
      </c>
      <c r="B64" s="43" t="inlineStr">
        <is>
          <t>Removing curses</t>
        </is>
      </c>
      <c r="C64" s="43" t="inlineStr">
        <is>
          <t>Waning</t>
        </is>
      </c>
      <c r="D64" s="43" t="inlineStr">
        <is>
          <t>Fire</t>
        </is>
      </c>
      <c r="E64" s="43" t="inlineStr">
        <is>
          <t>Mars</t>
        </is>
      </c>
      <c r="F64" s="43" t="inlineStr">
        <is>
          <t>Tuesday</t>
        </is>
      </c>
      <c r="G64" s="43" t="inlineStr">
        <is>
          <t>Black</t>
        </is>
      </c>
      <c r="H64" s="43" t="inlineStr">
        <is>
          <t>South</t>
        </is>
      </c>
      <c r="I64" s="43" t="inlineStr">
        <is>
          <t>Projective</t>
        </is>
      </c>
      <c r="J64" s="43" t="inlineStr">
        <is>
          <t>Red, gold, crimson, orange, white</t>
        </is>
      </c>
      <c r="K64" s="43" t="inlineStr">
        <is>
          <t>9</t>
        </is>
      </c>
      <c r="L64" s="43" t="inlineStr">
        <is>
          <t>Aggression, conflict, dominance</t>
        </is>
      </c>
      <c r="M64" s="43" t="inlineStr">
        <is>
          <t>1, 3 or 7</t>
        </is>
      </c>
      <c r="N64" s="43" t="inlineStr">
        <is>
          <t>ACORN, AGRIMONY, ANISE, BASIL, CHAMOMILE, CINNAMON STICKS, CLOVES, COMFREY, GARLIC POWDER, LAVENDER FLOWERS, MUSTARD SEED WHITE, MYRRH GUM, PARSLEY, PENNYROYAL, PEPPERMINT, PINE NUT, ROSE BUDS RED, ROSEMARY, RUE, SANDALWOOD WHITE, SEA SALT, VIOLET LEAVES, VIOLET, BLACK SALT, WORMWOOD</t>
        </is>
      </c>
      <c r="O64" s="43" t="inlineStr">
        <is>
          <t>25</t>
        </is>
      </c>
      <c r="P64" s="43" t="inlineStr">
        <is>
          <t>Amazonite, Apache Tears, Aventurine, Bloodstone, chrysophase, Jade (jadeite), Lodestone, Malachite, Onyx, Opal pink, Pyrite (Fool's Gold)</t>
        </is>
      </c>
      <c r="Q64" s="43" t="inlineStr">
        <is>
          <t>11</t>
        </is>
      </c>
      <c r="R64" s="43" t="inlineStr">
        <is>
          <t>Frankincense, Neroli, Orange Bitter, Rose, Sandalwood In.</t>
        </is>
      </c>
      <c r="S64" s="43" t="inlineStr">
        <is>
          <t>5</t>
        </is>
      </c>
      <c r="T64" s="43" t="inlineStr">
        <is>
          <t>FEHU, RAIDO, WUNJO</t>
        </is>
      </c>
      <c r="U64" s="43" t="inlineStr">
        <is>
          <t>3</t>
        </is>
      </c>
      <c r="V64" s="43" t="inlineStr">
        <is>
          <t>ALL GODDESSES, ALL LUNAR GODDESSES, AMATERASU, AMBERELLA, APHRODITE, ARADIA, BAAL, BACCHUS, BALDOR, BALDUR &amp; HATHOR, BEFANA, CUPID, DIONYSUS, ELECTRA, FATHER GOD, GOD AND GODDESS IN BALANCE, GREAT GODDESS. MANASA, JUPITER, KWAN-YIN AND BUDDHA, LUNA</t>
        </is>
      </c>
      <c r="W64" s="43" t="inlineStr">
        <is>
          <t>36</t>
        </is>
      </c>
      <c r="X64" t="inlineStr">
        <is>
          <t>Over 18</t>
        </is>
      </c>
      <c r="Y64" t="inlineStr">
        <is>
          <t>Release</t>
        </is>
      </c>
      <c r="Z64" t="inlineStr">
        <is>
          <t>All Three / User Choice</t>
        </is>
      </c>
      <c r="AA64" t="inlineStr">
        <is>
          <t>Yes</t>
        </is>
      </c>
      <c r="AB64" t="inlineStr">
        <is>
          <t>Yes</t>
        </is>
      </c>
      <c r="AC64" t="inlineStr">
        <is>
          <t>Yes</t>
        </is>
      </c>
      <c r="AD64" t="inlineStr">
        <is>
          <t>Adult / serious working: let the user choose Jar, Smoke and Flame, or Charm after reading the method notes.</t>
        </is>
      </c>
      <c r="AE64" t="inlineStr">
        <is>
          <t>App should pull this row's Greenman Energy Mode from the main item sheets. Use Secondary Energy Hint only if a serious/adult spell still needs a Draw/Hold/Release/Open/Transform flavour.</t>
        </is>
      </c>
      <c r="AF64" t="inlineStr">
        <is>
          <t>Burn and release, no remains</t>
        </is>
      </c>
      <c r="AG64" t="inlineStr">
        <is>
          <t>Bury in the earth | Leave in running water</t>
        </is>
      </c>
    </row>
    <row r="65" ht="23.25" customHeight="1" s="56">
      <c r="A65" s="43" t="inlineStr">
        <is>
          <t>Over 18 🔞</t>
        </is>
      </c>
      <c r="B65" s="43" t="inlineStr">
        <is>
          <t>Evil eye warding</t>
        </is>
      </c>
      <c r="C65" s="43" t="inlineStr">
        <is>
          <t>Waning</t>
        </is>
      </c>
      <c r="D65" s="43" t="inlineStr">
        <is>
          <t>Fire</t>
        </is>
      </c>
      <c r="E65" s="43" t="inlineStr">
        <is>
          <t>Mars</t>
        </is>
      </c>
      <c r="F65" s="43" t="inlineStr">
        <is>
          <t>Tuesday</t>
        </is>
      </c>
      <c r="G65" s="43" t="inlineStr">
        <is>
          <t>Red</t>
        </is>
      </c>
      <c r="H65" s="43" t="inlineStr">
        <is>
          <t>South</t>
        </is>
      </c>
      <c r="I65" s="43" t="inlineStr">
        <is>
          <t>Projective</t>
        </is>
      </c>
      <c r="J65" s="43" t="inlineStr">
        <is>
          <t>Red, gold, crimson, orange, white</t>
        </is>
      </c>
      <c r="K65" s="43" t="inlineStr">
        <is>
          <t>9</t>
        </is>
      </c>
      <c r="L65" s="43" t="inlineStr">
        <is>
          <t>Aggression, conflict, dominance</t>
        </is>
      </c>
      <c r="M65" s="43" t="inlineStr">
        <is>
          <t>1, 3 or 7</t>
        </is>
      </c>
      <c r="N65" s="43" t="inlineStr">
        <is>
          <t>VERVAIN, GARLIC POWDER, ROSEMARY, RUE, ST JOHN'S WORT, ELDERFLOWER, BASIL</t>
        </is>
      </c>
      <c r="O65" s="43" t="n">
        <v>7</v>
      </c>
      <c r="P65" s="43" t="inlineStr">
        <is>
          <t>Jet, Obsidian, Tiger Eye gold, Amber</t>
        </is>
      </c>
      <c r="Q65" s="43" t="n">
        <v>4</v>
      </c>
      <c r="R65" s="43" t="inlineStr">
        <is>
          <t>Frankincense, Cedarwood, Rosemary, Lavender</t>
        </is>
      </c>
      <c r="S65" s="43" t="n">
        <v>4</v>
      </c>
      <c r="T65" s="43" t="inlineStr">
        <is>
          <t>ALGIZ, THURISAZ, TIWAZ, OTHILA</t>
        </is>
      </c>
      <c r="U65" s="43" t="n">
        <v>4</v>
      </c>
      <c r="V65" s="43" t="inlineStr">
        <is>
          <t>HECATE, ISIS, BRIGID, DIANA, ODIN, THOR, MARS, ZEUS</t>
        </is>
      </c>
      <c r="W65" s="43" t="n">
        <v>8</v>
      </c>
      <c r="X65" t="inlineStr">
        <is>
          <t>Over 18</t>
        </is>
      </c>
      <c r="Y65" t="inlineStr">
        <is>
          <t>Release</t>
        </is>
      </c>
      <c r="Z65" t="inlineStr">
        <is>
          <t>All Three / User Choice</t>
        </is>
      </c>
      <c r="AA65" t="inlineStr">
        <is>
          <t>Yes</t>
        </is>
      </c>
      <c r="AB65" t="inlineStr">
        <is>
          <t>Yes</t>
        </is>
      </c>
      <c r="AC65" t="inlineStr">
        <is>
          <t>Yes</t>
        </is>
      </c>
      <c r="AD65" t="inlineStr">
        <is>
          <t>Adult / serious working: let the user choose Jar, Smoke and Flame, or Charm after reading the method notes.</t>
        </is>
      </c>
      <c r="AE65" t="inlineStr">
        <is>
          <t>App should pull this row's Greenman Energy Mode from the main item sheets. Use Secondary Energy Hint only if a serious/adult spell still needs a Draw/Hold/Release/Open/Transform flavour.</t>
        </is>
      </c>
      <c r="AF65" t="inlineStr">
        <is>
          <t>Hang it in the home</t>
        </is>
      </c>
      <c r="AG65" t="inlineStr">
        <is>
          <t>Carry it close on your person | Keep it hidden and safe</t>
        </is>
      </c>
    </row>
    <row r="66" ht="23.25" customHeight="1" s="56">
      <c r="A66" s="43" t="inlineStr">
        <is>
          <t>Over 18 🔞</t>
        </is>
      </c>
      <c r="B66" s="43" t="inlineStr">
        <is>
          <t>Gambling / Casino luck</t>
        </is>
      </c>
      <c r="C66" s="43" t="inlineStr">
        <is>
          <t>Waxing</t>
        </is>
      </c>
      <c r="D66" s="43" t="inlineStr">
        <is>
          <t>Earth</t>
        </is>
      </c>
      <c r="E66" s="43" t="inlineStr">
        <is>
          <t>Jupiter</t>
        </is>
      </c>
      <c r="F66" s="43" t="inlineStr">
        <is>
          <t>Thursday</t>
        </is>
      </c>
      <c r="G66" s="43" t="inlineStr">
        <is>
          <t>Gold</t>
        </is>
      </c>
      <c r="H66" s="43" t="inlineStr">
        <is>
          <t>North</t>
        </is>
      </c>
      <c r="I66" s="43" t="inlineStr">
        <is>
          <t>Receptive</t>
        </is>
      </c>
      <c r="J66" s="43" t="inlineStr">
        <is>
          <t>Green, brown, black, white</t>
        </is>
      </c>
      <c r="K66" s="43" t="inlineStr">
        <is>
          <t>3</t>
        </is>
      </c>
      <c r="L66" s="43" t="inlineStr">
        <is>
          <t>Health, triple aspects, psychism</t>
        </is>
      </c>
      <c r="M66" s="43" t="inlineStr">
        <is>
          <t>1, 3 or 7</t>
        </is>
      </c>
      <c r="N66" s="43" t="inlineStr">
        <is>
          <t>CHAMOMILE, GOLDENSEAL ROOT, OAK MOSS, CLOVER, CLOVER RED, NUTMEG POWDER, BASIL</t>
        </is>
      </c>
      <c r="O66" s="43" t="n">
        <v>7</v>
      </c>
      <c r="P66" s="43" t="inlineStr">
        <is>
          <t>Aventurine, Citrine, Pyrite (Fool's Gold), Goldstone</t>
        </is>
      </c>
      <c r="Q66" s="43" t="n">
        <v>4</v>
      </c>
      <c r="R66" s="43" t="inlineStr">
        <is>
          <t>Bergamot, Cinnamon, Orange Bitter, Frankincense</t>
        </is>
      </c>
      <c r="S66" s="43" t="n">
        <v>4</v>
      </c>
      <c r="T66" s="43" t="inlineStr">
        <is>
          <t>FEHU, WUNJO, JERA, SOWILO</t>
        </is>
      </c>
      <c r="U66" s="43" t="n">
        <v>4</v>
      </c>
      <c r="V66" s="43" t="inlineStr">
        <is>
          <t>MERCURY, JUPITER, GAIA, JUPITER, ZEUS, ODIN, FREY, THOR</t>
        </is>
      </c>
      <c r="W66" s="43" t="n">
        <v>8</v>
      </c>
      <c r="X66" t="inlineStr">
        <is>
          <t>Over 18</t>
        </is>
      </c>
      <c r="Y66" t="inlineStr">
        <is>
          <t>Draw</t>
        </is>
      </c>
      <c r="Z66" t="inlineStr">
        <is>
          <t>All Three / User Choice</t>
        </is>
      </c>
      <c r="AA66" t="inlineStr">
        <is>
          <t>Yes</t>
        </is>
      </c>
      <c r="AB66" t="inlineStr">
        <is>
          <t>Yes</t>
        </is>
      </c>
      <c r="AC66" t="inlineStr">
        <is>
          <t>Yes</t>
        </is>
      </c>
      <c r="AD66" t="inlineStr">
        <is>
          <t>Adult / serious working: let the user choose Jar, Smoke and Flame, or Charm after reading the method notes.</t>
        </is>
      </c>
      <c r="AE66" t="inlineStr">
        <is>
          <t>App should pull this row's Greenman Energy Mode from the main item sheets. Use Secondary Energy Hint only if a serious/adult spell still needs a Draw/Hold/Release/Open/Transform flavour.</t>
        </is>
      </c>
      <c r="AF66" t="inlineStr">
        <is>
          <t>Carry it close on your person</t>
        </is>
      </c>
      <c r="AG66" t="inlineStr">
        <is>
          <t>Place where it can be seen</t>
        </is>
      </c>
    </row>
    <row r="67" ht="23.25" customHeight="1" s="56">
      <c r="A67" s="43" t="inlineStr">
        <is>
          <t>Over 18 🔞</t>
        </is>
      </c>
      <c r="B67" s="43" t="inlineStr">
        <is>
          <t>Shapeshifting</t>
        </is>
      </c>
      <c r="C67" s="43" t="inlineStr">
        <is>
          <t>Full</t>
        </is>
      </c>
      <c r="D67" s="43" t="inlineStr">
        <is>
          <t>Air</t>
        </is>
      </c>
      <c r="E67" s="43" t="inlineStr">
        <is>
          <t>Mercury</t>
        </is>
      </c>
      <c r="F67" s="43" t="inlineStr">
        <is>
          <t>Wednesday</t>
        </is>
      </c>
      <c r="G67" s="43" t="inlineStr">
        <is>
          <t>Violet/Purple</t>
        </is>
      </c>
      <c r="H67" s="43" t="inlineStr">
        <is>
          <t>East</t>
        </is>
      </c>
      <c r="I67" s="43" t="inlineStr">
        <is>
          <t>Projective</t>
        </is>
      </c>
      <c r="J67" s="43" t="inlineStr">
        <is>
          <t>Yellow, white, crimson</t>
        </is>
      </c>
      <c r="K67" s="43" t="inlineStr">
        <is>
          <t>5</t>
        </is>
      </c>
      <c r="L67" s="43" t="inlineStr">
        <is>
          <t>Communication, fulfilment</t>
        </is>
      </c>
      <c r="M67" s="43" t="inlineStr">
        <is>
          <t>1, 3 or 7</t>
        </is>
      </c>
      <c r="N67" s="43" t="inlineStr">
        <is>
          <t>HEATHER, WORMWOOD, WORMWOOD, VERVAIN, HYSSOP, ELDERFLOWER, SAGE</t>
        </is>
      </c>
      <c r="O67" s="43" t="n">
        <v>7</v>
      </c>
      <c r="P67" s="43" t="inlineStr">
        <is>
          <t>Labradorite, Obsidian, Hematite, Moonstone</t>
        </is>
      </c>
      <c r="Q67" s="43" t="n">
        <v>4</v>
      </c>
      <c r="R67" s="43" t="inlineStr">
        <is>
          <t>Patchouli, Frankincense, Sandalwood w.i., Cedarwood</t>
        </is>
      </c>
      <c r="S67" s="43" t="n">
        <v>4</v>
      </c>
      <c r="T67" s="43" t="inlineStr">
        <is>
          <t>EHWAZ, PERTH, DAGAZ, IHWAZ</t>
        </is>
      </c>
      <c r="U67" s="43" t="n">
        <v>4</v>
      </c>
      <c r="V67" s="43" t="inlineStr">
        <is>
          <t>HECATE, CERRIDWEN, FREYJA, HEL, ODIN, LOKI, PAN, MERCURY</t>
        </is>
      </c>
      <c r="W67" s="43" t="n">
        <v>8</v>
      </c>
      <c r="X67" t="inlineStr">
        <is>
          <t>Over 18</t>
        </is>
      </c>
      <c r="Y67" t="inlineStr">
        <is>
          <t>Transform / Turn</t>
        </is>
      </c>
      <c r="Z67" t="inlineStr">
        <is>
          <t>All Three / User Choice</t>
        </is>
      </c>
      <c r="AA67" t="inlineStr">
        <is>
          <t>Yes</t>
        </is>
      </c>
      <c r="AB67" t="inlineStr">
        <is>
          <t>Yes</t>
        </is>
      </c>
      <c r="AC67" t="inlineStr">
        <is>
          <t>Yes</t>
        </is>
      </c>
      <c r="AD67" t="inlineStr">
        <is>
          <t>Adult / serious working: let the user choose Jar, Smoke and Flame, or Charm after reading the method notes.</t>
        </is>
      </c>
      <c r="AE67" t="inlineStr">
        <is>
          <t>App should pull this row's Greenman Energy Mode from the main item sheets. Use Secondary Energy Hint only if a serious/adult spell still needs a Draw/Hold/Release/Open/Transform flavour.</t>
        </is>
      </c>
      <c r="AF67" t="inlineStr">
        <is>
          <t>Carry it close on your person</t>
        </is>
      </c>
      <c r="AG67" t="inlineStr">
        <is>
          <t>Place at a shrine or altar | Place in a tree</t>
        </is>
      </c>
    </row>
    <row r="68" ht="78.75" customHeight="1" s="56">
      <c r="A68" s="43" t="inlineStr">
        <is>
          <t>Over 18 🔞</t>
        </is>
      </c>
      <c r="B68" s="43" t="inlineStr">
        <is>
          <t>Virility</t>
        </is>
      </c>
      <c r="C68" s="43" t="inlineStr">
        <is>
          <t>Waxing</t>
        </is>
      </c>
      <c r="D68" s="43" t="inlineStr">
        <is>
          <t>Fire</t>
        </is>
      </c>
      <c r="E68" s="43" t="inlineStr">
        <is>
          <t>Mars</t>
        </is>
      </c>
      <c r="F68" s="43" t="inlineStr">
        <is>
          <t>Tuesday</t>
        </is>
      </c>
      <c r="G68" s="43" t="inlineStr">
        <is>
          <t>Red</t>
        </is>
      </c>
      <c r="H68" s="43" t="inlineStr">
        <is>
          <t>South</t>
        </is>
      </c>
      <c r="I68" s="43" t="inlineStr">
        <is>
          <t>Projective</t>
        </is>
      </c>
      <c r="J68" s="43" t="inlineStr">
        <is>
          <t>Red, gold, crimson, orange, white</t>
        </is>
      </c>
      <c r="K68" s="43" t="inlineStr">
        <is>
          <t>9</t>
        </is>
      </c>
      <c r="L68" s="43" t="inlineStr">
        <is>
          <t>Aggression, conflict, dominance</t>
        </is>
      </c>
      <c r="M68" s="43" t="inlineStr">
        <is>
          <t>1, 3 or 7</t>
        </is>
      </c>
      <c r="N68" s="43" t="inlineStr">
        <is>
          <t>ACORN, ANISE, BASIL, BENZOIN, BLACK TEA, BLACKBERRY LEAVES, CARAWAY, CHAMOMILE, CINNAMON STICKS, CLOVER, CLOVER RED, CLOVES, COLTSFOOT, COMFREY, DILL, FENNEL (SEED), GARLIC POWDER, GOLDENSEAL ROOT, JASMINE, LADIES MANTLE, LAVENDER FLOWERS, LEMON BALM, LINSEED, MUSTARD SEED WHITE, NUTMEG POWDER, OAK MOSS, OAKBARK RED, PARSLEY, PEPPERMINT, PINE NUT, RUE, SAGE, THYME, VIOLET LEAVES, VIOLET</t>
        </is>
      </c>
      <c r="O68" s="43" t="inlineStr">
        <is>
          <t>35</t>
        </is>
      </c>
      <c r="P68" s="43" t="inlineStr">
        <is>
          <t>agate Botswana , agate Moss , Amazonite, Aventurine, Calcite, chrysophase, Citrine, Goldstone, Jade (jadeite), Lodestone, Pyrite (Fool's Gold), Rhodocrosite, Ruby, Sapphire, Serpentine, Topaz, Tourmalinee Black , Yellow Aventurine</t>
        </is>
      </c>
      <c r="Q68" s="43" t="inlineStr">
        <is>
          <t>18</t>
        </is>
      </c>
      <c r="R68" s="43" t="inlineStr">
        <is>
          <t>Bergamot, Cedarwood, Clove Bud, Geranium, Honeysuckle, Marjoram, Melissa, Neroli, Orange Bitter, Pine, Vanilla, Cinnamon, Ginger, Patchouli</t>
        </is>
      </c>
      <c r="S68" s="43" t="inlineStr">
        <is>
          <t>14</t>
        </is>
      </c>
      <c r="T68" s="43" t="inlineStr">
        <is>
          <t>FEHU, URUZ, WUNJO, JERA, SOWILO, BERKANAN, INGWAZ, OTHILA, DAGAZ</t>
        </is>
      </c>
      <c r="U68" s="43" t="inlineStr">
        <is>
          <t>9</t>
        </is>
      </c>
      <c r="V68" s="43" t="inlineStr">
        <is>
          <t>ALL GODDESSES, ALL LUNAR GODDESSES, ALLAT, AMATERASU, ARADIA, ARIANRHOD, ASTARTE, ATTIS, BAAL, BALDUR &amp; HATHOR, BONA DEA, CERES, CERRIDWEN, CRONOS, CUPRA, EROS, FILDIAS, GAIA, GOD AND GODDESS IN BALANCE, GREAT GODDESS. MANASA</t>
        </is>
      </c>
      <c r="W68" s="43" t="inlineStr">
        <is>
          <t>35</t>
        </is>
      </c>
      <c r="X68" t="inlineStr">
        <is>
          <t>Over 18</t>
        </is>
      </c>
      <c r="Y68" t="inlineStr">
        <is>
          <t>Draw</t>
        </is>
      </c>
      <c r="Z68" t="inlineStr">
        <is>
          <t>All Three / User Choice</t>
        </is>
      </c>
      <c r="AA68" t="inlineStr">
        <is>
          <t>Yes</t>
        </is>
      </c>
      <c r="AB68" t="inlineStr">
        <is>
          <t>Yes</t>
        </is>
      </c>
      <c r="AC68" t="inlineStr">
        <is>
          <t>Yes</t>
        </is>
      </c>
      <c r="AD68" t="inlineStr">
        <is>
          <t>Adult / serious working: let the user choose Jar, Smoke and Flame, or Charm after reading the method notes.</t>
        </is>
      </c>
      <c r="AE68" t="inlineStr">
        <is>
          <t>App should pull this row's Greenman Energy Mode from the main item sheets. Use Secondary Energy Hint only if a serious/adult spell still needs a Draw/Hold/Release/Open/Transform flavour.</t>
        </is>
      </c>
      <c r="AF68" t="inlineStr">
        <is>
          <t>Carry it close on your person</t>
        </is>
      </c>
      <c r="AG68" t="inlineStr">
        <is>
          <t>Place where it can be seen | Gift to the intended</t>
        </is>
      </c>
    </row>
    <row r="69" ht="23.25" customHeight="1" s="56">
      <c r="A69" s="43" t="inlineStr">
        <is>
          <t>Over 18 🔞</t>
        </is>
      </c>
      <c r="B69" s="43" t="inlineStr">
        <is>
          <t>Sacred Union</t>
        </is>
      </c>
      <c r="C69" s="43" t="inlineStr">
        <is>
          <t>Full</t>
        </is>
      </c>
      <c r="D69" s="43" t="inlineStr">
        <is>
          <t>Water</t>
        </is>
      </c>
      <c r="E69" s="43" t="inlineStr">
        <is>
          <t>Venus</t>
        </is>
      </c>
      <c r="F69" s="43" t="inlineStr">
        <is>
          <t>Friday</t>
        </is>
      </c>
      <c r="G69" s="43" t="inlineStr">
        <is>
          <t>Pink</t>
        </is>
      </c>
      <c r="H69" s="43" t="inlineStr">
        <is>
          <t>West</t>
        </is>
      </c>
      <c r="I69" s="43" t="inlineStr">
        <is>
          <t>Receptive</t>
        </is>
      </c>
      <c r="J69" s="43" t="inlineStr">
        <is>
          <t>Blue, silver, grey, black, white</t>
        </is>
      </c>
      <c r="K69" s="43" t="inlineStr">
        <is>
          <t>6</t>
        </is>
      </c>
      <c r="L69" s="43" t="inlineStr">
        <is>
          <t>Emotions, magnetism, gods/goddesses, cats</t>
        </is>
      </c>
      <c r="M69" s="43" t="inlineStr">
        <is>
          <t>1, 3 or 7</t>
        </is>
      </c>
      <c r="N69" s="43" t="inlineStr">
        <is>
          <t>HIBISCUS, ROSE PETALS, LAVENDER FLOWERS, JASMINE, HIBISCUS, ROSE BUDS RED, CARAWAY</t>
        </is>
      </c>
      <c r="O69" s="43" t="n">
        <v>7</v>
      </c>
      <c r="P69" s="43" t="inlineStr">
        <is>
          <t>quartz Rose, Emerald, Ruby, Garnet</t>
        </is>
      </c>
      <c r="Q69" s="43" t="n">
        <v>4</v>
      </c>
      <c r="R69" s="43" t="inlineStr">
        <is>
          <t>Ylang Ylang, Rose, Patchouli, Sandalwood In.</t>
        </is>
      </c>
      <c r="S69" s="43" t="n">
        <v>4</v>
      </c>
      <c r="T69" s="43" t="inlineStr">
        <is>
          <t>GEBO, INGWAZ, EHWAZ, BERKANAN</t>
        </is>
      </c>
      <c r="U69" s="43" t="n">
        <v>4</v>
      </c>
      <c r="V69" s="43" t="inlineStr">
        <is>
          <t>APHRODITE, VENUS, HATHOR, FREYJA, EROS, FREY, DIONYSUS, SHIVA</t>
        </is>
      </c>
      <c r="W69" s="43" t="n">
        <v>8</v>
      </c>
      <c r="X69" t="inlineStr">
        <is>
          <t>Over 18</t>
        </is>
      </c>
      <c r="Y69" t="inlineStr">
        <is>
          <t>Draw</t>
        </is>
      </c>
      <c r="Z69" t="inlineStr">
        <is>
          <t>All Three / User Choice</t>
        </is>
      </c>
      <c r="AA69" t="inlineStr">
        <is>
          <t>Yes</t>
        </is>
      </c>
      <c r="AB69" t="inlineStr">
        <is>
          <t>Yes</t>
        </is>
      </c>
      <c r="AC69" t="inlineStr">
        <is>
          <t>Yes</t>
        </is>
      </c>
      <c r="AD69" t="inlineStr">
        <is>
          <t>Adult / serious working: let the user choose Jar, Smoke and Flame, or Charm after reading the method notes.</t>
        </is>
      </c>
      <c r="AE69" t="inlineStr">
        <is>
          <t>App should pull this row's Greenman Energy Mode from the main item sheets. Use Secondary Energy Hint only if a serious/adult spell still needs a Draw/Hold/Release/Open/Transform flavour.</t>
        </is>
      </c>
      <c r="AF69" t="inlineStr">
        <is>
          <t>Place at a shrine or altar</t>
        </is>
      </c>
      <c r="AG69" t="inlineStr">
        <is>
          <t>Place where it can be seen | Gift to the intended</t>
        </is>
      </c>
    </row>
    <row r="70" ht="23.25" customHeight="1" s="56">
      <c r="A70" s="43" t="inlineStr">
        <is>
          <t>Over 18 🔞</t>
        </is>
      </c>
      <c r="B70" s="43" t="inlineStr">
        <is>
          <t>Binding</t>
        </is>
      </c>
      <c r="C70" s="43" t="inlineStr">
        <is>
          <t>Waning</t>
        </is>
      </c>
      <c r="D70" s="43" t="inlineStr">
        <is>
          <t>Earth</t>
        </is>
      </c>
      <c r="E70" s="43" t="inlineStr">
        <is>
          <t>Saturn</t>
        </is>
      </c>
      <c r="F70" s="43" t="inlineStr">
        <is>
          <t>Saturday</t>
        </is>
      </c>
      <c r="G70" s="43" t="inlineStr">
        <is>
          <t>Black</t>
        </is>
      </c>
      <c r="H70" s="43" t="inlineStr">
        <is>
          <t>North</t>
        </is>
      </c>
      <c r="I70" s="43" t="inlineStr">
        <is>
          <t>Receptive</t>
        </is>
      </c>
      <c r="J70" s="43" t="inlineStr">
        <is>
          <t>Green, brown, black, white</t>
        </is>
      </c>
      <c r="K70" s="43" t="inlineStr">
        <is>
          <t>8</t>
        </is>
      </c>
      <c r="L70" s="43" t="inlineStr">
        <is>
          <t>Material aspects, travel, protection, discipline</t>
        </is>
      </c>
      <c r="M70" s="43" t="inlineStr">
        <is>
          <t>1, 3 or 7</t>
        </is>
      </c>
      <c r="N70" s="43" t="inlineStr">
        <is>
          <t>VERVAIN, ROSEMARY, SAGE, WORMWOOD, BLACK SALT, AGRIMONY, VALERIAN ROOT</t>
        </is>
      </c>
      <c r="O70" s="43" t="n">
        <v>7</v>
      </c>
      <c r="P70" s="43" t="inlineStr">
        <is>
          <t>Obsidian, Jet, Malachite, Onyx</t>
        </is>
      </c>
      <c r="Q70" s="43" t="n">
        <v>4</v>
      </c>
      <c r="R70" s="43" t="inlineStr">
        <is>
          <t>Frankincense, Cedarwood, Patchouli, Sandalwood w.i.</t>
        </is>
      </c>
      <c r="S70" s="43" t="n">
        <v>4</v>
      </c>
      <c r="T70" s="43" t="inlineStr">
        <is>
          <t>ISA, NAUDIZ, ALGIZ, OTHILA</t>
        </is>
      </c>
      <c r="U70" s="43" t="n">
        <v>4</v>
      </c>
      <c r="V70" s="43" t="inlineStr">
        <is>
          <t>HECATE, ISIS, CERRIDWEN, HEL, ODIN, SATURN, PLUTO, MARS</t>
        </is>
      </c>
      <c r="W70" s="43" t="n">
        <v>8</v>
      </c>
      <c r="X70" t="inlineStr">
        <is>
          <t>Over 18</t>
        </is>
      </c>
      <c r="Y70" t="inlineStr">
        <is>
          <t>Release</t>
        </is>
      </c>
      <c r="Z70" t="inlineStr">
        <is>
          <t>All Three / User Choice</t>
        </is>
      </c>
      <c r="AA70" t="inlineStr">
        <is>
          <t>Yes</t>
        </is>
      </c>
      <c r="AB70" t="inlineStr">
        <is>
          <t>Yes</t>
        </is>
      </c>
      <c r="AC70" t="inlineStr">
        <is>
          <t>Yes</t>
        </is>
      </c>
      <c r="AD70" t="inlineStr">
        <is>
          <t>Adult / serious working: let the user choose Jar, Smoke and Flame, or Charm after reading the method notes.</t>
        </is>
      </c>
      <c r="AE70" t="inlineStr">
        <is>
          <t>App should pull this row's Greenman Energy Mode from the main item sheets. Use Secondary Energy Hint only if a serious/adult spell still needs a Draw/Hold/Release/Open/Transform flavour.</t>
        </is>
      </c>
      <c r="AF70" t="inlineStr">
        <is>
          <t>Keep it hidden and safe</t>
        </is>
      </c>
      <c r="AG70" t="inlineStr">
        <is>
          <t>Bury in the earth | Place at a shrine or altar</t>
        </is>
      </c>
    </row>
    <row r="71" ht="23.25" customHeight="1" s="56">
      <c r="A71" s="43" t="inlineStr">
        <is>
          <t>Attraction, Love &amp; Relationships</t>
        </is>
      </c>
      <c r="B71" s="43" t="inlineStr">
        <is>
          <t>Weddings / Handfastings</t>
        </is>
      </c>
      <c r="C71" s="43" t="inlineStr">
        <is>
          <t>Full</t>
        </is>
      </c>
      <c r="D71" s="43" t="inlineStr">
        <is>
          <t>Water</t>
        </is>
      </c>
      <c r="E71" s="43" t="inlineStr">
        <is>
          <t>Venus</t>
        </is>
      </c>
      <c r="F71" s="43" t="inlineStr">
        <is>
          <t>Friday</t>
        </is>
      </c>
      <c r="G71" s="43" t="inlineStr">
        <is>
          <t>Pink</t>
        </is>
      </c>
      <c r="H71" s="43" t="inlineStr">
        <is>
          <t>West</t>
        </is>
      </c>
      <c r="I71" s="43" t="inlineStr">
        <is>
          <t>Receptive</t>
        </is>
      </c>
      <c r="J71" s="43" t="inlineStr">
        <is>
          <t>Blue, silver, grey, black, white</t>
        </is>
      </c>
      <c r="K71" s="43" t="inlineStr">
        <is>
          <t>6</t>
        </is>
      </c>
      <c r="L71" s="43" t="inlineStr">
        <is>
          <t>Emotions, magnetism, gods/goddesses, cats</t>
        </is>
      </c>
      <c r="M71" s="43" t="inlineStr">
        <is>
          <t>1, 3 or 7</t>
        </is>
      </c>
      <c r="N71" s="43" t="inlineStr">
        <is>
          <t>CARAWAY, LAVENDER FLOWERS, ROSE PETALS, ROSE BUDS PINK, MEADOW SWEET, JASMINE, CHAMOMILE</t>
        </is>
      </c>
      <c r="O71" s="43" t="n">
        <v>7</v>
      </c>
      <c r="P71" s="43" t="inlineStr">
        <is>
          <t>quartz Rose, Emerald, Moonstone, Jade (jadeite)</t>
        </is>
      </c>
      <c r="Q71" s="43" t="n">
        <v>4</v>
      </c>
      <c r="R71" s="43" t="inlineStr">
        <is>
          <t>Rose, Lavender, Ylang Ylang, Neroli</t>
        </is>
      </c>
      <c r="S71" s="43" t="n">
        <v>4</v>
      </c>
      <c r="T71" s="43" t="inlineStr">
        <is>
          <t>GEBO, INGWAZ, WUNJO, BERKANAN</t>
        </is>
      </c>
      <c r="U71" s="43" t="n">
        <v>4</v>
      </c>
      <c r="V71" s="43" t="inlineStr">
        <is>
          <t>APHRODITE, VENUS, FRIGG, BRIGID, EROS, FREY, PAN, JUPITER</t>
        </is>
      </c>
      <c r="W71" s="43" t="n">
        <v>8</v>
      </c>
      <c r="X71" t="inlineStr">
        <is>
          <t>Draw</t>
        </is>
      </c>
      <c r="Y71" t="inlineStr">
        <is>
          <t>Draw</t>
        </is>
      </c>
      <c r="Z71" t="inlineStr">
        <is>
          <t>Spell Jar</t>
        </is>
      </c>
      <c r="AA71" t="inlineStr">
        <is>
          <t>Yes</t>
        </is>
      </c>
      <c r="AB71" t="inlineStr">
        <is>
          <t>Maybe</t>
        </is>
      </c>
      <c r="AC71" t="inlineStr">
        <is>
          <t>Yes</t>
        </is>
      </c>
      <c r="AD71" t="inlineStr">
        <is>
          <t>Draw, grow, sweeten, settle or carry relationship energy.</t>
        </is>
      </c>
      <c r="AE71" t="inlineStr">
        <is>
          <t>App should pull this row's Greenman Energy Mode from the main item sheets. Use Secondary Energy Hint only if a serious/adult spell still needs a Draw/Hold/Release/Open/Transform flavour.</t>
        </is>
      </c>
      <c r="AF71" t="inlineStr">
        <is>
          <t>Place at a shrine or altar</t>
        </is>
      </c>
      <c r="AG71" t="inlineStr">
        <is>
          <t>Place where it can be seen | Hang it in the home</t>
        </is>
      </c>
    </row>
    <row r="72" ht="23.25" customHeight="1" s="56">
      <c r="A72" s="43" t="inlineStr">
        <is>
          <t>Attraction, Love &amp; Relationships</t>
        </is>
      </c>
      <c r="B72" s="43" t="inlineStr">
        <is>
          <t>Soul Mate drawing</t>
        </is>
      </c>
      <c r="C72" s="43" t="inlineStr">
        <is>
          <t>Waxing</t>
        </is>
      </c>
      <c r="D72" s="43" t="inlineStr">
        <is>
          <t>Water</t>
        </is>
      </c>
      <c r="E72" s="43" t="inlineStr">
        <is>
          <t>Venus</t>
        </is>
      </c>
      <c r="F72" s="43" t="inlineStr">
        <is>
          <t>Friday</t>
        </is>
      </c>
      <c r="G72" s="43" t="inlineStr">
        <is>
          <t>Pink</t>
        </is>
      </c>
      <c r="H72" s="43" t="inlineStr">
        <is>
          <t>West</t>
        </is>
      </c>
      <c r="I72" s="43" t="inlineStr">
        <is>
          <t>Receptive</t>
        </is>
      </c>
      <c r="J72" s="43" t="inlineStr">
        <is>
          <t>Blue, silver, grey, black, white</t>
        </is>
      </c>
      <c r="K72" s="43" t="inlineStr">
        <is>
          <t>6</t>
        </is>
      </c>
      <c r="L72" s="43" t="inlineStr">
        <is>
          <t>Emotions, magnetism, gods/goddesses, cats</t>
        </is>
      </c>
      <c r="M72" s="43" t="inlineStr">
        <is>
          <t>1, 3 or 7</t>
        </is>
      </c>
      <c r="N72" s="43" t="inlineStr">
        <is>
          <t>JASMINE, ROSE PETALS, LAVENDER FLOWERS, VIOLET LEAVES, ROSE BUDS RED, YARROW, ORRIS ROOT POWDER</t>
        </is>
      </c>
      <c r="O72" s="43" t="n">
        <v>7</v>
      </c>
      <c r="P72" s="43" t="inlineStr">
        <is>
          <t>quartz Rose, Moonstone, Lapis Lazuli, Emerald</t>
        </is>
      </c>
      <c r="Q72" s="43" t="n">
        <v>4</v>
      </c>
      <c r="R72" s="43" t="inlineStr">
        <is>
          <t>Rose, Neroli, Ylang Ylang</t>
        </is>
      </c>
      <c r="S72" s="43" t="n">
        <v>3</v>
      </c>
      <c r="T72" s="43" t="inlineStr">
        <is>
          <t>GEBO, WUNJO, LAGUZ, FEHU</t>
        </is>
      </c>
      <c r="U72" s="43" t="n">
        <v>4</v>
      </c>
      <c r="V72" s="43" t="inlineStr">
        <is>
          <t>APHRODITE, VENUS, HATHOR, EROS, FREY, CUPID, DIANA</t>
        </is>
      </c>
      <c r="W72" s="43" t="n">
        <v>7</v>
      </c>
      <c r="X72" t="inlineStr">
        <is>
          <t>Draw</t>
        </is>
      </c>
      <c r="Y72" t="inlineStr">
        <is>
          <t>Draw</t>
        </is>
      </c>
      <c r="Z72" t="inlineStr">
        <is>
          <t>Spell Jar</t>
        </is>
      </c>
      <c r="AA72" t="inlineStr">
        <is>
          <t>Yes</t>
        </is>
      </c>
      <c r="AB72" t="inlineStr">
        <is>
          <t>Maybe</t>
        </is>
      </c>
      <c r="AC72" t="inlineStr">
        <is>
          <t>Yes</t>
        </is>
      </c>
      <c r="AD72" t="inlineStr">
        <is>
          <t>Draw, grow, sweeten, settle or carry relationship energy.</t>
        </is>
      </c>
      <c r="AE72" t="inlineStr">
        <is>
          <t>App should pull this row's Greenman Energy Mode from the main item sheets. Use Secondary Energy Hint only if a serious/adult spell still needs a Draw/Hold/Release/Open/Transform flavour.</t>
        </is>
      </c>
      <c r="AF72" t="inlineStr">
        <is>
          <t>Carry it close on your person</t>
        </is>
      </c>
      <c r="AG72" t="inlineStr">
        <is>
          <t>Place in a tree | Place at a shrine or altar | Bury in the earth</t>
        </is>
      </c>
    </row>
    <row r="73" ht="23.25" customHeight="1" s="56">
      <c r="A73" s="43" t="inlineStr">
        <is>
          <t>Attraction, Love &amp; Relationships</t>
        </is>
      </c>
      <c r="B73" s="43" t="inlineStr">
        <is>
          <t>Friendship</t>
        </is>
      </c>
      <c r="C73" s="43" t="inlineStr">
        <is>
          <t>Waxing</t>
        </is>
      </c>
      <c r="D73" s="43" t="inlineStr">
        <is>
          <t>Air</t>
        </is>
      </c>
      <c r="E73" s="43" t="inlineStr">
        <is>
          <t>Venus</t>
        </is>
      </c>
      <c r="F73" s="43" t="inlineStr">
        <is>
          <t>Friday</t>
        </is>
      </c>
      <c r="G73" s="43" t="inlineStr">
        <is>
          <t>Pink</t>
        </is>
      </c>
      <c r="H73" s="43" t="inlineStr">
        <is>
          <t>East</t>
        </is>
      </c>
      <c r="I73" s="43" t="inlineStr">
        <is>
          <t>Projective</t>
        </is>
      </c>
      <c r="J73" s="43" t="inlineStr">
        <is>
          <t>Yellow, white, crimson</t>
        </is>
      </c>
      <c r="K73" s="43" t="inlineStr">
        <is>
          <t>6</t>
        </is>
      </c>
      <c r="L73" s="43" t="inlineStr">
        <is>
          <t>Emotions, magnetism, gods/goddesses, cats</t>
        </is>
      </c>
      <c r="M73" s="43" t="inlineStr">
        <is>
          <t>1, 3 or 7</t>
        </is>
      </c>
      <c r="N73" s="43" t="inlineStr">
        <is>
          <t>ROSE BUDS PINK, LAVENDER FLOWERS, CHAMOMILE, LEMON BALM, MEADOW SWEET, VIOLET LEAVES</t>
        </is>
      </c>
      <c r="O73" s="43" t="n">
        <v>6</v>
      </c>
      <c r="P73" s="43" t="inlineStr">
        <is>
          <t>quartz Rose, Turquoise, Chrysocolla, chrysophase</t>
        </is>
      </c>
      <c r="Q73" s="43" t="n">
        <v>4</v>
      </c>
      <c r="R73" s="43" t="inlineStr">
        <is>
          <t>Rose, Lavender, Lemon</t>
        </is>
      </c>
      <c r="S73" s="43" t="n">
        <v>3</v>
      </c>
      <c r="T73" s="43" t="inlineStr">
        <is>
          <t>GEBO, WUNJO, FEHU</t>
        </is>
      </c>
      <c r="U73" s="43" t="n">
        <v>3</v>
      </c>
      <c r="V73" s="43" t="inlineStr">
        <is>
          <t>BRIGID, VENUS, APHRODITE, FREY, MERCURY, JUPITER</t>
        </is>
      </c>
      <c r="W73" s="43" t="n">
        <v>6</v>
      </c>
      <c r="X73" t="inlineStr">
        <is>
          <t>Draw</t>
        </is>
      </c>
      <c r="Y73" t="inlineStr">
        <is>
          <t>Draw</t>
        </is>
      </c>
      <c r="Z73" t="inlineStr">
        <is>
          <t>Spell Jar</t>
        </is>
      </c>
      <c r="AA73" t="inlineStr">
        <is>
          <t>Yes</t>
        </is>
      </c>
      <c r="AB73" t="inlineStr">
        <is>
          <t>Maybe</t>
        </is>
      </c>
      <c r="AC73" t="inlineStr">
        <is>
          <t>Yes</t>
        </is>
      </c>
      <c r="AD73" t="inlineStr">
        <is>
          <t>Draw, grow, sweeten, settle or carry relationship energy.</t>
        </is>
      </c>
      <c r="AE73" t="inlineStr">
        <is>
          <t>App should pull this row's Greenman Energy Mode from the main item sheets. Use Secondary Energy Hint only if a serious/adult spell still needs a Draw/Hold/Release/Open/Transform flavour.</t>
        </is>
      </c>
      <c r="AF73" t="inlineStr">
        <is>
          <t>Gift to the intended</t>
        </is>
      </c>
      <c r="AG73" t="inlineStr">
        <is>
          <t>Place where it can be seen | Hang it in the home | Carry it close on your person</t>
        </is>
      </c>
    </row>
    <row r="74" ht="34.5" customHeight="1" s="56">
      <c r="A74" s="43" t="inlineStr">
        <is>
          <t>Attraction, Love &amp; Relationships</t>
        </is>
      </c>
      <c r="B74" s="43" t="inlineStr">
        <is>
          <t>Passion</t>
        </is>
      </c>
      <c r="C74" s="43" t="inlineStr">
        <is>
          <t>Waxing</t>
        </is>
      </c>
      <c r="D74" s="43" t="inlineStr">
        <is>
          <t>Fire</t>
        </is>
      </c>
      <c r="E74" s="43" t="inlineStr">
        <is>
          <t>Mars</t>
        </is>
      </c>
      <c r="F74" s="43" t="inlineStr">
        <is>
          <t>Tuesday</t>
        </is>
      </c>
      <c r="G74" s="43" t="inlineStr">
        <is>
          <t>Red</t>
        </is>
      </c>
      <c r="H74" s="43" t="inlineStr">
        <is>
          <t>South</t>
        </is>
      </c>
      <c r="I74" s="43" t="inlineStr">
        <is>
          <t>Projective</t>
        </is>
      </c>
      <c r="J74" s="43" t="inlineStr">
        <is>
          <t>Red, gold, crimson, orange, white</t>
        </is>
      </c>
      <c r="K74" s="43" t="inlineStr">
        <is>
          <t>9</t>
        </is>
      </c>
      <c r="L74" s="43" t="inlineStr">
        <is>
          <t>Aggression, conflict, dominance</t>
        </is>
      </c>
      <c r="M74" s="43" t="inlineStr">
        <is>
          <t>1, 3 or 7</t>
        </is>
      </c>
      <c r="N74" s="43" t="inlineStr">
        <is>
          <t>BASIL, GINGER ROOT, CINNAMON STICKS, ROSEMARY, HIBISCUS, ROSE BUDS RED, NETTLE</t>
        </is>
      </c>
      <c r="O74" s="43" t="n">
        <v>7</v>
      </c>
      <c r="P74" s="43" t="inlineStr">
        <is>
          <t>Carnelian, Garnet, Ruby, Red Jasper</t>
        </is>
      </c>
      <c r="Q74" s="43" t="n">
        <v>4</v>
      </c>
      <c r="R74" s="43" t="inlineStr">
        <is>
          <t>Ylang Ylang, Cinnamon, Ginger, Rose</t>
        </is>
      </c>
      <c r="S74" s="43" t="n">
        <v>4</v>
      </c>
      <c r="T74" s="43" t="inlineStr">
        <is>
          <t>FEHU, URUZ, TIWAZ, EHWAZ</t>
        </is>
      </c>
      <c r="U74" s="43" t="n">
        <v>4</v>
      </c>
      <c r="V74" s="43" t="inlineStr">
        <is>
          <t>APHRODITE, VENUS, HATHOR, ARES, MARS, EROS, DIONYSUS, SHIVA</t>
        </is>
      </c>
      <c r="W74" s="43" t="n">
        <v>8</v>
      </c>
      <c r="X74" t="inlineStr">
        <is>
          <t>Draw</t>
        </is>
      </c>
      <c r="Y74" t="inlineStr">
        <is>
          <t>Draw</t>
        </is>
      </c>
      <c r="Z74" t="inlineStr">
        <is>
          <t>Spell Jar</t>
        </is>
      </c>
      <c r="AA74" t="inlineStr">
        <is>
          <t>Yes</t>
        </is>
      </c>
      <c r="AB74" t="inlineStr">
        <is>
          <t>Maybe</t>
        </is>
      </c>
      <c r="AC74" t="inlineStr">
        <is>
          <t>Yes</t>
        </is>
      </c>
      <c r="AD74" t="inlineStr">
        <is>
          <t>Draw, grow, sweeten, settle or carry relationship energy.</t>
        </is>
      </c>
      <c r="AE74" t="inlineStr">
        <is>
          <t>App should pull this row's Greenman Energy Mode from the main item sheets. Use Secondary Energy Hint only if a serious/adult spell still needs a Draw/Hold/Release/Open/Transform flavour.</t>
        </is>
      </c>
      <c r="AF74" t="inlineStr">
        <is>
          <t>Carry it close on your person</t>
        </is>
      </c>
      <c r="AG74" t="inlineStr">
        <is>
          <t>Gift to the intended | Place where it can be seen</t>
        </is>
      </c>
    </row>
    <row r="75" ht="23.25" customHeight="1" s="56">
      <c r="A75" s="43" t="inlineStr">
        <is>
          <t>Protection, Banishing &amp; Warding</t>
        </is>
      </c>
      <c r="B75" s="43" t="inlineStr">
        <is>
          <t>Travel protection</t>
        </is>
      </c>
      <c r="C75" s="43" t="inlineStr">
        <is>
          <t>Waxing</t>
        </is>
      </c>
      <c r="D75" s="43" t="inlineStr">
        <is>
          <t>Air</t>
        </is>
      </c>
      <c r="E75" s="43" t="inlineStr">
        <is>
          <t>Mercury</t>
        </is>
      </c>
      <c r="F75" s="43" t="inlineStr">
        <is>
          <t>Wednesday</t>
        </is>
      </c>
      <c r="G75" s="43" t="inlineStr">
        <is>
          <t>Yellow</t>
        </is>
      </c>
      <c r="H75" s="43" t="inlineStr">
        <is>
          <t>East</t>
        </is>
      </c>
      <c r="I75" s="43" t="inlineStr">
        <is>
          <t>Projective</t>
        </is>
      </c>
      <c r="J75" s="43" t="inlineStr">
        <is>
          <t>Yellow, white, crimson</t>
        </is>
      </c>
      <c r="K75" s="43" t="inlineStr">
        <is>
          <t>5</t>
        </is>
      </c>
      <c r="L75" s="43" t="inlineStr">
        <is>
          <t>Communication, fulfilment</t>
        </is>
      </c>
      <c r="M75" s="43" t="inlineStr">
        <is>
          <t>1, 3 or 7</t>
        </is>
      </c>
      <c r="N75" s="43" t="inlineStr">
        <is>
          <t>COMFREY, ROSEMARY, LAVENDER FLOWERS, COMFREY ROOT, FENNEL (SEED), ST JOHN'S WORT, GARLIC POWDER</t>
        </is>
      </c>
      <c r="O75" s="43" t="n">
        <v>7</v>
      </c>
      <c r="P75" s="43" t="inlineStr">
        <is>
          <t>Turquoise, Aquamarine, Moonstone, Tiger Eye gold</t>
        </is>
      </c>
      <c r="Q75" s="43" t="n">
        <v>4</v>
      </c>
      <c r="R75" s="43" t="inlineStr">
        <is>
          <t>Frankincense, Lavender, Cedarwood, Rosemary</t>
        </is>
      </c>
      <c r="S75" s="43" t="n">
        <v>4</v>
      </c>
      <c r="T75" s="43" t="inlineStr">
        <is>
          <t>ALGIZ, OTHILA, RAIDO, EHWAZ</t>
        </is>
      </c>
      <c r="U75" s="43" t="n">
        <v>4</v>
      </c>
      <c r="V75" s="43" t="inlineStr">
        <is>
          <t>ARTEMIS, DIANA, FLIDAIS, MERCURY, ODIN, THOR, HEIMDALL</t>
        </is>
      </c>
      <c r="W75" s="43" t="n">
        <v>7</v>
      </c>
      <c r="X75" t="inlineStr">
        <is>
          <t>Hold</t>
        </is>
      </c>
      <c r="Y75" t="inlineStr">
        <is>
          <t>Hold</t>
        </is>
      </c>
      <c r="Z75" t="inlineStr">
        <is>
          <t>Spell Jar</t>
        </is>
      </c>
      <c r="AA75" t="inlineStr">
        <is>
          <t>Yes</t>
        </is>
      </c>
      <c r="AB75" t="inlineStr">
        <is>
          <t>Maybe</t>
        </is>
      </c>
      <c r="AC75" t="inlineStr">
        <is>
          <t>Yes</t>
        </is>
      </c>
      <c r="AD75" t="inlineStr">
        <is>
          <t>Hold boundaries, guard, ward and keep protection steady.</t>
        </is>
      </c>
      <c r="AE75" t="inlineStr">
        <is>
          <t>App should pull this row's Greenman Energy Mode from the main item sheets. Use Secondary Energy Hint only if a serious/adult spell still needs a Draw/Hold/Release/Open/Transform flavour.</t>
        </is>
      </c>
      <c r="AF75" t="inlineStr">
        <is>
          <t>Carry it close on your person</t>
        </is>
      </c>
      <c r="AG75" t="inlineStr">
        <is>
          <t>Keep it hidden and safe</t>
        </is>
      </c>
    </row>
    <row r="76" ht="23.25" customHeight="1" s="56">
      <c r="A76" s="43" t="inlineStr">
        <is>
          <t>Protection, Banishing &amp; Warding</t>
        </is>
      </c>
      <c r="B76" s="43" t="inlineStr">
        <is>
          <t>Protection of children</t>
        </is>
      </c>
      <c r="C76" s="43" t="inlineStr">
        <is>
          <t>Waxing</t>
        </is>
      </c>
      <c r="D76" s="43" t="inlineStr">
        <is>
          <t>Earth</t>
        </is>
      </c>
      <c r="E76" s="43" t="inlineStr">
        <is>
          <t>Moon</t>
        </is>
      </c>
      <c r="F76" s="43" t="inlineStr">
        <is>
          <t>Monday</t>
        </is>
      </c>
      <c r="G76" s="43" t="inlineStr">
        <is>
          <t>White</t>
        </is>
      </c>
      <c r="H76" s="43" t="inlineStr">
        <is>
          <t>North</t>
        </is>
      </c>
      <c r="I76" s="43" t="inlineStr">
        <is>
          <t>Receptive</t>
        </is>
      </c>
      <c r="J76" s="43" t="inlineStr">
        <is>
          <t>Green, brown, black, white</t>
        </is>
      </c>
      <c r="K76" s="43" t="inlineStr">
        <is>
          <t>2</t>
        </is>
      </c>
      <c r="L76" s="43" t="inlineStr">
        <is>
          <t>Duality, balance, couples, partnerships</t>
        </is>
      </c>
      <c r="M76" s="43" t="inlineStr">
        <is>
          <t>1, 3 or 7</t>
        </is>
      </c>
      <c r="N76" s="43" t="inlineStr">
        <is>
          <t>ELDERFLOWER, LAVENDER FLOWERS, ROSEMARY, CHAMOMILE, VERVAIN, MULLEIN, ST JOHN'S WORT</t>
        </is>
      </c>
      <c r="O76" s="43" t="n">
        <v>7</v>
      </c>
      <c r="P76" s="43" t="inlineStr">
        <is>
          <t>Amethyst, quartz Rose, Turquoise, Amber</t>
        </is>
      </c>
      <c r="Q76" s="43" t="n">
        <v>4</v>
      </c>
      <c r="R76" s="43" t="inlineStr">
        <is>
          <t>Lavender, Frankincense, Cedarwood, Rose</t>
        </is>
      </c>
      <c r="S76" s="43" t="n">
        <v>4</v>
      </c>
      <c r="T76" s="43" t="inlineStr">
        <is>
          <t>ALGIZ, BERKANAN, THURISAZ, OTHILA</t>
        </is>
      </c>
      <c r="U76" s="43" t="n">
        <v>4</v>
      </c>
      <c r="V76" s="43" t="inlineStr">
        <is>
          <t>BRIGID, ARTEMIS, DIANA, ISIS, THOR, ODIN, JUPITER, THE GREAT MOTHER</t>
        </is>
      </c>
      <c r="W76" s="43" t="n">
        <v>8</v>
      </c>
      <c r="X76" t="inlineStr">
        <is>
          <t>Hold</t>
        </is>
      </c>
      <c r="Y76" t="inlineStr">
        <is>
          <t>Hold</t>
        </is>
      </c>
      <c r="Z76" t="inlineStr">
        <is>
          <t>Spell Jar</t>
        </is>
      </c>
      <c r="AA76" t="inlineStr">
        <is>
          <t>Yes</t>
        </is>
      </c>
      <c r="AB76" t="inlineStr">
        <is>
          <t>Maybe</t>
        </is>
      </c>
      <c r="AC76" t="inlineStr">
        <is>
          <t>Yes</t>
        </is>
      </c>
      <c r="AD76" t="inlineStr">
        <is>
          <t>Hold boundaries, guard, ward and keep protection steady.</t>
        </is>
      </c>
      <c r="AE76" t="inlineStr">
        <is>
          <t>App should pull this row's Greenman Energy Mode from the main item sheets. Use Secondary Energy Hint only if a serious/adult spell still needs a Draw/Hold/Release/Open/Transform flavour.</t>
        </is>
      </c>
      <c r="AF76" t="inlineStr">
        <is>
          <t>Keep it hidden and safe</t>
        </is>
      </c>
      <c r="AG76" t="inlineStr">
        <is>
          <t>Hang it in the home | Carry it close on your person</t>
        </is>
      </c>
    </row>
    <row r="77" ht="78.75" customHeight="1" s="56">
      <c r="A77" s="43" t="inlineStr">
        <is>
          <t>Divination, Dreams &amp; Psychic Work</t>
        </is>
      </c>
      <c r="B77" s="43" t="inlineStr">
        <is>
          <t>Scrying</t>
        </is>
      </c>
      <c r="C77" s="43" t="inlineStr">
        <is>
          <t>Full</t>
        </is>
      </c>
      <c r="D77" s="43" t="inlineStr">
        <is>
          <t>Water</t>
        </is>
      </c>
      <c r="E77" s="43" t="inlineStr">
        <is>
          <t>Moon</t>
        </is>
      </c>
      <c r="F77" s="43" t="inlineStr">
        <is>
          <t>Monday</t>
        </is>
      </c>
      <c r="G77" s="43" t="inlineStr">
        <is>
          <t>Silver or grey</t>
        </is>
      </c>
      <c r="H77" s="43" t="inlineStr">
        <is>
          <t>West</t>
        </is>
      </c>
      <c r="I77" s="43" t="inlineStr">
        <is>
          <t>Receptive</t>
        </is>
      </c>
      <c r="J77" s="43" t="inlineStr">
        <is>
          <t>Blue, silver, grey, black, white</t>
        </is>
      </c>
      <c r="K77" s="43" t="inlineStr">
        <is>
          <t>2</t>
        </is>
      </c>
      <c r="L77" s="43" t="inlineStr">
        <is>
          <t>Duality, balance, couples, partnerships</t>
        </is>
      </c>
      <c r="M77" s="43" t="inlineStr">
        <is>
          <t>1 or 3</t>
        </is>
      </c>
      <c r="N77" s="43" t="inlineStr">
        <is>
          <t>ANISE, BASIL, BAY LAUREL, BLACK TEA, CAMPHOR SYNTHETIC, CARAWAY, CINNAMON STICKS, CLOVES, COLTSFOOT, COMFREY, EYEBRIGHT, FENNEL (SEED), GARLIC POWDER, GOLDENROD, JASMINE, LAVENDER FLOWERS, LEMON VERBENA, MARIGOLD, MULLEIN, NUTMEG POWDER, OAKBARK RED, ORRIS ROOT POWDER, PARSLEY, PEPPERMINT, PINE NUT, ROSE BUDS PINK, ROSE BUDS RED, ROSE PETALS, ROSEMARY, SAGE, SANDALWOOD WHITE, THYME, VIOLET LEAVES, VIOLET, YARROW</t>
        </is>
      </c>
      <c r="O77" s="43" t="inlineStr">
        <is>
          <t>35</t>
        </is>
      </c>
      <c r="P77" s="43" t="inlineStr">
        <is>
          <t>Amethyst, Emerald, Jet, Moonstone, obsidian snowflake, Onyx, Opal pink, Peridot, Pyrite (Fool's Gold), Sapphire, Sugilite, Tanzanite</t>
        </is>
      </c>
      <c r="Q77" s="43" t="inlineStr">
        <is>
          <t>12</t>
        </is>
      </c>
      <c r="R77" s="43" t="inlineStr">
        <is>
          <t>Lemon Grass, Orange Bitter</t>
        </is>
      </c>
      <c r="S77" s="43" t="inlineStr">
        <is>
          <t>2</t>
        </is>
      </c>
      <c r="T77" s="43" t="inlineStr">
        <is>
          <t>ANSUZ, PERTH, SOWILO, MANNAZ, LAGUZ</t>
        </is>
      </c>
      <c r="U77" s="43" t="inlineStr">
        <is>
          <t>5</t>
        </is>
      </c>
      <c r="V77" s="43" t="inlineStr">
        <is>
          <t>ALL GODDESSES, ALL LUNAR GODDESSES, ARADIA, ARES, ARIANRHOD, BEFANA, CUPRA, DIANA, GOD AND GODDESS IN BALANCE, HECATE, JUTERNA, KWAI-YIN, LUNA, MOTHER GODESS, NUIT, RA, SELENE, SOL, SOPHIA, TITIANA</t>
        </is>
      </c>
      <c r="W77" s="43" t="inlineStr">
        <is>
          <t>29</t>
        </is>
      </c>
      <c r="X77" t="inlineStr">
        <is>
          <t>Open / Reveal</t>
        </is>
      </c>
      <c r="Y77" t="inlineStr">
        <is>
          <t>Open / Reveal</t>
        </is>
      </c>
      <c r="Z77" t="inlineStr">
        <is>
          <t>Smoke and Flame</t>
        </is>
      </c>
      <c r="AA77" t="inlineStr">
        <is>
          <t>Maybe</t>
        </is>
      </c>
      <c r="AB77" t="inlineStr">
        <is>
          <t>Yes</t>
        </is>
      </c>
      <c r="AC77" t="inlineStr">
        <is>
          <t>Yes</t>
        </is>
      </c>
      <c r="AD77" t="inlineStr">
        <is>
          <t>Open sight, smoke, dream roads and hidden knowledge.</t>
        </is>
      </c>
      <c r="AE77" t="inlineStr">
        <is>
          <t>App should pull this row's Greenman Energy Mode from the main item sheets. Use Secondary Energy Hint only if a serious/adult spell still needs a Draw/Hold/Release/Open/Transform flavour.</t>
        </is>
      </c>
      <c r="AF77" t="inlineStr">
        <is>
          <t>Place at a shrine or altar</t>
        </is>
      </c>
      <c r="AG77" t="inlineStr">
        <is>
          <t>Carry it close on your person</t>
        </is>
      </c>
    </row>
    <row r="78" ht="23.25" customHeight="1" s="56">
      <c r="A78" s="43" t="inlineStr">
        <is>
          <t>Divination, Dreams &amp; Psychic Work</t>
        </is>
      </c>
      <c r="B78" s="43" t="inlineStr">
        <is>
          <t>Lucid dreaming</t>
        </is>
      </c>
      <c r="C78" s="43" t="inlineStr">
        <is>
          <t>Full</t>
        </is>
      </c>
      <c r="D78" s="43" t="inlineStr">
        <is>
          <t>Water</t>
        </is>
      </c>
      <c r="E78" s="43" t="inlineStr">
        <is>
          <t>Moon</t>
        </is>
      </c>
      <c r="F78" s="43" t="inlineStr">
        <is>
          <t>Monday</t>
        </is>
      </c>
      <c r="G78" s="43" t="inlineStr">
        <is>
          <t>Silver or grey</t>
        </is>
      </c>
      <c r="H78" s="43" t="inlineStr">
        <is>
          <t>West</t>
        </is>
      </c>
      <c r="I78" s="43" t="inlineStr">
        <is>
          <t>Receptive</t>
        </is>
      </c>
      <c r="J78" s="43" t="inlineStr">
        <is>
          <t>Blue, silver, grey, black, white</t>
        </is>
      </c>
      <c r="K78" s="43" t="inlineStr">
        <is>
          <t>2</t>
        </is>
      </c>
      <c r="L78" s="43" t="inlineStr">
        <is>
          <t>Duality, balance, couples, partnerships</t>
        </is>
      </c>
      <c r="M78" s="43" t="inlineStr">
        <is>
          <t>1 or 3</t>
        </is>
      </c>
      <c r="N78" s="43" t="inlineStr">
        <is>
          <t>WORMWOOD, JASMINE, LAVENDER FLOWERS, CHAMOMILE, VALERIAN ROOT, ROSE BUDS PINK, COLTSFOOT</t>
        </is>
      </c>
      <c r="O78" s="43" t="n">
        <v>7</v>
      </c>
      <c r="P78" s="43" t="inlineStr">
        <is>
          <t>Amethyst, Moonstone, Labradorite, Sugilite</t>
        </is>
      </c>
      <c r="Q78" s="43" t="n">
        <v>4</v>
      </c>
      <c r="R78" s="43" t="inlineStr">
        <is>
          <t>Lavender, Sandalwood In., Neroli, Peppermint</t>
        </is>
      </c>
      <c r="S78" s="43" t="n">
        <v>4</v>
      </c>
      <c r="T78" s="43" t="inlineStr">
        <is>
          <t>PERTH, LAGUZ, ANSUZ, MANNAZ</t>
        </is>
      </c>
      <c r="U78" s="43" t="n">
        <v>4</v>
      </c>
      <c r="V78" s="43" t="inlineStr">
        <is>
          <t>SELENE, LUNA, HECATE, DIANA, SELENE, MERCURY, ODIN, MERCURY</t>
        </is>
      </c>
      <c r="W78" s="43" t="n">
        <v>8</v>
      </c>
      <c r="X78" t="inlineStr">
        <is>
          <t>Open / Reveal</t>
        </is>
      </c>
      <c r="Y78" t="inlineStr">
        <is>
          <t>Open / Reveal</t>
        </is>
      </c>
      <c r="Z78" t="inlineStr">
        <is>
          <t>Smoke and Flame</t>
        </is>
      </c>
      <c r="AA78" t="inlineStr">
        <is>
          <t>Maybe</t>
        </is>
      </c>
      <c r="AB78" t="inlineStr">
        <is>
          <t>Yes</t>
        </is>
      </c>
      <c r="AC78" t="inlineStr">
        <is>
          <t>Yes</t>
        </is>
      </c>
      <c r="AD78" t="inlineStr">
        <is>
          <t>Open sight, smoke, dream roads and hidden knowledge.</t>
        </is>
      </c>
      <c r="AE78" t="inlineStr">
        <is>
          <t>App should pull this row's Greenman Energy Mode from the main item sheets. Use Secondary Energy Hint only if a serious/adult spell still needs a Draw/Hold/Release/Open/Transform flavour.</t>
        </is>
      </c>
      <c r="AF78" t="inlineStr">
        <is>
          <t>Keep it hidden and safe</t>
        </is>
      </c>
      <c r="AG78" t="inlineStr">
        <is>
          <t>Carry it close on your person | Place at a shrine or altar</t>
        </is>
      </c>
    </row>
    <row r="79" ht="45.75" customHeight="1" s="56">
      <c r="A79" s="43" t="inlineStr">
        <is>
          <t>Divination, Dreams &amp; Psychic Work</t>
        </is>
      </c>
      <c r="B79" s="43" t="inlineStr">
        <is>
          <t>Past lives</t>
        </is>
      </c>
      <c r="C79" s="43" t="inlineStr">
        <is>
          <t>Dark</t>
        </is>
      </c>
      <c r="D79" s="43" t="inlineStr">
        <is>
          <t>Water</t>
        </is>
      </c>
      <c r="E79" s="43" t="inlineStr">
        <is>
          <t>Saturn</t>
        </is>
      </c>
      <c r="F79" s="43" t="inlineStr">
        <is>
          <t>Saturday</t>
        </is>
      </c>
      <c r="G79" s="43" t="inlineStr">
        <is>
          <t>Black</t>
        </is>
      </c>
      <c r="H79" s="43" t="inlineStr">
        <is>
          <t>West</t>
        </is>
      </c>
      <c r="I79" s="43" t="inlineStr">
        <is>
          <t>Receptive</t>
        </is>
      </c>
      <c r="J79" s="43" t="inlineStr">
        <is>
          <t>Blue, silver, grey, black, white</t>
        </is>
      </c>
      <c r="K79" s="43" t="inlineStr">
        <is>
          <t>8</t>
        </is>
      </c>
      <c r="L79" s="43" t="inlineStr">
        <is>
          <t>Material aspects, travel, protection, discipline</t>
        </is>
      </c>
      <c r="M79" s="43" t="inlineStr">
        <is>
          <t>1 or 3</t>
        </is>
      </c>
      <c r="N79" s="43" t="inlineStr">
        <is>
          <t>ANISE, APPLEWOOD CHIPS, BASIL, CHRYSANTHEMUM, CLOVER, COLTSFOOT, LEMON BALM, MULLEIN, PARSLEY, PENNYROYAL, SAGE, SANDALWOOD RED, SANDALWOOD WHITE, TANSY, THYME, BLACK SALT, YARROW</t>
        </is>
      </c>
      <c r="O79" s="43" t="inlineStr">
        <is>
          <t>17</t>
        </is>
      </c>
      <c r="P79" s="43" t="inlineStr">
        <is>
          <t>Jet, obsidian snowflake, Onyx, Petrified Wood, Serpentine</t>
        </is>
      </c>
      <c r="Q79" s="43" t="inlineStr">
        <is>
          <t>5</t>
        </is>
      </c>
      <c r="R79" s="43" t="inlineStr">
        <is>
          <t>Frankincense, Sandalwood w.i.</t>
        </is>
      </c>
      <c r="S79" s="43" t="inlineStr">
        <is>
          <t>2</t>
        </is>
      </c>
      <c r="T79" s="43" t="inlineStr">
        <is>
          <t>PERTH, OTHILA, MANNAZ, LAGUZ</t>
        </is>
      </c>
      <c r="U79" s="43" t="n">
        <v>4</v>
      </c>
      <c r="V79" s="43" t="inlineStr">
        <is>
          <t>ALL, AMATERASU, AMBERELLA, ARTEMIS, BEFANA, BUDDHA, DIANA, EREYR, FLIDAIS, GAIA, HATHOR, HECATE, HEL, ISIS, JANA, KWAN-YIN AND BUDDHA, LOKI, MADAME PELE, MARY MAGDALENE, MERCURY</t>
        </is>
      </c>
      <c r="W79" s="43" t="inlineStr">
        <is>
          <t>34</t>
        </is>
      </c>
      <c r="X79" t="inlineStr">
        <is>
          <t>Open / Reveal</t>
        </is>
      </c>
      <c r="Y79" t="inlineStr">
        <is>
          <t>Open / Reveal</t>
        </is>
      </c>
      <c r="Z79" t="inlineStr">
        <is>
          <t>Smoke and Flame</t>
        </is>
      </c>
      <c r="AA79" t="inlineStr">
        <is>
          <t>Maybe</t>
        </is>
      </c>
      <c r="AB79" t="inlineStr">
        <is>
          <t>Yes</t>
        </is>
      </c>
      <c r="AC79" t="inlineStr">
        <is>
          <t>Yes</t>
        </is>
      </c>
      <c r="AD79" t="inlineStr">
        <is>
          <t>Open sight, smoke, dream roads and hidden knowledge.</t>
        </is>
      </c>
      <c r="AE79" t="inlineStr">
        <is>
          <t>App should pull this row's Greenman Energy Mode from the main item sheets. Use Secondary Energy Hint only if a serious/adult spell still needs a Draw/Hold/Release/Open/Transform flavour.</t>
        </is>
      </c>
      <c r="AF79" t="inlineStr">
        <is>
          <t>Place at a shrine or altar</t>
        </is>
      </c>
      <c r="AG79" t="inlineStr">
        <is>
          <t>Carry it close on your person</t>
        </is>
      </c>
    </row>
    <row r="80" ht="89.25" customHeight="1" s="56">
      <c r="A80" s="43" t="inlineStr">
        <is>
          <t>Divination, Dreams &amp; Psychic Work</t>
        </is>
      </c>
      <c r="B80" s="43" t="inlineStr">
        <is>
          <t>Psychic development</t>
        </is>
      </c>
      <c r="C80" s="43" t="inlineStr">
        <is>
          <t>Full</t>
        </is>
      </c>
      <c r="D80" s="43" t="inlineStr">
        <is>
          <t>Air</t>
        </is>
      </c>
      <c r="E80" s="43" t="inlineStr">
        <is>
          <t>Mercury</t>
        </is>
      </c>
      <c r="F80" s="43" t="inlineStr">
        <is>
          <t>Wednesday</t>
        </is>
      </c>
      <c r="G80" s="43" t="inlineStr">
        <is>
          <t>Violet/Purple</t>
        </is>
      </c>
      <c r="H80" s="43" t="inlineStr">
        <is>
          <t>East</t>
        </is>
      </c>
      <c r="I80" s="43" t="inlineStr">
        <is>
          <t>Projective</t>
        </is>
      </c>
      <c r="J80" s="43" t="inlineStr">
        <is>
          <t>Yellow, white, crimson</t>
        </is>
      </c>
      <c r="K80" s="43" t="inlineStr">
        <is>
          <t>5</t>
        </is>
      </c>
      <c r="L80" s="43" t="inlineStr">
        <is>
          <t>Communication, fulfilment</t>
        </is>
      </c>
      <c r="M80" s="43" t="inlineStr">
        <is>
          <t>1 or 3</t>
        </is>
      </c>
      <c r="N80" s="43" t="inlineStr">
        <is>
          <t>ANISE, BASIL, BAY LAUREL, CAMPHOR SYNTHETIC, CINNAMON STICKS, CLEAVERS, CLOVES, COLTSFOOT, GARLIC POWDER, GINGER ROOT, JUNIPER BERRIES, LAVENDER FLOWERS, LEMON BALM, NUTMEG POWDER, OAKBARK RED, OREGANO, PARSLEY, PEPPERMINT, ROSE BUDS RED, ROSEMARY, SAGE, SANDALWOOD RED, SANDALWOOD WHITE, SEA SALT, THYME</t>
        </is>
      </c>
      <c r="O80" s="43" t="inlineStr">
        <is>
          <t>25</t>
        </is>
      </c>
      <c r="P80" s="43" t="inlineStr">
        <is>
          <t>agate Blue Lace , agate Moss , Amazonite, Amethyst, Apache Tears, Aquamarine, Calcite, Carnelian, Quartz Clear , Emerald, Flourite, Fuchsite, Howlite, Iolite, Jet, Kyanite, Labradorite, Lapis Lazuli, Moonstone, obsidian snowflake, Opal pink, Peridot, Petrified Wood, quartz rutilated , Sapphire, Seraphinite, Serpentine, Sodalite, Sugilite, Sunstone, Tanzanite, Tiger Eye gold, Topaz, Turquoise, Yellow Aventurine</t>
        </is>
      </c>
      <c r="Q80" s="43" t="inlineStr">
        <is>
          <t>35</t>
        </is>
      </c>
      <c r="R80" s="43" t="inlineStr">
        <is>
          <t>Bergamot, Honeysuckle, Lavender, Neroli, Peppermint, Sandalwood In.</t>
        </is>
      </c>
      <c r="S80" s="43" t="inlineStr">
        <is>
          <t>6</t>
        </is>
      </c>
      <c r="T80" s="43" t="inlineStr">
        <is>
          <t>ANSUZ, PERTH, SOWILO, TIWAZ, LAGUZ, DAGAZ</t>
        </is>
      </c>
      <c r="U80" s="43" t="inlineStr">
        <is>
          <t>6</t>
        </is>
      </c>
      <c r="V80" s="43" t="inlineStr">
        <is>
          <t>ALL GODDESSES, ALL LUNAR GODDESSES, ARADIA, ARES, ARIANRHOD, BEFANA, CUPRA, DIANA, GOD AND GODDESS IN BALANCE, HECATE, KWAI-YIN, LOKI, LUNA, MOTHER GODESS, NUIT, RA, SELENE, SOL, SOPHIA, TITIANA</t>
        </is>
      </c>
      <c r="W80" s="43" t="inlineStr">
        <is>
          <t>26</t>
        </is>
      </c>
      <c r="X80" t="inlineStr">
        <is>
          <t>Open / Reveal</t>
        </is>
      </c>
      <c r="Y80" t="inlineStr">
        <is>
          <t>Open / Reveal</t>
        </is>
      </c>
      <c r="Z80" t="inlineStr">
        <is>
          <t>Smoke and Flame</t>
        </is>
      </c>
      <c r="AA80" t="inlineStr">
        <is>
          <t>Maybe</t>
        </is>
      </c>
      <c r="AB80" t="inlineStr">
        <is>
          <t>Yes</t>
        </is>
      </c>
      <c r="AC80" t="inlineStr">
        <is>
          <t>Yes</t>
        </is>
      </c>
      <c r="AD80" t="inlineStr">
        <is>
          <t>Open sight, smoke, dream roads and hidden knowledge.</t>
        </is>
      </c>
      <c r="AE80" t="inlineStr">
        <is>
          <t>App should pull this row's Greenman Energy Mode from the main item sheets. Use Secondary Energy Hint only if a serious/adult spell still needs a Draw/Hold/Release/Open/Transform flavour.</t>
        </is>
      </c>
      <c r="AF80" t="inlineStr">
        <is>
          <t>Carry it close on your person</t>
        </is>
      </c>
      <c r="AG80" t="inlineStr">
        <is>
          <t>Place at a shrine or altar</t>
        </is>
      </c>
    </row>
    <row r="81" ht="56.25" customHeight="1" s="56">
      <c r="A81" s="43" t="inlineStr">
        <is>
          <t>Divination, Dreams &amp; Psychic Work</t>
        </is>
      </c>
      <c r="B81" s="43" t="inlineStr">
        <is>
          <t>Visions</t>
        </is>
      </c>
      <c r="C81" s="43" t="inlineStr">
        <is>
          <t>Full</t>
        </is>
      </c>
      <c r="D81" s="43" t="inlineStr">
        <is>
          <t>Air</t>
        </is>
      </c>
      <c r="E81" s="43" t="inlineStr">
        <is>
          <t>Mercury</t>
        </is>
      </c>
      <c r="F81" s="43" t="inlineStr">
        <is>
          <t>Wednesday</t>
        </is>
      </c>
      <c r="G81" s="43" t="inlineStr">
        <is>
          <t>Violet/Purple</t>
        </is>
      </c>
      <c r="H81" s="43" t="inlineStr">
        <is>
          <t>East</t>
        </is>
      </c>
      <c r="I81" s="43" t="inlineStr">
        <is>
          <t>Projective</t>
        </is>
      </c>
      <c r="J81" s="43" t="inlineStr">
        <is>
          <t>Yellow, white, crimson</t>
        </is>
      </c>
      <c r="K81" s="43" t="inlineStr">
        <is>
          <t>5</t>
        </is>
      </c>
      <c r="L81" s="43" t="inlineStr">
        <is>
          <t>Communication, fulfilment</t>
        </is>
      </c>
      <c r="M81" s="43" t="inlineStr">
        <is>
          <t>1 or 3</t>
        </is>
      </c>
      <c r="N81" s="43" t="inlineStr">
        <is>
          <t>BASIL, BAY LAUREL, CAMPHOR SYNTHETIC, CARAWAY, COLTSFOOT, EYEBRIGHT, GOLDENROD, JASMINE, LAVENDER FLOWERS, LEMON VERBENA, MARIGOLD, MULLEIN, NUTMEG POWDER, OAKBARK RED, ORRIS ROOT POWDER, PEPPERMINT, ROSE BUDS RED, ROSE PETALS, ROSEMARY, THYME, VIOLET LEAVES, VIOLET</t>
        </is>
      </c>
      <c r="O81" s="43" t="inlineStr">
        <is>
          <t>22</t>
        </is>
      </c>
      <c r="P81" s="43" t="inlineStr">
        <is>
          <t>Amethyst, Opal pink, Peridot, Pyrite (Fool's Gold), Sugilite</t>
        </is>
      </c>
      <c r="Q81" s="43" t="inlineStr">
        <is>
          <t>5</t>
        </is>
      </c>
      <c r="R81" s="43" t="inlineStr">
        <is>
          <t>Frankincense, Sandalwood In., Lavender, Patchouli</t>
        </is>
      </c>
      <c r="S81" s="43" t="n">
        <v>4</v>
      </c>
      <c r="T81" s="43" t="inlineStr">
        <is>
          <t>ANSUZ, PERTH, SOWILO, MANNAZ</t>
        </is>
      </c>
      <c r="U81" s="43" t="inlineStr">
        <is>
          <t>4</t>
        </is>
      </c>
      <c r="V81" s="43" t="inlineStr">
        <is>
          <t>ALL GODDESSES, ALL LUNAR GODDESSES, ARADIA, ARES, ARIANRHOD, BEFANA, CUPRA, DIANA, GOD AND GODDESS IN BALANCE, HECATE, JUTERNA, KWAI-YIN, LUNA, MOTHER GODESS, NUIT, RA, SELENE, SOL, SOPHIA, TITIANA</t>
        </is>
      </c>
      <c r="W81" s="43" t="inlineStr">
        <is>
          <t>25</t>
        </is>
      </c>
      <c r="X81" t="inlineStr">
        <is>
          <t>Open / Reveal</t>
        </is>
      </c>
      <c r="Y81" t="inlineStr">
        <is>
          <t>Open / Reveal</t>
        </is>
      </c>
      <c r="Z81" t="inlineStr">
        <is>
          <t>Smoke and Flame</t>
        </is>
      </c>
      <c r="AA81" t="inlineStr">
        <is>
          <t>Maybe</t>
        </is>
      </c>
      <c r="AB81" t="inlineStr">
        <is>
          <t>Yes</t>
        </is>
      </c>
      <c r="AC81" t="inlineStr">
        <is>
          <t>Yes</t>
        </is>
      </c>
      <c r="AD81" t="inlineStr">
        <is>
          <t>Open sight, smoke, dream roads and hidden knowledge.</t>
        </is>
      </c>
      <c r="AE81" t="inlineStr">
        <is>
          <t>App should pull this row's Greenman Energy Mode from the main item sheets. Use Secondary Energy Hint only if a serious/adult spell still needs a Draw/Hold/Release/Open/Transform flavour.</t>
        </is>
      </c>
      <c r="AF81" t="inlineStr">
        <is>
          <t>Carry it close on your person</t>
        </is>
      </c>
      <c r="AG81" t="inlineStr">
        <is>
          <t>Place at a shrine or altar</t>
        </is>
      </c>
    </row>
    <row r="82" ht="23.25" customHeight="1" s="56">
      <c r="A82" s="43" t="inlineStr">
        <is>
          <t>Cleansing, Purification &amp; Healing</t>
        </is>
      </c>
      <c r="B82" s="43" t="inlineStr">
        <is>
          <t>Emotional healing</t>
        </is>
      </c>
      <c r="C82" s="43" t="inlineStr">
        <is>
          <t>Waning</t>
        </is>
      </c>
      <c r="D82" s="43" t="inlineStr">
        <is>
          <t>Water</t>
        </is>
      </c>
      <c r="E82" s="43" t="inlineStr">
        <is>
          <t>Moon</t>
        </is>
      </c>
      <c r="F82" s="43" t="inlineStr">
        <is>
          <t>Monday</t>
        </is>
      </c>
      <c r="G82" s="43" t="inlineStr">
        <is>
          <t>Blue</t>
        </is>
      </c>
      <c r="H82" s="43" t="inlineStr">
        <is>
          <t>West</t>
        </is>
      </c>
      <c r="I82" s="43" t="inlineStr">
        <is>
          <t>Receptive</t>
        </is>
      </c>
      <c r="J82" s="43" t="inlineStr">
        <is>
          <t>Blue, silver, grey, black, white</t>
        </is>
      </c>
      <c r="K82" s="43" t="inlineStr">
        <is>
          <t>2</t>
        </is>
      </c>
      <c r="L82" s="43" t="inlineStr">
        <is>
          <t>Duality, balance, couples, partnerships</t>
        </is>
      </c>
      <c r="M82" s="43" t="inlineStr">
        <is>
          <t>1, 3 or 7</t>
        </is>
      </c>
      <c r="N82" s="43" t="inlineStr">
        <is>
          <t>ROSE PETALS, LAVENDER FLOWERS, CHAMOMILE, LEMON BALM, COMFREY, HEARTSEASE, VIOLET LEAVES</t>
        </is>
      </c>
      <c r="O82" s="43" t="n">
        <v>7</v>
      </c>
      <c r="P82" s="43" t="inlineStr">
        <is>
          <t>quartz Rose, Rhodocrosite, Lepidolite, Rhodonite</t>
        </is>
      </c>
      <c r="Q82" s="43" t="n">
        <v>4</v>
      </c>
      <c r="R82" s="43" t="inlineStr">
        <is>
          <t>Rose, Lavender, Geranium, Melissa</t>
        </is>
      </c>
      <c r="S82" s="43" t="n">
        <v>4</v>
      </c>
      <c r="T82" s="43" t="inlineStr">
        <is>
          <t>BERKANAN, LAGUZ, WUNJO, INGWAZ</t>
        </is>
      </c>
      <c r="U82" s="43" t="n">
        <v>4</v>
      </c>
      <c r="V82" s="43" t="inlineStr">
        <is>
          <t>BRIGID, HYGIA, ISIS, VENUS, ODIN, MERCURY, FREY, PAN</t>
        </is>
      </c>
      <c r="W82" s="43" t="n">
        <v>8</v>
      </c>
      <c r="X82" t="inlineStr">
        <is>
          <t>Hold</t>
        </is>
      </c>
      <c r="Y82" t="inlineStr">
        <is>
          <t>Hold</t>
        </is>
      </c>
      <c r="Z82" t="inlineStr">
        <is>
          <t>Smoke and Flame</t>
        </is>
      </c>
      <c r="AA82" t="inlineStr">
        <is>
          <t>Maybe</t>
        </is>
      </c>
      <c r="AB82" t="inlineStr">
        <is>
          <t>Yes</t>
        </is>
      </c>
      <c r="AC82" t="inlineStr">
        <is>
          <t>Yes</t>
        </is>
      </c>
      <c r="AD82" t="inlineStr">
        <is>
          <t>Clear, cleanse, restore or soothe depending on chosen spell.</t>
        </is>
      </c>
      <c r="AE82" t="inlineStr">
        <is>
          <t>App should pull this row's Greenman Energy Mode from the main item sheets. Use Secondary Energy Hint only if a serious/adult spell still needs a Draw/Hold/Release/Open/Transform flavour.</t>
        </is>
      </c>
      <c r="AF82" t="inlineStr">
        <is>
          <t>Carry it close on your person</t>
        </is>
      </c>
      <c r="AG82" t="inlineStr">
        <is>
          <t>Leave in running water | Bury in the earth</t>
        </is>
      </c>
    </row>
    <row r="83" ht="23.25" customHeight="1" s="56">
      <c r="A83" s="43" t="inlineStr">
        <is>
          <t>Cleansing, Purification &amp; Healing</t>
        </is>
      </c>
      <c r="B83" s="43" t="inlineStr">
        <is>
          <t>Grief working</t>
        </is>
      </c>
      <c r="C83" s="43" t="inlineStr">
        <is>
          <t>Waning</t>
        </is>
      </c>
      <c r="D83" s="43" t="inlineStr">
        <is>
          <t>Water</t>
        </is>
      </c>
      <c r="E83" s="43" t="inlineStr">
        <is>
          <t>Moon</t>
        </is>
      </c>
      <c r="F83" s="43" t="inlineStr">
        <is>
          <t>Monday</t>
        </is>
      </c>
      <c r="G83" s="43" t="inlineStr">
        <is>
          <t>White</t>
        </is>
      </c>
      <c r="H83" s="43" t="inlineStr">
        <is>
          <t>West</t>
        </is>
      </c>
      <c r="I83" s="43" t="inlineStr">
        <is>
          <t>Receptive</t>
        </is>
      </c>
      <c r="J83" s="43" t="inlineStr">
        <is>
          <t>Blue, silver, grey, black, white</t>
        </is>
      </c>
      <c r="K83" s="43" t="inlineStr">
        <is>
          <t>2</t>
        </is>
      </c>
      <c r="L83" s="43" t="inlineStr">
        <is>
          <t>Duality, balance, couples, partnerships</t>
        </is>
      </c>
      <c r="M83" s="43" t="inlineStr">
        <is>
          <t>1, 3 or 7</t>
        </is>
      </c>
      <c r="N83" s="43" t="inlineStr">
        <is>
          <t>ROSE PETALS, VIOLET LEAVES, CHAMOMILE, LEMON BALM, WILLOW BARK, MYRRH GUM, ROSEMARY</t>
        </is>
      </c>
      <c r="O83" s="43" t="n">
        <v>7</v>
      </c>
      <c r="P83" s="43" t="inlineStr">
        <is>
          <t>quartz Rose, Apache Tears, Lepidolite, Obsidian</t>
        </is>
      </c>
      <c r="Q83" s="43" t="n">
        <v>4</v>
      </c>
      <c r="R83" s="43" t="inlineStr">
        <is>
          <t>Sandalwood w.i., Rose, Lavender, Frankincense</t>
        </is>
      </c>
      <c r="S83" s="43" t="n">
        <v>4</v>
      </c>
      <c r="T83" s="43" t="inlineStr">
        <is>
          <t>PERTH, LAGUZ, ISA, MANNAZ</t>
        </is>
      </c>
      <c r="U83" s="43" t="n">
        <v>4</v>
      </c>
      <c r="V83" s="43" t="inlineStr">
        <is>
          <t>PERSEPHONE, ISIS, HEL, CERRIDWEN, ODIN, PLUTO, SATURN, URD</t>
        </is>
      </c>
      <c r="W83" s="43" t="n">
        <v>8</v>
      </c>
      <c r="X83" t="inlineStr">
        <is>
          <t>Hold</t>
        </is>
      </c>
      <c r="Y83" t="inlineStr">
        <is>
          <t>Hold</t>
        </is>
      </c>
      <c r="Z83" t="inlineStr">
        <is>
          <t>Smoke and Flame</t>
        </is>
      </c>
      <c r="AA83" t="inlineStr">
        <is>
          <t>Maybe</t>
        </is>
      </c>
      <c r="AB83" t="inlineStr">
        <is>
          <t>Yes</t>
        </is>
      </c>
      <c r="AC83" t="inlineStr">
        <is>
          <t>Yes</t>
        </is>
      </c>
      <c r="AD83" t="inlineStr">
        <is>
          <t>Clear, cleanse, restore or soothe depending on chosen spell.</t>
        </is>
      </c>
      <c r="AE83" t="inlineStr">
        <is>
          <t>App should pull this row's Greenman Energy Mode from the main item sheets. Use Secondary Energy Hint only if a serious/adult spell still needs a Draw/Hold/Release/Open/Transform flavour.</t>
        </is>
      </c>
      <c r="AF83" t="inlineStr">
        <is>
          <t>Leave in running water</t>
        </is>
      </c>
      <c r="AG83" t="inlineStr">
        <is>
          <t>Bury in the earth | Burn and release, no remains</t>
        </is>
      </c>
    </row>
    <row r="84" ht="34.5" customHeight="1" s="56">
      <c r="A84" s="43" t="inlineStr">
        <is>
          <t>Cleansing, Purification &amp; Healing</t>
        </is>
      </c>
      <c r="B84" s="43" t="inlineStr">
        <is>
          <t>Sleep</t>
        </is>
      </c>
      <c r="C84" s="43" t="inlineStr">
        <is>
          <t>Waning</t>
        </is>
      </c>
      <c r="D84" s="43" t="inlineStr">
        <is>
          <t>Water</t>
        </is>
      </c>
      <c r="E84" s="43" t="inlineStr">
        <is>
          <t>Moon</t>
        </is>
      </c>
      <c r="F84" s="43" t="inlineStr">
        <is>
          <t>Monday</t>
        </is>
      </c>
      <c r="G84" s="43" t="inlineStr">
        <is>
          <t>Blue</t>
        </is>
      </c>
      <c r="H84" s="43" t="inlineStr">
        <is>
          <t>West</t>
        </is>
      </c>
      <c r="I84" s="43" t="inlineStr">
        <is>
          <t>Receptive</t>
        </is>
      </c>
      <c r="J84" s="43" t="inlineStr">
        <is>
          <t>Blue, silver, grey, black, white</t>
        </is>
      </c>
      <c r="K84" s="43" t="inlineStr">
        <is>
          <t>2</t>
        </is>
      </c>
      <c r="L84" s="43" t="inlineStr">
        <is>
          <t>Duality, balance, couples, partnerships</t>
        </is>
      </c>
      <c r="M84" s="43" t="inlineStr">
        <is>
          <t>1, 3 or 7</t>
        </is>
      </c>
      <c r="N84" s="43" t="inlineStr">
        <is>
          <t>LAVENDER FLOWERS, CHAMOMILE, VALERIAN ROOT, LEMON BALM, WORMWOOD, ROSE BUDS PINK, THYME</t>
        </is>
      </c>
      <c r="O84" s="43" t="n">
        <v>7</v>
      </c>
      <c r="P84" s="43" t="inlineStr">
        <is>
          <t>Amethyst, Moonstone, Lepidolite, Howlite</t>
        </is>
      </c>
      <c r="Q84" s="43" t="n">
        <v>4</v>
      </c>
      <c r="R84" s="43" t="inlineStr">
        <is>
          <t>Lavender, Sandalwood In., Melissa, Melissa</t>
        </is>
      </c>
      <c r="S84" s="43" t="n">
        <v>4</v>
      </c>
      <c r="T84" s="43" t="inlineStr">
        <is>
          <t>ISA, LAGUZ, PERTH, MANNAZ</t>
        </is>
      </c>
      <c r="U84" s="43" t="n">
        <v>4</v>
      </c>
      <c r="V84" s="43" t="inlineStr">
        <is>
          <t>SELENE, LUNA, HECATE, DIANA, ODIN, MERCURY, SATURN</t>
        </is>
      </c>
      <c r="W84" s="43" t="n">
        <v>7</v>
      </c>
      <c r="X84" t="inlineStr">
        <is>
          <t>Hold</t>
        </is>
      </c>
      <c r="Y84" t="inlineStr">
        <is>
          <t>Hold</t>
        </is>
      </c>
      <c r="Z84" t="inlineStr">
        <is>
          <t>Smoke and Flame</t>
        </is>
      </c>
      <c r="AA84" t="inlineStr">
        <is>
          <t>Maybe</t>
        </is>
      </c>
      <c r="AB84" t="inlineStr">
        <is>
          <t>Yes</t>
        </is>
      </c>
      <c r="AC84" t="inlineStr">
        <is>
          <t>Yes</t>
        </is>
      </c>
      <c r="AD84" t="inlineStr">
        <is>
          <t>Clear, cleanse, restore or soothe depending on chosen spell.</t>
        </is>
      </c>
      <c r="AE84" t="inlineStr">
        <is>
          <t>App should pull this row's Greenman Energy Mode from the main item sheets. Use Secondary Energy Hint only if a serious/adult spell still needs a Draw/Hold/Release/Open/Transform flavour.</t>
        </is>
      </c>
      <c r="AF84" t="inlineStr">
        <is>
          <t>Keep it hidden and safe</t>
        </is>
      </c>
      <c r="AG84" t="inlineStr">
        <is>
          <t>Hang it in the home | Carry it close on your person</t>
        </is>
      </c>
    </row>
    <row r="85" ht="23.25" customHeight="1" s="56">
      <c r="A85" s="43" t="inlineStr">
        <is>
          <t>Cleansing, Purification &amp; Healing</t>
        </is>
      </c>
      <c r="B85" s="43" t="inlineStr">
        <is>
          <t>Aura cleansing</t>
        </is>
      </c>
      <c r="C85" s="43" t="inlineStr">
        <is>
          <t>Waning</t>
        </is>
      </c>
      <c r="D85" s="43" t="inlineStr">
        <is>
          <t>Air</t>
        </is>
      </c>
      <c r="E85" s="43" t="inlineStr">
        <is>
          <t>Moon</t>
        </is>
      </c>
      <c r="F85" s="43" t="inlineStr">
        <is>
          <t>Monday</t>
        </is>
      </c>
      <c r="G85" s="43" t="inlineStr">
        <is>
          <t>White</t>
        </is>
      </c>
      <c r="H85" s="43" t="inlineStr">
        <is>
          <t>East</t>
        </is>
      </c>
      <c r="I85" s="43" t="inlineStr">
        <is>
          <t>Projective</t>
        </is>
      </c>
      <c r="J85" s="43" t="inlineStr">
        <is>
          <t>Yellow, white, crimson</t>
        </is>
      </c>
      <c r="K85" s="43" t="inlineStr">
        <is>
          <t>2</t>
        </is>
      </c>
      <c r="L85" s="43" t="inlineStr">
        <is>
          <t>Duality, balance, couples, partnerships</t>
        </is>
      </c>
      <c r="M85" s="43" t="inlineStr">
        <is>
          <t>1, 3 or 7</t>
        </is>
      </c>
      <c r="N85" s="43" t="inlineStr">
        <is>
          <t>SAGE, LAVENDER FLOWERS, ROSEMARY, HYSSOP, AGRIMONY, SEA SALT, FRANKINCENSE</t>
        </is>
      </c>
      <c r="O85" s="43" t="n">
        <v>7</v>
      </c>
      <c r="P85" s="43" t="inlineStr">
        <is>
          <t>Amethyst, Quartz Clear, Obsidian, quartz smokey</t>
        </is>
      </c>
      <c r="Q85" s="43" t="n">
        <v>4</v>
      </c>
      <c r="R85" s="43" t="inlineStr">
        <is>
          <t>Lavender, Frankincense, Rosemary, Lavender</t>
        </is>
      </c>
      <c r="S85" s="43" t="n">
        <v>4</v>
      </c>
      <c r="T85" s="43" t="inlineStr">
        <is>
          <t>THURISAZ, ALGIZ, ISA, HAGALAZ</t>
        </is>
      </c>
      <c r="U85" s="43" t="n">
        <v>4</v>
      </c>
      <c r="V85" s="43" t="inlineStr">
        <is>
          <t>BRIGID, HYGIA, ISIS, HECATE, THOR, ODIN, MERCURY, MARS</t>
        </is>
      </c>
      <c r="W85" s="43" t="n">
        <v>8</v>
      </c>
      <c r="X85" t="inlineStr">
        <is>
          <t>Release</t>
        </is>
      </c>
      <c r="Y85" t="inlineStr">
        <is>
          <t>Release</t>
        </is>
      </c>
      <c r="Z85" t="inlineStr">
        <is>
          <t>Smoke and Flame</t>
        </is>
      </c>
      <c r="AA85" t="inlineStr">
        <is>
          <t>Maybe</t>
        </is>
      </c>
      <c r="AB85" t="inlineStr">
        <is>
          <t>Yes</t>
        </is>
      </c>
      <c r="AC85" t="inlineStr">
        <is>
          <t>Yes</t>
        </is>
      </c>
      <c r="AD85" t="inlineStr">
        <is>
          <t>Clear, cleanse, restore or soothe depending on chosen spell.</t>
        </is>
      </c>
      <c r="AE85" t="inlineStr">
        <is>
          <t>App should pull this row's Greenman Energy Mode from the main item sheets. Use Secondary Energy Hint only if a serious/adult spell still needs a Draw/Hold/Release/Open/Transform flavour.</t>
        </is>
      </c>
      <c r="AF85" t="inlineStr">
        <is>
          <t>Burn and release, no remains</t>
        </is>
      </c>
      <c r="AG85" t="inlineStr">
        <is>
          <t>Leave in running water | Bury in the earth</t>
        </is>
      </c>
    </row>
    <row r="86" ht="67.5" customHeight="1" s="56">
      <c r="A86" s="43" t="inlineStr">
        <is>
          <t>Cleansing, Purification &amp; Healing</t>
        </is>
      </c>
      <c r="B86" s="43" t="inlineStr">
        <is>
          <t>Dispelling melancholy</t>
        </is>
      </c>
      <c r="C86" s="43" t="inlineStr">
        <is>
          <t>Waning</t>
        </is>
      </c>
      <c r="D86" s="43" t="inlineStr">
        <is>
          <t>Air</t>
        </is>
      </c>
      <c r="E86" s="43" t="inlineStr">
        <is>
          <t>Mercury</t>
        </is>
      </c>
      <c r="F86" s="43" t="inlineStr">
        <is>
          <t>Wednesday</t>
        </is>
      </c>
      <c r="G86" s="43" t="inlineStr">
        <is>
          <t>Yellow</t>
        </is>
      </c>
      <c r="H86" s="43" t="inlineStr">
        <is>
          <t>East</t>
        </is>
      </c>
      <c r="I86" s="43" t="inlineStr">
        <is>
          <t>Projective</t>
        </is>
      </c>
      <c r="J86" s="43" t="inlineStr">
        <is>
          <t>Yellow, white, crimson</t>
        </is>
      </c>
      <c r="K86" s="43" t="inlineStr">
        <is>
          <t>5</t>
        </is>
      </c>
      <c r="L86" s="43" t="inlineStr">
        <is>
          <t>Communication, fulfilment</t>
        </is>
      </c>
      <c r="M86" s="43" t="inlineStr">
        <is>
          <t>1, 3 or 7</t>
        </is>
      </c>
      <c r="N86" s="43" t="inlineStr">
        <is>
          <t>AGRIMONY, ANISE, BASIL, BAY LAUREL, CHIVE, CLOVES, COLTSFOOT, DILL, DRAGON'S BLOOD, ELDERFLOWER, FENNEL (SEED), GINGER ROOT, HOREHOUND, LAVENDER FLOWERS, LEMONGRASS, LINSEED, MULLEIN, MUSTARD SEED WHITE, MYRRH GUM, OAKLEAF, SWEET MYRRH, PENNYROYAL, PEPPERMINT, PINE NUT, ROSEMARY, RUE, SAGE, SANDALWOOD RED, TANSY, VERVAIN, BLACK SALT</t>
        </is>
      </c>
      <c r="O86" s="43" t="inlineStr">
        <is>
          <t>31</t>
        </is>
      </c>
      <c r="P86" s="43" t="inlineStr">
        <is>
          <t>Obsidian, obsidian snowflake, Tourmalinee Black , Turquoise, Amber</t>
        </is>
      </c>
      <c r="Q86" s="43" t="inlineStr">
        <is>
          <t>5</t>
        </is>
      </c>
      <c r="R86" s="43" t="inlineStr">
        <is>
          <t>Frankincense</t>
        </is>
      </c>
      <c r="S86" s="43" t="inlineStr">
        <is>
          <t>1</t>
        </is>
      </c>
      <c r="T86" s="43" t="inlineStr">
        <is>
          <t>THURISAZ, KAUNO, HAGALAZ, ALGIZ</t>
        </is>
      </c>
      <c r="U86" s="43" t="inlineStr">
        <is>
          <t>4</t>
        </is>
      </c>
      <c r="V86" s="43" t="inlineStr">
        <is>
          <t>AESCULAPUS, AMATERASU, AMBERELLA, ARTEMIS, ASTARTE, BALDOR, BONA DEA, BRIGID, CUPRA, DIANA, DIONYSUS, FLIDAIS, HECATE, HYGIA, ISIS, JUTERNA, KWAI-YIN, KWAN-YIN AND BUDDHA, LUNA, MARS</t>
        </is>
      </c>
      <c r="W86" s="43" t="inlineStr">
        <is>
          <t>28</t>
        </is>
      </c>
      <c r="X86" t="inlineStr">
        <is>
          <t>Release</t>
        </is>
      </c>
      <c r="Y86" t="inlineStr">
        <is>
          <t>Release</t>
        </is>
      </c>
      <c r="Z86" t="inlineStr">
        <is>
          <t>Smoke and Flame</t>
        </is>
      </c>
      <c r="AA86" t="inlineStr">
        <is>
          <t>Maybe</t>
        </is>
      </c>
      <c r="AB86" t="inlineStr">
        <is>
          <t>Yes</t>
        </is>
      </c>
      <c r="AC86" t="inlineStr">
        <is>
          <t>Yes</t>
        </is>
      </c>
      <c r="AD86" t="inlineStr">
        <is>
          <t>Clear, cleanse, restore or soothe depending on chosen spell.</t>
        </is>
      </c>
      <c r="AE86" t="inlineStr">
        <is>
          <t>App should pull this row's Greenman Energy Mode from the main item sheets. Use Secondary Energy Hint only if a serious/adult spell still needs a Draw/Hold/Release/Open/Transform flavour.</t>
        </is>
      </c>
      <c r="AF86" t="inlineStr">
        <is>
          <t>Burn and release, no remains</t>
        </is>
      </c>
      <c r="AG86" t="inlineStr">
        <is>
          <t>Leave in running water | Bury in the earth</t>
        </is>
      </c>
    </row>
    <row r="87" ht="45.75" customHeight="1" s="56">
      <c r="A87" s="43" t="inlineStr">
        <is>
          <t>Power, Strength &amp; Confidence</t>
        </is>
      </c>
      <c r="B87" s="43" t="inlineStr">
        <is>
          <t>Leadership</t>
        </is>
      </c>
      <c r="C87" s="43" t="inlineStr">
        <is>
          <t>Waxing</t>
        </is>
      </c>
      <c r="D87" s="43" t="inlineStr">
        <is>
          <t>Fire</t>
        </is>
      </c>
      <c r="E87" s="43" t="inlineStr">
        <is>
          <t>Sun</t>
        </is>
      </c>
      <c r="F87" s="43" t="inlineStr">
        <is>
          <t>Sunday</t>
        </is>
      </c>
      <c r="G87" s="43" t="inlineStr">
        <is>
          <t>Gold</t>
        </is>
      </c>
      <c r="H87" s="43" t="inlineStr">
        <is>
          <t>South</t>
        </is>
      </c>
      <c r="I87" s="43" t="inlineStr">
        <is>
          <t>Projective</t>
        </is>
      </c>
      <c r="J87" s="43" t="inlineStr">
        <is>
          <t>Red, gold, crimson, orange, white</t>
        </is>
      </c>
      <c r="K87" s="43" t="inlineStr">
        <is>
          <t>1</t>
        </is>
      </c>
      <c r="L87" s="43" t="inlineStr">
        <is>
          <t>Developing the self, wholeness, unity, beginnings</t>
        </is>
      </c>
      <c r="M87" s="43" t="inlineStr">
        <is>
          <t>1 or 3</t>
        </is>
      </c>
      <c r="N87" s="43" t="inlineStr">
        <is>
          <t>ACORN, BASIL, CALAMUS ROOT, DILL, FENNEL (SEED), GARLIC POWDER, OAKBARK RED, ROSEMARY, THYME</t>
        </is>
      </c>
      <c r="O87" s="43" t="inlineStr">
        <is>
          <t>9</t>
        </is>
      </c>
      <c r="P87" s="43" t="inlineStr">
        <is>
          <t>Aragonite, Bloodstone, Carnelian, Flourite, Goldstone, Kyanite, Malachite, Rhodonite, Ruby, Sunstone, Tiger Eye gold, Topaz, Unakite, Yellow Aventurine, Amber</t>
        </is>
      </c>
      <c r="Q87" s="43" t="inlineStr">
        <is>
          <t>15</t>
        </is>
      </c>
      <c r="R87" s="43" t="inlineStr">
        <is>
          <t>Bergamot, Neroli, Thyme</t>
        </is>
      </c>
      <c r="S87" s="43" t="inlineStr">
        <is>
          <t>3</t>
        </is>
      </c>
      <c r="T87" s="43" t="inlineStr">
        <is>
          <t>FEHU, URUZ, WUNJO, NAUDIZ, TIWAZ</t>
        </is>
      </c>
      <c r="U87" s="43" t="inlineStr">
        <is>
          <t>5</t>
        </is>
      </c>
      <c r="V87" s="43" t="inlineStr">
        <is>
          <t>ALL, ALL GODDESSES, ALL LUNAR GODDESSES, AMATERASU, AMBERELLA, APHRODITE, ARES, ASTARTE, BALDUR &amp; HATHOR, BUDDHA, CUPID, CUPRA, CYBELE, KWAN-YIN AND BUDDHA, LATONA, MAAT, MARS, MINERVA, MOTHER GODDESS, PARVATI</t>
        </is>
      </c>
      <c r="W87" s="43" t="inlineStr">
        <is>
          <t>30</t>
        </is>
      </c>
      <c r="X87" t="inlineStr">
        <is>
          <t>Hold</t>
        </is>
      </c>
      <c r="Y87" t="inlineStr">
        <is>
          <t>Hold</t>
        </is>
      </c>
      <c r="Z87" t="inlineStr">
        <is>
          <t>Charm Bag</t>
        </is>
      </c>
      <c r="AA87" t="inlineStr">
        <is>
          <t>Maybe</t>
        </is>
      </c>
      <c r="AB87" t="inlineStr">
        <is>
          <t>Maybe</t>
        </is>
      </c>
      <c r="AC87" t="inlineStr">
        <is>
          <t>Yes</t>
        </is>
      </c>
      <c r="AD87" t="inlineStr">
        <is>
          <t>Carry courage, strength, focus or confidence close to the body.</t>
        </is>
      </c>
      <c r="AE87" t="inlineStr">
        <is>
          <t>App should pull this row's Greenman Energy Mode from the main item sheets. Use Secondary Energy Hint only if a serious/adult spell still needs a Draw/Hold/Release/Open/Transform flavour.</t>
        </is>
      </c>
      <c r="AF87" t="inlineStr">
        <is>
          <t>Carry it close on your person</t>
        </is>
      </c>
      <c r="AG87" t="inlineStr">
        <is>
          <t>Place where it can be seen</t>
        </is>
      </c>
    </row>
    <row r="88" ht="23.25" customHeight="1" s="56">
      <c r="A88" s="43" t="inlineStr">
        <is>
          <t>Power, Strength &amp; Confidence</t>
        </is>
      </c>
      <c r="B88" s="43" t="inlineStr">
        <is>
          <t>Justice / Legal matters</t>
        </is>
      </c>
      <c r="C88" s="43" t="inlineStr">
        <is>
          <t>Waxing</t>
        </is>
      </c>
      <c r="D88" s="43" t="inlineStr">
        <is>
          <t>Air</t>
        </is>
      </c>
      <c r="E88" s="43" t="inlineStr">
        <is>
          <t>Jupiter</t>
        </is>
      </c>
      <c r="F88" s="43" t="inlineStr">
        <is>
          <t>Thursday</t>
        </is>
      </c>
      <c r="G88" s="43" t="inlineStr">
        <is>
          <t>Blue</t>
        </is>
      </c>
      <c r="H88" s="43" t="inlineStr">
        <is>
          <t>East</t>
        </is>
      </c>
      <c r="I88" s="43" t="inlineStr">
        <is>
          <t>Projective</t>
        </is>
      </c>
      <c r="J88" s="43" t="inlineStr">
        <is>
          <t>Yellow, white, crimson</t>
        </is>
      </c>
      <c r="K88" s="43" t="inlineStr">
        <is>
          <t>3</t>
        </is>
      </c>
      <c r="L88" s="43" t="inlineStr">
        <is>
          <t>Health, triple aspects, psychism</t>
        </is>
      </c>
      <c r="M88" s="43" t="inlineStr">
        <is>
          <t>1 or 3</t>
        </is>
      </c>
      <c r="N88" s="43" t="inlineStr">
        <is>
          <t>MARIGOLD, BASIL, OAKBARK RED, BAY LAUREL, ROSEMARY, GINGER ROOT, MARIGOLD</t>
        </is>
      </c>
      <c r="O88" s="43" t="n">
        <v>7</v>
      </c>
      <c r="P88" s="43" t="inlineStr">
        <is>
          <t>Bloodstone, Sapphire, Malachite, Obsidian</t>
        </is>
      </c>
      <c r="Q88" s="43" t="n">
        <v>4</v>
      </c>
      <c r="R88" s="43" t="inlineStr">
        <is>
          <t>Frankincense, Bergamot, Cedarwood, Orange Bitter</t>
        </is>
      </c>
      <c r="S88" s="43" t="n">
        <v>4</v>
      </c>
      <c r="T88" s="43" t="inlineStr">
        <is>
          <t>TIWAZ, SOWILO, MANNAZ, OTHILA</t>
        </is>
      </c>
      <c r="U88" s="43" t="n">
        <v>4</v>
      </c>
      <c r="V88" s="43" t="inlineStr">
        <is>
          <t>MAAT, MINERVA, ISIS, MINERVA, JUPITER, ZEUS, THOR, ODIN</t>
        </is>
      </c>
      <c r="W88" s="43" t="n">
        <v>8</v>
      </c>
      <c r="X88" t="inlineStr">
        <is>
          <t>Hold</t>
        </is>
      </c>
      <c r="Y88" t="inlineStr">
        <is>
          <t>Hold</t>
        </is>
      </c>
      <c r="Z88" t="inlineStr">
        <is>
          <t>Charm Bag</t>
        </is>
      </c>
      <c r="AA88" t="inlineStr">
        <is>
          <t>Maybe</t>
        </is>
      </c>
      <c r="AB88" t="inlineStr">
        <is>
          <t>Maybe</t>
        </is>
      </c>
      <c r="AC88" t="inlineStr">
        <is>
          <t>Yes</t>
        </is>
      </c>
      <c r="AD88" t="inlineStr">
        <is>
          <t>Carry courage, strength, focus or confidence close to the body.</t>
        </is>
      </c>
      <c r="AE88" t="inlineStr">
        <is>
          <t>App should pull this row's Greenman Energy Mode from the main item sheets. Use Secondary Energy Hint only if a serious/adult spell still needs a Draw/Hold/Release/Open/Transform flavour.</t>
        </is>
      </c>
      <c r="AF88" t="inlineStr">
        <is>
          <t>Carry it close on your person</t>
        </is>
      </c>
      <c r="AG88" t="inlineStr">
        <is>
          <t>Place at a shrine or altar | Keep it hidden and safe</t>
        </is>
      </c>
    </row>
    <row r="89" ht="45.75" customHeight="1" s="56">
      <c r="A89" s="43" t="inlineStr">
        <is>
          <t>Power, Strength &amp; Confidence</t>
        </is>
      </c>
      <c r="B89" s="43" t="inlineStr">
        <is>
          <t>Courage</t>
        </is>
      </c>
      <c r="C89" s="43" t="inlineStr">
        <is>
          <t>Waxing</t>
        </is>
      </c>
      <c r="D89" s="43" t="inlineStr">
        <is>
          <t>Fire</t>
        </is>
      </c>
      <c r="E89" s="43" t="inlineStr">
        <is>
          <t>Mars</t>
        </is>
      </c>
      <c r="F89" s="43" t="inlineStr">
        <is>
          <t>Tuesday</t>
        </is>
      </c>
      <c r="G89" s="43" t="inlineStr">
        <is>
          <t>Red</t>
        </is>
      </c>
      <c r="H89" s="43" t="inlineStr">
        <is>
          <t>South</t>
        </is>
      </c>
      <c r="I89" s="43" t="inlineStr">
        <is>
          <t>Projective</t>
        </is>
      </c>
      <c r="J89" s="43" t="inlineStr">
        <is>
          <t>Red, gold, crimson, orange, white</t>
        </is>
      </c>
      <c r="K89" s="43" t="inlineStr">
        <is>
          <t>9</t>
        </is>
      </c>
      <c r="L89" s="43" t="inlineStr">
        <is>
          <t>Aggression, conflict, dominance</t>
        </is>
      </c>
      <c r="M89" s="43" t="inlineStr">
        <is>
          <t>1 or 3</t>
        </is>
      </c>
      <c r="N89" s="43" t="inlineStr">
        <is>
          <t>ACORN, BASIL, CALAMUS ROOT, DILL, FENNEL (SEED), GARLIC POWDER, OAKBARK RED, ROSEMARY, THYME</t>
        </is>
      </c>
      <c r="O89" s="43" t="inlineStr">
        <is>
          <t>9</t>
        </is>
      </c>
      <c r="P89" s="43" t="inlineStr">
        <is>
          <t>Aragonite, Bloodstone, Carnelian, Flourite, Goldstone, Kyanite, Malachite, Rhodonite, Ruby, Sunstone, Tiger Eye gold, Topaz, Unakite, Yellow Aventurine, Amber</t>
        </is>
      </c>
      <c r="Q89" s="43" t="inlineStr">
        <is>
          <t>15</t>
        </is>
      </c>
      <c r="R89" s="43" t="inlineStr">
        <is>
          <t>Bergamot, Neroli, Thyme</t>
        </is>
      </c>
      <c r="S89" s="43" t="inlineStr">
        <is>
          <t>3</t>
        </is>
      </c>
      <c r="T89" s="43" t="inlineStr">
        <is>
          <t>FEHU, URUZ, WUNJO, NAUDIZ, TIWAZ</t>
        </is>
      </c>
      <c r="U89" s="43" t="inlineStr">
        <is>
          <t>5</t>
        </is>
      </c>
      <c r="V89" s="43" t="inlineStr">
        <is>
          <t>ALL, ALL GODDESSES, ALL LUNAR GODDESSES, AMATERASU, AMBERELLA, APHRODITE, ARES, ASTARTE, BALDUR &amp; HATHOR, BUDDHA, CUPID, CUPRA, CYBELE, KWAN-YIN AND BUDDHA, LATONA, MAAT, MARS, MINERVA, MOTHER GODDESS, PARVATI</t>
        </is>
      </c>
      <c r="W89" s="43" t="inlineStr">
        <is>
          <t>30</t>
        </is>
      </c>
      <c r="X89" t="inlineStr">
        <is>
          <t>Hold</t>
        </is>
      </c>
      <c r="Y89" t="inlineStr">
        <is>
          <t>Hold</t>
        </is>
      </c>
      <c r="Z89" t="inlineStr">
        <is>
          <t>Charm Bag</t>
        </is>
      </c>
      <c r="AA89" t="inlineStr">
        <is>
          <t>Maybe</t>
        </is>
      </c>
      <c r="AB89" t="inlineStr">
        <is>
          <t>Maybe</t>
        </is>
      </c>
      <c r="AC89" t="inlineStr">
        <is>
          <t>Yes</t>
        </is>
      </c>
      <c r="AD89" t="inlineStr">
        <is>
          <t>Carry courage, strength, focus or confidence close to the body.</t>
        </is>
      </c>
      <c r="AE89" t="inlineStr">
        <is>
          <t>App should pull this row's Greenman Energy Mode from the main item sheets. Use Secondary Energy Hint only if a serious/adult spell still needs a Draw/Hold/Release/Open/Transform flavour.</t>
        </is>
      </c>
      <c r="AF89" t="inlineStr">
        <is>
          <t>Carry it close on your person</t>
        </is>
      </c>
      <c r="AG89" t="inlineStr">
        <is>
          <t>Place where it can be seen</t>
        </is>
      </c>
    </row>
    <row r="90" ht="23.25" customHeight="1" s="56">
      <c r="A90" s="43" t="inlineStr">
        <is>
          <t>Power, Strength &amp; Confidence</t>
        </is>
      </c>
      <c r="B90" s="43" t="inlineStr">
        <is>
          <t>Memory &amp; Focus</t>
        </is>
      </c>
      <c r="C90" s="43" t="inlineStr">
        <is>
          <t>Waxing</t>
        </is>
      </c>
      <c r="D90" s="43" t="inlineStr">
        <is>
          <t>Air</t>
        </is>
      </c>
      <c r="E90" s="43" t="inlineStr">
        <is>
          <t>Mercury</t>
        </is>
      </c>
      <c r="F90" s="43" t="inlineStr">
        <is>
          <t>Wednesday</t>
        </is>
      </c>
      <c r="G90" s="43" t="inlineStr">
        <is>
          <t>Yellow</t>
        </is>
      </c>
      <c r="H90" s="43" t="inlineStr">
        <is>
          <t>East</t>
        </is>
      </c>
      <c r="I90" s="43" t="inlineStr">
        <is>
          <t>Projective</t>
        </is>
      </c>
      <c r="J90" s="43" t="inlineStr">
        <is>
          <t>Yellow, white, crimson</t>
        </is>
      </c>
      <c r="K90" s="43" t="inlineStr">
        <is>
          <t>5</t>
        </is>
      </c>
      <c r="L90" s="43" t="inlineStr">
        <is>
          <t>Communication, fulfilment</t>
        </is>
      </c>
      <c r="M90" s="43" t="inlineStr">
        <is>
          <t>1 or 3</t>
        </is>
      </c>
      <c r="N90" s="43" t="inlineStr">
        <is>
          <t>ROSEMARY, BASIL, PEPPERMINT, LEMON BALM, FENNEL (SEED), BAY LAUREL, SAGE</t>
        </is>
      </c>
      <c r="O90" s="43" t="n">
        <v>7</v>
      </c>
      <c r="P90" s="43" t="inlineStr">
        <is>
          <t>Flourite, Citrine, Quartz Clear, Sodalite</t>
        </is>
      </c>
      <c r="Q90" s="43" t="n">
        <v>4</v>
      </c>
      <c r="R90" s="43" t="inlineStr">
        <is>
          <t>Peppermint, Rosemary, Lemon, Bergamot</t>
        </is>
      </c>
      <c r="S90" s="43" t="n">
        <v>4</v>
      </c>
      <c r="T90" s="43" t="inlineStr">
        <is>
          <t>ANSUZ, MANNAZ, EHWAZ, TIWAZ</t>
        </is>
      </c>
      <c r="U90" s="43" t="n">
        <v>4</v>
      </c>
      <c r="V90" s="43" t="inlineStr">
        <is>
          <t>MERCURY, MINERVA, ISIS, BRIGID, ODIN, MERCURY, MERCURY, SOL</t>
        </is>
      </c>
      <c r="W90" s="43" t="n">
        <v>8</v>
      </c>
      <c r="X90" t="inlineStr">
        <is>
          <t>Hold</t>
        </is>
      </c>
      <c r="Y90" t="inlineStr">
        <is>
          <t>Hold</t>
        </is>
      </c>
      <c r="Z90" t="inlineStr">
        <is>
          <t>Charm Bag</t>
        </is>
      </c>
      <c r="AA90" t="inlineStr">
        <is>
          <t>Maybe</t>
        </is>
      </c>
      <c r="AB90" t="inlineStr">
        <is>
          <t>Maybe</t>
        </is>
      </c>
      <c r="AC90" t="inlineStr">
        <is>
          <t>Yes</t>
        </is>
      </c>
      <c r="AD90" t="inlineStr">
        <is>
          <t>Carry courage, strength, focus or confidence close to the body.</t>
        </is>
      </c>
      <c r="AE90" t="inlineStr">
        <is>
          <t>App should pull this row's Greenman Energy Mode from the main item sheets. Use Secondary Energy Hint only if a serious/adult spell still needs a Draw/Hold/Release/Open/Transform flavour.</t>
        </is>
      </c>
      <c r="AF90" t="inlineStr">
        <is>
          <t>Carry it close on your person</t>
        </is>
      </c>
      <c r="AG90" t="inlineStr">
        <is>
          <t>Place at a shrine or altar</t>
        </is>
      </c>
    </row>
    <row r="91" ht="23.25" customHeight="1" s="56">
      <c r="A91" s="43" t="inlineStr">
        <is>
          <t>Power, Strength &amp; Confidence</t>
        </is>
      </c>
      <c r="B91" s="43" t="inlineStr">
        <is>
          <t>Creativity</t>
        </is>
      </c>
      <c r="C91" s="43" t="inlineStr">
        <is>
          <t>Waxing</t>
        </is>
      </c>
      <c r="D91" s="43" t="inlineStr">
        <is>
          <t>Air</t>
        </is>
      </c>
      <c r="E91" s="43" t="inlineStr">
        <is>
          <t>Mercury</t>
        </is>
      </c>
      <c r="F91" s="43" t="inlineStr">
        <is>
          <t>Wednesday</t>
        </is>
      </c>
      <c r="G91" s="43" t="inlineStr">
        <is>
          <t>Yellow</t>
        </is>
      </c>
      <c r="H91" s="43" t="inlineStr">
        <is>
          <t>East</t>
        </is>
      </c>
      <c r="I91" s="43" t="inlineStr">
        <is>
          <t>Projective</t>
        </is>
      </c>
      <c r="J91" s="43" t="inlineStr">
        <is>
          <t>Yellow, white, crimson</t>
        </is>
      </c>
      <c r="K91" s="43" t="inlineStr">
        <is>
          <t>5</t>
        </is>
      </c>
      <c r="L91" s="43" t="inlineStr">
        <is>
          <t>Communication, fulfilment</t>
        </is>
      </c>
      <c r="M91" s="43" t="inlineStr">
        <is>
          <t>1 or 3</t>
        </is>
      </c>
      <c r="N91" s="43" t="inlineStr">
        <is>
          <t>LAVENDER FLOWERS, BASIL, ROSEMARY, CHAMOMILE, LEMON VERBENA, JASMINE, BAY LAUREL</t>
        </is>
      </c>
      <c r="O91" s="43" t="n">
        <v>7</v>
      </c>
      <c r="P91" s="43" t="inlineStr">
        <is>
          <t>Carnelian, Citrine, Flourite, Labradorite</t>
        </is>
      </c>
      <c r="Q91" s="43" t="n">
        <v>4</v>
      </c>
      <c r="R91" s="43" t="inlineStr">
        <is>
          <t>Lavender, Bergamot, Orange Bitter, Frankincense</t>
        </is>
      </c>
      <c r="S91" s="43" t="n">
        <v>4</v>
      </c>
      <c r="T91" s="43" t="inlineStr">
        <is>
          <t>ANSUZ, WUNJO, FEHU, DAGAZ</t>
        </is>
      </c>
      <c r="U91" s="43" t="n">
        <v>4</v>
      </c>
      <c r="V91" s="43" t="inlineStr">
        <is>
          <t>BRIGID, ISIS, SOPHIA, CERRIDWEN, MERCURY, ODIN, FREY, DIONYSUS</t>
        </is>
      </c>
      <c r="W91" s="43" t="n">
        <v>8</v>
      </c>
      <c r="X91" t="inlineStr">
        <is>
          <t>Transform / Turn</t>
        </is>
      </c>
      <c r="Y91" t="inlineStr">
        <is>
          <t>Transform / Turn</t>
        </is>
      </c>
      <c r="Z91" t="inlineStr">
        <is>
          <t>Charm Bag</t>
        </is>
      </c>
      <c r="AA91" t="inlineStr">
        <is>
          <t>Maybe</t>
        </is>
      </c>
      <c r="AB91" t="inlineStr">
        <is>
          <t>Maybe</t>
        </is>
      </c>
      <c r="AC91" t="inlineStr">
        <is>
          <t>Yes</t>
        </is>
      </c>
      <c r="AD91" t="inlineStr">
        <is>
          <t>Carry courage, strength, focus or confidence close to the body.</t>
        </is>
      </c>
      <c r="AE91" t="inlineStr">
        <is>
          <t>App should pull this row's Greenman Energy Mode from the main item sheets. Use Secondary Energy Hint only if a serious/adult spell still needs a Draw/Hold/Release/Open/Transform flavour.</t>
        </is>
      </c>
      <c r="AF91" t="inlineStr">
        <is>
          <t>Carry it close on your person</t>
        </is>
      </c>
      <c r="AG91" t="inlineStr">
        <is>
          <t>Place where it can be seen | Place at a shrine or altar</t>
        </is>
      </c>
    </row>
    <row r="92" ht="23.25" customHeight="1" s="56">
      <c r="A92" s="43" t="inlineStr">
        <is>
          <t>Prosperity, Wealth &amp; Luck</t>
        </is>
      </c>
      <c r="B92" s="43" t="inlineStr">
        <is>
          <t>Business success</t>
        </is>
      </c>
      <c r="C92" s="43" t="inlineStr">
        <is>
          <t>Waxing</t>
        </is>
      </c>
      <c r="D92" s="43" t="inlineStr">
        <is>
          <t>Earth</t>
        </is>
      </c>
      <c r="E92" s="43" t="inlineStr">
        <is>
          <t>Jupiter</t>
        </is>
      </c>
      <c r="F92" s="43" t="inlineStr">
        <is>
          <t>Thursday</t>
        </is>
      </c>
      <c r="G92" s="43" t="inlineStr">
        <is>
          <t>Green</t>
        </is>
      </c>
      <c r="H92" s="43" t="inlineStr">
        <is>
          <t>North</t>
        </is>
      </c>
      <c r="I92" s="43" t="inlineStr">
        <is>
          <t>Receptive</t>
        </is>
      </c>
      <c r="J92" s="43" t="inlineStr">
        <is>
          <t>Green, brown, black, white</t>
        </is>
      </c>
      <c r="K92" s="43" t="inlineStr">
        <is>
          <t>3</t>
        </is>
      </c>
      <c r="L92" s="43" t="inlineStr">
        <is>
          <t>Health, triple aspects, psychism</t>
        </is>
      </c>
      <c r="M92" s="43" t="inlineStr">
        <is>
          <t>3 or 7</t>
        </is>
      </c>
      <c r="N92" s="43" t="inlineStr">
        <is>
          <t>BASIL, CINNAMON STICKS, CHAMOMILE, GOLDENSEAL ROOT, LINSEED, CLOVES, MARIGOLD</t>
        </is>
      </c>
      <c r="O92" s="43" t="n">
        <v>7</v>
      </c>
      <c r="P92" s="43" t="inlineStr">
        <is>
          <t>Citrine, Aventurine, Pyrite (Fool's Gold), Jade (jadeite)</t>
        </is>
      </c>
      <c r="Q92" s="43" t="n">
        <v>4</v>
      </c>
      <c r="R92" s="43" t="inlineStr">
        <is>
          <t>Bergamot, Cinnamon, Orange Bitter, Frankincense</t>
        </is>
      </c>
      <c r="S92" s="43" t="n">
        <v>4</v>
      </c>
      <c r="T92" s="43" t="inlineStr">
        <is>
          <t>FEHU, JERA, SOWILO, OTHILA</t>
        </is>
      </c>
      <c r="U92" s="43" t="n">
        <v>4</v>
      </c>
      <c r="V92" s="43" t="inlineStr">
        <is>
          <t>MERCURY, JUPITER, GAIA, CERES, ZEUS, ODIN, THOR, FREY</t>
        </is>
      </c>
      <c r="W92" s="43" t="n">
        <v>8</v>
      </c>
      <c r="X92" t="inlineStr">
        <is>
          <t>Draw</t>
        </is>
      </c>
      <c r="Y92" t="inlineStr">
        <is>
          <t>Draw</t>
        </is>
      </c>
      <c r="Z92" t="inlineStr">
        <is>
          <t>Spell Jar</t>
        </is>
      </c>
      <c r="AA92" t="inlineStr">
        <is>
          <t>Yes</t>
        </is>
      </c>
      <c r="AB92" t="inlineStr">
        <is>
          <t>Maybe</t>
        </is>
      </c>
      <c r="AC92" t="inlineStr">
        <is>
          <t>Yes</t>
        </is>
      </c>
      <c r="AD92" t="inlineStr">
        <is>
          <t>Draw wealth, grow luck or move stagnant money energy.</t>
        </is>
      </c>
      <c r="AE92" t="inlineStr">
        <is>
          <t>App should pull this row's Greenman Energy Mode from the main item sheets. Use Secondary Energy Hint only if a serious/adult spell still needs a Draw/Hold/Release/Open/Transform flavour.</t>
        </is>
      </c>
      <c r="AF92" t="inlineStr">
        <is>
          <t>Place where it can be seen</t>
        </is>
      </c>
      <c r="AG92" t="inlineStr">
        <is>
          <t>Hang it in the home | Place at a shrine or altar</t>
        </is>
      </c>
    </row>
    <row r="93" ht="78.75" customHeight="1" s="56">
      <c r="A93" s="43" t="inlineStr">
        <is>
          <t>Prosperity, Wealth &amp; Luck</t>
        </is>
      </c>
      <c r="B93" s="43" t="inlineStr">
        <is>
          <t>Breaking financial stagnation</t>
        </is>
      </c>
      <c r="C93" s="43" t="inlineStr">
        <is>
          <t>Waning</t>
        </is>
      </c>
      <c r="D93" s="43" t="inlineStr">
        <is>
          <t>Earth</t>
        </is>
      </c>
      <c r="E93" s="43" t="inlineStr">
        <is>
          <t>Saturn</t>
        </is>
      </c>
      <c r="F93" s="43" t="inlineStr">
        <is>
          <t>Saturday</t>
        </is>
      </c>
      <c r="G93" s="43" t="inlineStr">
        <is>
          <t>Brown</t>
        </is>
      </c>
      <c r="H93" s="43" t="inlineStr">
        <is>
          <t>North</t>
        </is>
      </c>
      <c r="I93" s="43" t="inlineStr">
        <is>
          <t>Receptive</t>
        </is>
      </c>
      <c r="J93" s="43" t="inlineStr">
        <is>
          <t>Green, brown, black, white</t>
        </is>
      </c>
      <c r="K93" s="43" t="inlineStr">
        <is>
          <t>8</t>
        </is>
      </c>
      <c r="L93" s="43" t="inlineStr">
        <is>
          <t>Material aspects, travel, protection, discipline</t>
        </is>
      </c>
      <c r="M93" s="43" t="inlineStr">
        <is>
          <t>3 or 7</t>
        </is>
      </c>
      <c r="N93" s="43" t="inlineStr">
        <is>
          <t>ACORN, ANISE, BASIL, BENZOIN, BLACK TEA, BLACKBERRY LEAVES, CARAWAY, CHAMOMILE, CINNAMON STICKS, CLOVER, CLOVER RED, CLOVES, COLTSFOOT, COMFREY, DILL, FENNEL (SEED), GARLIC POWDER, GOLDENSEAL ROOT, JASMINE, LADIES MANTLE, LAVENDER FLOWERS, LEMON BALM, LINSEED, MUSTARD SEED WHITE, NUTMEG POWDER, OAK MOSS, OAKBARK RED, PARSLEY, PEPPERMINT, PINE NUT, RUE, SAGE, THYME, VIOLET LEAVES, VIOLET</t>
        </is>
      </c>
      <c r="O93" s="43" t="inlineStr">
        <is>
          <t>35</t>
        </is>
      </c>
      <c r="P93" s="43" t="inlineStr">
        <is>
          <t>agate Botswana , agate Moss , Amazonite, Aventurine, Calcite, chrysophase, Citrine, Goldstone, Jade (jadeite), Lodestone, Pyrite (Fool's Gold), Rhodocrosite, Ruby, Sapphire, Serpentine, Topaz, Tourmalinee Black , Yellow Aventurine</t>
        </is>
      </c>
      <c r="Q93" s="43" t="inlineStr">
        <is>
          <t>18</t>
        </is>
      </c>
      <c r="R93" s="43" t="inlineStr">
        <is>
          <t>Bergamot, Cedarwood, Clove Bud, Geranium, Honeysuckle, Marjoram, Melissa, Neroli, Orange Bitter, Pine, Vanilla, Cinnamon, Ginger, Patchouli</t>
        </is>
      </c>
      <c r="S93" s="43" t="inlineStr">
        <is>
          <t>14</t>
        </is>
      </c>
      <c r="T93" s="43" t="inlineStr">
        <is>
          <t>FEHU, URUZ, WUNJO, JERA, SOWILO, BERKANAN, INGWAZ, OTHILA, DAGAZ</t>
        </is>
      </c>
      <c r="U93" s="43" t="inlineStr">
        <is>
          <t>9</t>
        </is>
      </c>
      <c r="V93" s="43" t="inlineStr">
        <is>
          <t>ALL GODDESSES, ALL LUNAR GODDESSES, ALLAT, AMATERASU, ARADIA, ARIANRHOD, ASTARTE, ATTIS, BAAL, BALDUR &amp; HATHOR, BONA DEA, CERES, CERRIDWEN, CRONOS, CUPRA, EROS, FILDIAS, GAIA, GOD AND GODDESS IN BALANCE, GREAT GODDESS. MANASA</t>
        </is>
      </c>
      <c r="W93" s="43" t="inlineStr">
        <is>
          <t>36</t>
        </is>
      </c>
      <c r="X93" t="inlineStr">
        <is>
          <t>Release</t>
        </is>
      </c>
      <c r="Y93" t="inlineStr">
        <is>
          <t>Release</t>
        </is>
      </c>
      <c r="Z93" t="inlineStr">
        <is>
          <t>Spell Jar</t>
        </is>
      </c>
      <c r="AA93" t="inlineStr">
        <is>
          <t>Yes</t>
        </is>
      </c>
      <c r="AB93" t="inlineStr">
        <is>
          <t>Maybe</t>
        </is>
      </c>
      <c r="AC93" t="inlineStr">
        <is>
          <t>Yes</t>
        </is>
      </c>
      <c r="AD93" t="inlineStr">
        <is>
          <t>Draw wealth, grow luck or move stagnant money energy.</t>
        </is>
      </c>
      <c r="AE93" t="inlineStr">
        <is>
          <t>App should pull this row's Greenman Energy Mode from the main item sheets. Use Secondary Energy Hint only if a serious/adult spell still needs a Draw/Hold/Release/Open/Transform flavour.</t>
        </is>
      </c>
      <c r="AF93" t="inlineStr">
        <is>
          <t>Burn and release, no remains</t>
        </is>
      </c>
      <c r="AG93" t="inlineStr">
        <is>
          <t>Bury in the earth | Leave in running water</t>
        </is>
      </c>
    </row>
    <row r="94" ht="23.25" customHeight="1" s="56">
      <c r="A94" s="43" t="inlineStr">
        <is>
          <t>Prosperity, Wealth &amp; Luck</t>
        </is>
      </c>
      <c r="B94" s="43" t="inlineStr">
        <is>
          <t>Wishes</t>
        </is>
      </c>
      <c r="C94" s="43" t="inlineStr">
        <is>
          <t>Full</t>
        </is>
      </c>
      <c r="D94" s="43" t="inlineStr">
        <is>
          <t>Air</t>
        </is>
      </c>
      <c r="E94" s="43" t="inlineStr">
        <is>
          <t>Mercury</t>
        </is>
      </c>
      <c r="F94" s="43" t="inlineStr">
        <is>
          <t>Wednesday</t>
        </is>
      </c>
      <c r="G94" s="43" t="inlineStr">
        <is>
          <t>Gold</t>
        </is>
      </c>
      <c r="H94" s="43" t="inlineStr">
        <is>
          <t>East</t>
        </is>
      </c>
      <c r="I94" s="43" t="inlineStr">
        <is>
          <t>Projective</t>
        </is>
      </c>
      <c r="J94" s="43" t="inlineStr">
        <is>
          <t>Yellow, white, crimson</t>
        </is>
      </c>
      <c r="K94" s="43" t="inlineStr">
        <is>
          <t>5</t>
        </is>
      </c>
      <c r="L94" s="43" t="inlineStr">
        <is>
          <t>Communication, fulfilment</t>
        </is>
      </c>
      <c r="M94" s="43" t="inlineStr">
        <is>
          <t>3 or 7</t>
        </is>
      </c>
      <c r="N94" s="43" t="inlineStr">
        <is>
          <t>SANDALWOOD WHITE, GOLDENROD, VIOLET LEAVES, SAGE, GOLDENROD, CHAMOMILE, LAVENDER FLOWERS</t>
        </is>
      </c>
      <c r="O94" s="43" t="n">
        <v>7</v>
      </c>
      <c r="P94" s="43" t="inlineStr">
        <is>
          <t>Quartz Clear, Moonstone, Citrine, Turquoise</t>
        </is>
      </c>
      <c r="Q94" s="43" t="n">
        <v>4</v>
      </c>
      <c r="R94" s="43" t="inlineStr">
        <is>
          <t>Sandalwood In., Frankincense, Lavender, Neroli</t>
        </is>
      </c>
      <c r="S94" s="43" t="n">
        <v>4</v>
      </c>
      <c r="T94" s="43" t="inlineStr">
        <is>
          <t>FEHU, WUNJO, DAGAZ, INGWAZ</t>
        </is>
      </c>
      <c r="U94" s="43" t="n">
        <v>4</v>
      </c>
      <c r="V94" s="43" t="inlineStr">
        <is>
          <t>BRIGID, DIANA, ISIS, VENUS, JUPITER, MERCURY, ODIN, FREY</t>
        </is>
      </c>
      <c r="W94" s="43" t="n">
        <v>8</v>
      </c>
      <c r="X94" t="inlineStr">
        <is>
          <t>Draw</t>
        </is>
      </c>
      <c r="Y94" t="inlineStr">
        <is>
          <t>Draw</t>
        </is>
      </c>
      <c r="Z94" t="inlineStr">
        <is>
          <t>Spell Jar</t>
        </is>
      </c>
      <c r="AA94" t="inlineStr">
        <is>
          <t>Yes</t>
        </is>
      </c>
      <c r="AB94" t="inlineStr">
        <is>
          <t>Maybe</t>
        </is>
      </c>
      <c r="AC94" t="inlineStr">
        <is>
          <t>Yes</t>
        </is>
      </c>
      <c r="AD94" t="inlineStr">
        <is>
          <t>Draw wealth, grow luck or move stagnant money energy.</t>
        </is>
      </c>
      <c r="AE94" t="inlineStr">
        <is>
          <t>App should pull this row's Greenman Energy Mode from the main item sheets. Use Secondary Energy Hint only if a serious/adult spell still needs a Draw/Hold/Release/Open/Transform flavour.</t>
        </is>
      </c>
      <c r="AF94" t="inlineStr">
        <is>
          <t>Place in a tree</t>
        </is>
      </c>
      <c r="AG94" t="inlineStr">
        <is>
          <t>Bury in the earth | Place at a shrine or altar</t>
        </is>
      </c>
    </row>
    <row r="95" ht="166.5" customHeight="1" s="56">
      <c r="A95" s="43" t="inlineStr">
        <is>
          <t>Home, Blessings &amp; Daily Magic</t>
        </is>
      </c>
      <c r="B95" s="43" t="inlineStr">
        <is>
          <t>Blessing domestic animals</t>
        </is>
      </c>
      <c r="C95" s="43" t="inlineStr">
        <is>
          <t>Full</t>
        </is>
      </c>
      <c r="D95" s="43" t="inlineStr">
        <is>
          <t>Earth</t>
        </is>
      </c>
      <c r="E95" s="43" t="inlineStr">
        <is>
          <t>Moon</t>
        </is>
      </c>
      <c r="F95" s="43" t="inlineStr">
        <is>
          <t>Monday</t>
        </is>
      </c>
      <c r="G95" s="43" t="inlineStr">
        <is>
          <t>White</t>
        </is>
      </c>
      <c r="H95" s="43" t="inlineStr">
        <is>
          <t>North</t>
        </is>
      </c>
      <c r="I95" s="43" t="inlineStr">
        <is>
          <t>Receptive</t>
        </is>
      </c>
      <c r="J95" s="43" t="inlineStr">
        <is>
          <t>Green, brown, black, white</t>
        </is>
      </c>
      <c r="K95" s="43" t="inlineStr">
        <is>
          <t>2</t>
        </is>
      </c>
      <c r="L95" s="43" t="inlineStr">
        <is>
          <t>Duality, balance, couples, partnerships</t>
        </is>
      </c>
      <c r="M95" s="43" t="inlineStr">
        <is>
          <t>1 or 3</t>
        </is>
      </c>
      <c r="N95" s="43"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95" s="43" t="inlineStr">
        <is>
          <t>68</t>
        </is>
      </c>
      <c r="P95" s="43"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95" s="43" t="inlineStr">
        <is>
          <t>32</t>
        </is>
      </c>
      <c r="R95" s="43" t="inlineStr">
        <is>
          <t>Apple, Bergamot, Clove Bud, Frankincense, Geranium, Juniper, Lavender, Lemon, Lemon Grass, Marjoram, Melissa, Neroli, Orange Bitter, Pine, Rose, Rosemary, Thyme, Vanilla, Ylang Ylang, Cinnamon, Ginger, Patchouli, Sandalwood In.</t>
        </is>
      </c>
      <c r="S95" s="43" t="inlineStr">
        <is>
          <t>23</t>
        </is>
      </c>
      <c r="T95" s="43" t="inlineStr">
        <is>
          <t>FEHU, ANSUZ, RAIDO, GEBO, WUNJO, PERTH, SOWILO, TIWAZ, EHWAZ, INGWAZ, OTHILA</t>
        </is>
      </c>
      <c r="U95" s="43" t="inlineStr">
        <is>
          <t>11</t>
        </is>
      </c>
      <c r="V95" s="43" t="inlineStr">
        <is>
          <t>AESCULAPUS, ALL, ALL GODDESSES, ALL LUNAR GODDESSES, ALLAT, AMATERASU, AMBERELLA, APHRODITE, ARADIA, ARES, ARIANRHOD, ARTEMIS, ASTARTE, ATTIS, BAAL, BACCHUS, BALDOR, BALDUR &amp; HATHOR, BEFANA, BONA DEA</t>
        </is>
      </c>
      <c r="W95" s="43" t="inlineStr">
        <is>
          <t>89</t>
        </is>
      </c>
      <c r="X95" t="inlineStr">
        <is>
          <t>Hold</t>
        </is>
      </c>
      <c r="Y95" t="inlineStr">
        <is>
          <t>Hold</t>
        </is>
      </c>
      <c r="Z95" t="inlineStr">
        <is>
          <t>Spell Jar</t>
        </is>
      </c>
      <c r="AA95" t="inlineStr">
        <is>
          <t>Yes</t>
        </is>
      </c>
      <c r="AB95" t="inlineStr">
        <is>
          <t>Maybe</t>
        </is>
      </c>
      <c r="AC95" t="inlineStr">
        <is>
          <t>Yes</t>
        </is>
      </c>
      <c r="AD95" t="inlineStr">
        <is>
          <t>Bless, hold, consecrate and settle magic into place or tool.</t>
        </is>
      </c>
      <c r="AE95" t="inlineStr">
        <is>
          <t>App should pull this row's Greenman Energy Mode from the main item sheets. Use Secondary Energy Hint only if a serious/adult spell still needs a Draw/Hold/Release/Open/Transform flavour.</t>
        </is>
      </c>
      <c r="AF95" t="inlineStr">
        <is>
          <t>Hang it in the home</t>
        </is>
      </c>
      <c r="AG95" t="inlineStr">
        <is>
          <t>Carry it close on your person | Place at a shrine or altar</t>
        </is>
      </c>
    </row>
    <row r="96" ht="23.25" customHeight="1" s="56">
      <c r="A96" s="43" t="inlineStr">
        <is>
          <t>Home, Blessings &amp; Daily Magic</t>
        </is>
      </c>
      <c r="B96" s="43" t="inlineStr">
        <is>
          <t>Tool cleansing</t>
        </is>
      </c>
      <c r="C96" s="43" t="inlineStr">
        <is>
          <t>Waning</t>
        </is>
      </c>
      <c r="D96" s="43" t="inlineStr">
        <is>
          <t>Fire</t>
        </is>
      </c>
      <c r="E96" s="43" t="inlineStr">
        <is>
          <t>Sun</t>
        </is>
      </c>
      <c r="F96" s="43" t="inlineStr">
        <is>
          <t>Sunday</t>
        </is>
      </c>
      <c r="G96" s="43" t="inlineStr">
        <is>
          <t>White</t>
        </is>
      </c>
      <c r="H96" s="43" t="inlineStr">
        <is>
          <t>South</t>
        </is>
      </c>
      <c r="I96" s="43" t="inlineStr">
        <is>
          <t>Projective</t>
        </is>
      </c>
      <c r="J96" s="43" t="inlineStr">
        <is>
          <t>Red, gold, crimson, orange, white</t>
        </is>
      </c>
      <c r="K96" s="43" t="inlineStr">
        <is>
          <t>1</t>
        </is>
      </c>
      <c r="L96" s="43" t="inlineStr">
        <is>
          <t>Developing the self, wholeness, unity, beginnings</t>
        </is>
      </c>
      <c r="M96" s="43" t="inlineStr">
        <is>
          <t>1 or 3</t>
        </is>
      </c>
      <c r="N96" s="43" t="inlineStr">
        <is>
          <t>SAGE, FRANKINCENSE, LAVENDER FLOWERS, ROSEMARY, SEA SALT, HYSSOP, THYME</t>
        </is>
      </c>
      <c r="O96" s="43" t="n">
        <v>7</v>
      </c>
      <c r="P96" s="43" t="inlineStr">
        <is>
          <t>Quartz Clear, Amethyst, Obsidian, quartz smokey</t>
        </is>
      </c>
      <c r="Q96" s="43" t="n">
        <v>4</v>
      </c>
      <c r="R96" s="43" t="inlineStr">
        <is>
          <t>Frankincense, Lavender, Rosemary, Cedarwood</t>
        </is>
      </c>
      <c r="S96" s="43" t="n">
        <v>4</v>
      </c>
      <c r="T96" s="43" t="inlineStr">
        <is>
          <t>ALGIZ, THURISAZ, ISA, OTHILA</t>
        </is>
      </c>
      <c r="U96" s="43" t="n">
        <v>4</v>
      </c>
      <c r="V96" s="43" t="inlineStr">
        <is>
          <t>BRIGID, HECATE, ISIS, DIANA, ODIN, THOR, MERCURY, ZEUS</t>
        </is>
      </c>
      <c r="W96" s="43" t="n">
        <v>8</v>
      </c>
      <c r="X96" t="inlineStr">
        <is>
          <t>Release</t>
        </is>
      </c>
      <c r="Y96" t="inlineStr">
        <is>
          <t>Release</t>
        </is>
      </c>
      <c r="Z96" t="inlineStr">
        <is>
          <t>Spell Jar</t>
        </is>
      </c>
      <c r="AA96" t="inlineStr">
        <is>
          <t>Yes</t>
        </is>
      </c>
      <c r="AB96" t="inlineStr">
        <is>
          <t>Maybe</t>
        </is>
      </c>
      <c r="AC96" t="inlineStr">
        <is>
          <t>Yes</t>
        </is>
      </c>
      <c r="AD96" t="inlineStr">
        <is>
          <t>Bless, hold, consecrate and settle magic into place or tool.</t>
        </is>
      </c>
      <c r="AE96" t="inlineStr">
        <is>
          <t>App should pull this row's Greenman Energy Mode from the main item sheets. Use Secondary Energy Hint only if a serious/adult spell still needs a Draw/Hold/Release/Open/Transform flavour.</t>
        </is>
      </c>
      <c r="AF96" t="inlineStr">
        <is>
          <t>Place at a shrine or altar</t>
        </is>
      </c>
      <c r="AG96" t="inlineStr">
        <is>
          <t>Burn and release, no remains</t>
        </is>
      </c>
    </row>
    <row r="97" ht="23.25" customHeight="1" s="56">
      <c r="A97" s="43" t="inlineStr">
        <is>
          <t>Home, Blessings &amp; Daily Magic</t>
        </is>
      </c>
      <c r="B97" s="43" t="inlineStr">
        <is>
          <t>Charm / Amulet making</t>
        </is>
      </c>
      <c r="C97" s="43" t="inlineStr">
        <is>
          <t>Full</t>
        </is>
      </c>
      <c r="D97" s="43" t="inlineStr">
        <is>
          <t>Earth</t>
        </is>
      </c>
      <c r="E97" s="43" t="inlineStr">
        <is>
          <t>Saturn</t>
        </is>
      </c>
      <c r="F97" s="43" t="inlineStr">
        <is>
          <t>Saturday</t>
        </is>
      </c>
      <c r="G97" s="43" t="inlineStr">
        <is>
          <t>Black</t>
        </is>
      </c>
      <c r="H97" s="43" t="inlineStr">
        <is>
          <t>North</t>
        </is>
      </c>
      <c r="I97" s="43" t="inlineStr">
        <is>
          <t>Receptive</t>
        </is>
      </c>
      <c r="J97" s="43" t="inlineStr">
        <is>
          <t>Green, brown, black, white</t>
        </is>
      </c>
      <c r="K97" s="43" t="inlineStr">
        <is>
          <t>8</t>
        </is>
      </c>
      <c r="L97" s="43" t="inlineStr">
        <is>
          <t>Material aspects, travel, protection, discipline</t>
        </is>
      </c>
      <c r="M97" s="43" t="inlineStr">
        <is>
          <t>1 or 3</t>
        </is>
      </c>
      <c r="N97" s="43" t="inlineStr">
        <is>
          <t>ROSEMARY, SAGE, LAVENDER FLOWERS, BASIL, ST JOHN'S WORT, VERVAIN, ELDERFLOWER</t>
        </is>
      </c>
      <c r="O97" s="43" t="n">
        <v>7</v>
      </c>
      <c r="P97" s="43" t="inlineStr">
        <is>
          <t>Amethyst, Quartz Clear, Jet, Obsidian</t>
        </is>
      </c>
      <c r="Q97" s="43" t="n">
        <v>4</v>
      </c>
      <c r="R97" s="43" t="inlineStr">
        <is>
          <t>Frankincense, Cedarwood, Lavender, Rosemary</t>
        </is>
      </c>
      <c r="S97" s="43" t="n">
        <v>4</v>
      </c>
      <c r="T97" s="43" t="inlineStr">
        <is>
          <t>ALGIZ, OTHILA, TIWAZ, BERKANAN</t>
        </is>
      </c>
      <c r="U97" s="43" t="n">
        <v>4</v>
      </c>
      <c r="V97" s="43" t="inlineStr">
        <is>
          <t>BRIGID, HECATE, ISIS, DIANA, ODIN, THOR, MERCURY, ZEUS</t>
        </is>
      </c>
      <c r="W97" s="43" t="n">
        <v>8</v>
      </c>
      <c r="X97" t="inlineStr">
        <is>
          <t>Hold</t>
        </is>
      </c>
      <c r="Y97" t="inlineStr">
        <is>
          <t>Hold</t>
        </is>
      </c>
      <c r="Z97" t="inlineStr">
        <is>
          <t>Spell Jar</t>
        </is>
      </c>
      <c r="AA97" t="inlineStr">
        <is>
          <t>Yes</t>
        </is>
      </c>
      <c r="AB97" t="inlineStr">
        <is>
          <t>Maybe</t>
        </is>
      </c>
      <c r="AC97" t="inlineStr">
        <is>
          <t>Yes</t>
        </is>
      </c>
      <c r="AD97" t="inlineStr">
        <is>
          <t>Bless, hold, consecrate and settle magic into place or tool.</t>
        </is>
      </c>
      <c r="AE97" t="inlineStr">
        <is>
          <t>App should pull this row's Greenman Energy Mode from the main item sheets. Use Secondary Energy Hint only if a serious/adult spell still needs a Draw/Hold/Release/Open/Transform flavour.</t>
        </is>
      </c>
      <c r="AF97" t="inlineStr">
        <is>
          <t>Carry it close on your person</t>
        </is>
      </c>
      <c r="AG97" t="inlineStr">
        <is>
          <t>Hang it in the home | Place at a shrine or altar</t>
        </is>
      </c>
    </row>
    <row r="98" ht="23.25" customHeight="1" s="56">
      <c r="A98" s="43" t="inlineStr">
        <is>
          <t>Home, Blessings &amp; Daily Magic</t>
        </is>
      </c>
      <c r="B98" s="43" t="inlineStr">
        <is>
          <t>Bless Book of Shadows</t>
        </is>
      </c>
      <c r="C98" s="43" t="inlineStr">
        <is>
          <t>Full</t>
        </is>
      </c>
      <c r="D98" s="43" t="inlineStr">
        <is>
          <t>Air</t>
        </is>
      </c>
      <c r="E98" s="43" t="inlineStr">
        <is>
          <t>Mercury</t>
        </is>
      </c>
      <c r="F98" s="43" t="inlineStr">
        <is>
          <t>Wednesday</t>
        </is>
      </c>
      <c r="G98" s="43" t="inlineStr">
        <is>
          <t>Violet/Purple</t>
        </is>
      </c>
      <c r="H98" s="43" t="inlineStr">
        <is>
          <t>East</t>
        </is>
      </c>
      <c r="I98" s="43" t="inlineStr">
        <is>
          <t>Projective</t>
        </is>
      </c>
      <c r="J98" s="43" t="inlineStr">
        <is>
          <t>Yellow, white, crimson</t>
        </is>
      </c>
      <c r="K98" s="43" t="inlineStr">
        <is>
          <t>5</t>
        </is>
      </c>
      <c r="L98" s="43" t="inlineStr">
        <is>
          <t>Communication, fulfilment</t>
        </is>
      </c>
      <c r="M98" s="43" t="inlineStr">
        <is>
          <t>1 or 3</t>
        </is>
      </c>
      <c r="N98" s="43" t="inlineStr">
        <is>
          <t>SAGE, FRANKINCENSE, ROSEMARY, LAVENDER FLOWERS, BAY LAUREL, WORMWOOD, THYME</t>
        </is>
      </c>
      <c r="O98" s="43" t="n">
        <v>7</v>
      </c>
      <c r="P98" s="43" t="inlineStr">
        <is>
          <t>Amethyst, Quartz Clear, Moonstone, Labradorite</t>
        </is>
      </c>
      <c r="Q98" s="43" t="n">
        <v>4</v>
      </c>
      <c r="R98" s="43" t="inlineStr">
        <is>
          <t>Frankincense, Lavender, Sandalwood In., Sandalwood w.i.</t>
        </is>
      </c>
      <c r="S98" s="43" t="n">
        <v>4</v>
      </c>
      <c r="T98" s="43" t="inlineStr">
        <is>
          <t>ANSUZ, ALGIZ, OTHILA, PERTH</t>
        </is>
      </c>
      <c r="U98" s="43" t="n">
        <v>4</v>
      </c>
      <c r="V98" s="43" t="inlineStr">
        <is>
          <t>BRIGID, HECATE, ISIS, CERRIDWEN, ODIN, MERCURY, THOR, SATURN</t>
        </is>
      </c>
      <c r="W98" s="43" t="n">
        <v>8</v>
      </c>
      <c r="X98" t="inlineStr">
        <is>
          <t>Hold</t>
        </is>
      </c>
      <c r="Y98" t="inlineStr">
        <is>
          <t>Hold</t>
        </is>
      </c>
      <c r="Z98" t="inlineStr">
        <is>
          <t>Spell Jar</t>
        </is>
      </c>
      <c r="AA98" t="inlineStr">
        <is>
          <t>Yes</t>
        </is>
      </c>
      <c r="AB98" t="inlineStr">
        <is>
          <t>Maybe</t>
        </is>
      </c>
      <c r="AC98" t="inlineStr">
        <is>
          <t>Yes</t>
        </is>
      </c>
      <c r="AD98" t="inlineStr">
        <is>
          <t>Bless, hold, consecrate and settle magic into place or tool.</t>
        </is>
      </c>
      <c r="AE98" t="inlineStr">
        <is>
          <t>App should pull this row's Greenman Energy Mode from the main item sheets. Use Secondary Energy Hint only if a serious/adult spell still needs a Draw/Hold/Release/Open/Transform flavour.</t>
        </is>
      </c>
      <c r="AF98" t="inlineStr">
        <is>
          <t>Place at a shrine or altar</t>
        </is>
      </c>
      <c r="AG98" t="inlineStr">
        <is>
          <t>Hang it in the home</t>
        </is>
      </c>
    </row>
    <row r="99" ht="23.25" customHeight="1" s="56">
      <c r="A99" s="43" t="inlineStr">
        <is>
          <t>Spirit Work, Otherworld &amp; Planes</t>
        </is>
      </c>
      <c r="B99" s="43" t="inlineStr">
        <is>
          <t>Ancestor work</t>
        </is>
      </c>
      <c r="C99" s="43" t="inlineStr">
        <is>
          <t>Dark</t>
        </is>
      </c>
      <c r="D99" s="43" t="inlineStr">
        <is>
          <t>Earth</t>
        </is>
      </c>
      <c r="E99" s="43" t="inlineStr">
        <is>
          <t>Saturn</t>
        </is>
      </c>
      <c r="F99" s="43" t="inlineStr">
        <is>
          <t>Saturday</t>
        </is>
      </c>
      <c r="G99" s="43" t="inlineStr">
        <is>
          <t>Black</t>
        </is>
      </c>
      <c r="H99" s="43" t="inlineStr">
        <is>
          <t>North</t>
        </is>
      </c>
      <c r="I99" s="43" t="inlineStr">
        <is>
          <t>Receptive</t>
        </is>
      </c>
      <c r="J99" s="43" t="inlineStr">
        <is>
          <t>Green, brown, black, white</t>
        </is>
      </c>
      <c r="K99" s="43" t="inlineStr">
        <is>
          <t>8</t>
        </is>
      </c>
      <c r="L99" s="43" t="inlineStr">
        <is>
          <t>Material aspects, travel, protection, discipline</t>
        </is>
      </c>
      <c r="M99" s="43" t="inlineStr">
        <is>
          <t>3 or 7</t>
        </is>
      </c>
      <c r="N99" s="43" t="inlineStr">
        <is>
          <t>ROSEMARY, WORMWOOD, MULLEIN, MYRRH GUM, ELDERFLOWER, CHRYSANTHEMUM, SAGE</t>
        </is>
      </c>
      <c r="O99" s="43" t="n">
        <v>7</v>
      </c>
      <c r="P99" s="43" t="inlineStr">
        <is>
          <t>Obsidian, Jet, Onyx, Apache Tears</t>
        </is>
      </c>
      <c r="Q99" s="43" t="n">
        <v>4</v>
      </c>
      <c r="R99" s="43" t="inlineStr">
        <is>
          <t>Sandalwood w.i., Frankincense, Sandalwood w.i., Cedarwood</t>
        </is>
      </c>
      <c r="S99" s="43" t="n">
        <v>4</v>
      </c>
      <c r="T99" s="43" t="inlineStr">
        <is>
          <t>OTHILA, PERTH, MANNAZ, ISA</t>
        </is>
      </c>
      <c r="U99" s="43" t="n">
        <v>4</v>
      </c>
      <c r="V99" s="43" t="inlineStr">
        <is>
          <t>HECATE, PERSEPHONE, ISIS, HEL, ODIN, PLUTO, SATURN, MERCURY</t>
        </is>
      </c>
      <c r="W99" s="43" t="n">
        <v>8</v>
      </c>
      <c r="X99" t="inlineStr">
        <is>
          <t>Open / Reveal</t>
        </is>
      </c>
      <c r="Y99" t="inlineStr">
        <is>
          <t>Open / Reveal</t>
        </is>
      </c>
      <c r="Z99" t="inlineStr">
        <is>
          <t>Smoke and Flame</t>
        </is>
      </c>
      <c r="AA99" t="inlineStr">
        <is>
          <t>Maybe</t>
        </is>
      </c>
      <c r="AB99" t="inlineStr">
        <is>
          <t>Yes</t>
        </is>
      </c>
      <c r="AC99" t="inlineStr">
        <is>
          <t>Maybe</t>
        </is>
      </c>
      <c r="AD99" t="inlineStr">
        <is>
          <t>Open roads, make offerings, contact spirit paths, or transform thresholds.</t>
        </is>
      </c>
      <c r="AE99" t="inlineStr">
        <is>
          <t>App should pull this row's Greenman Energy Mode from the main item sheets. Use Secondary Energy Hint only if a serious/adult spell still needs a Draw/Hold/Release/Open/Transform flavour.</t>
        </is>
      </c>
      <c r="AF99" t="inlineStr">
        <is>
          <t>Place at a shrine or altar</t>
        </is>
      </c>
      <c r="AG99" t="inlineStr">
        <is>
          <t>Carry it close on your person</t>
        </is>
      </c>
    </row>
    <row r="100" ht="23.25" customHeight="1" s="56">
      <c r="A100" s="43" t="inlineStr">
        <is>
          <t>Spirit Work, Otherworld &amp; Planes</t>
        </is>
      </c>
      <c r="B100" s="43" t="inlineStr">
        <is>
          <t>Binding spirits</t>
        </is>
      </c>
      <c r="C100" s="43" t="inlineStr">
        <is>
          <t>Waning</t>
        </is>
      </c>
      <c r="D100" s="43" t="inlineStr">
        <is>
          <t>Earth</t>
        </is>
      </c>
      <c r="E100" s="43" t="inlineStr">
        <is>
          <t>Saturn</t>
        </is>
      </c>
      <c r="F100" s="43" t="inlineStr">
        <is>
          <t>Saturday</t>
        </is>
      </c>
      <c r="G100" s="43" t="inlineStr">
        <is>
          <t>Black</t>
        </is>
      </c>
      <c r="H100" s="43" t="inlineStr">
        <is>
          <t>North</t>
        </is>
      </c>
      <c r="I100" s="43" t="inlineStr">
        <is>
          <t>Receptive</t>
        </is>
      </c>
      <c r="J100" s="43" t="inlineStr">
        <is>
          <t>Green, brown, black, white</t>
        </is>
      </c>
      <c r="K100" s="43" t="inlineStr">
        <is>
          <t>8</t>
        </is>
      </c>
      <c r="L100" s="43" t="inlineStr">
        <is>
          <t>Material aspects, travel, protection, discipline</t>
        </is>
      </c>
      <c r="M100" s="43" t="inlineStr">
        <is>
          <t>3 or 7</t>
        </is>
      </c>
      <c r="N100" s="43" t="inlineStr">
        <is>
          <t>ROSEMARY, SAGE, WORMWOOD, FRANKINCENSE, VERVAIN, BLACK SALT, AGRIMONY</t>
        </is>
      </c>
      <c r="O100" s="43" t="n">
        <v>7</v>
      </c>
      <c r="P100" s="43" t="inlineStr">
        <is>
          <t>Obsidian, Jet, Onyx, Malachite</t>
        </is>
      </c>
      <c r="Q100" s="43" t="n">
        <v>4</v>
      </c>
      <c r="R100" s="43" t="inlineStr">
        <is>
          <t>Frankincense, Sandalwood w.i., Cedarwood, Sandalwood w.i.</t>
        </is>
      </c>
      <c r="S100" s="43" t="n">
        <v>4</v>
      </c>
      <c r="T100" s="43" t="inlineStr">
        <is>
          <t>ISA, ALGIZ, TIWAZ, THURISAZ</t>
        </is>
      </c>
      <c r="U100" s="43" t="n">
        <v>4</v>
      </c>
      <c r="V100" s="43" t="inlineStr">
        <is>
          <t>HECATE, ISIS, HEL, PERSEPHONE, ODIN, SATURN, THOR, PLUTO</t>
        </is>
      </c>
      <c r="W100" s="43" t="n">
        <v>8</v>
      </c>
      <c r="X100" t="inlineStr">
        <is>
          <t>Open / Reveal</t>
        </is>
      </c>
      <c r="Y100" t="inlineStr">
        <is>
          <t>Open / Reveal</t>
        </is>
      </c>
      <c r="Z100" t="inlineStr">
        <is>
          <t>Smoke and Flame</t>
        </is>
      </c>
      <c r="AA100" t="inlineStr">
        <is>
          <t>Maybe</t>
        </is>
      </c>
      <c r="AB100" t="inlineStr">
        <is>
          <t>Yes</t>
        </is>
      </c>
      <c r="AC100" t="inlineStr">
        <is>
          <t>Maybe</t>
        </is>
      </c>
      <c r="AD100" t="inlineStr">
        <is>
          <t>Open roads, make offerings, contact spirit paths, or transform thresholds.</t>
        </is>
      </c>
      <c r="AE100" t="inlineStr">
        <is>
          <t>App should pull this row's Greenman Energy Mode from the main item sheets. Use Secondary Energy Hint only if a serious/adult spell still needs a Draw/Hold/Release/Open/Transform flavour.</t>
        </is>
      </c>
      <c r="AF100" t="inlineStr">
        <is>
          <t>Keep it hidden and safe</t>
        </is>
      </c>
      <c r="AG100" t="inlineStr">
        <is>
          <t>Bury in the earth | Place at a shrine or altar</t>
        </is>
      </c>
    </row>
    <row r="101" ht="45.75" customHeight="1" s="56">
      <c r="A101" s="43" t="inlineStr">
        <is>
          <t>Spirit Work, Otherworld &amp; Planes</t>
        </is>
      </c>
      <c r="B101" s="43" t="inlineStr">
        <is>
          <t>Communing with the departed</t>
        </is>
      </c>
      <c r="C101" s="43" t="inlineStr">
        <is>
          <t>Dark</t>
        </is>
      </c>
      <c r="D101" s="43" t="inlineStr">
        <is>
          <t>Earth</t>
        </is>
      </c>
      <c r="E101" s="43" t="inlineStr">
        <is>
          <t>Saturn</t>
        </is>
      </c>
      <c r="F101" s="43" t="inlineStr">
        <is>
          <t>Saturday</t>
        </is>
      </c>
      <c r="G101" s="43" t="inlineStr">
        <is>
          <t>Black</t>
        </is>
      </c>
      <c r="H101" s="43" t="inlineStr">
        <is>
          <t>North</t>
        </is>
      </c>
      <c r="I101" s="43" t="inlineStr">
        <is>
          <t>Receptive</t>
        </is>
      </c>
      <c r="J101" s="43" t="inlineStr">
        <is>
          <t>Green, brown, black, white</t>
        </is>
      </c>
      <c r="K101" s="43" t="inlineStr">
        <is>
          <t>8</t>
        </is>
      </c>
      <c r="L101" s="43" t="inlineStr">
        <is>
          <t>Material aspects, travel, protection, discipline</t>
        </is>
      </c>
      <c r="M101" s="43" t="inlineStr">
        <is>
          <t>3 or 7</t>
        </is>
      </c>
      <c r="N101" s="43" t="inlineStr">
        <is>
          <t>ANISE, APPLEWOOD CHIPS, BASIL, CHRYSANTHEMUM, CLOVER, COLTSFOOT, LEMON BALM, MULLEIN, PARSLEY, PENNYROYAL, SAGE, SANDALWOOD RED, SANDALWOOD WHITE, TANSY, THYME, BLACK SALT, YARROW</t>
        </is>
      </c>
      <c r="O101" s="43" t="inlineStr">
        <is>
          <t>17</t>
        </is>
      </c>
      <c r="P101" s="43" t="inlineStr">
        <is>
          <t>Jet, obsidian snowflake, Onyx, Petrified Wood, Serpentine</t>
        </is>
      </c>
      <c r="Q101" s="43" t="inlineStr">
        <is>
          <t>5</t>
        </is>
      </c>
      <c r="R101" s="43" t="inlineStr">
        <is>
          <t>Frankincense, Sandalwood w.i.</t>
        </is>
      </c>
      <c r="S101" s="43" t="inlineStr">
        <is>
          <t>2</t>
        </is>
      </c>
      <c r="T101" s="43" t="inlineStr">
        <is>
          <t>PERTH, OTHILA, ISA, MANNAZ</t>
        </is>
      </c>
      <c r="U101" s="43" t="n">
        <v>4</v>
      </c>
      <c r="V101" s="43" t="inlineStr">
        <is>
          <t>ALL, AMATERASU, AMBERELLA, ARTEMIS, BEFANA, BUDDHA, DIANA, EREYR, FLIDAIS, GAIA, HATHOR, HECATE, HEL, ISIS, JANA, KWAN-YIN AND BUDDHA, LOKI, MADAME PELE, MARY MAGDALENE, MERCURY</t>
        </is>
      </c>
      <c r="W101" s="43" t="inlineStr">
        <is>
          <t>34</t>
        </is>
      </c>
      <c r="X101" t="inlineStr">
        <is>
          <t>Open / Reveal</t>
        </is>
      </c>
      <c r="Y101" t="inlineStr">
        <is>
          <t>Open / Reveal</t>
        </is>
      </c>
      <c r="Z101" t="inlineStr">
        <is>
          <t>Smoke and Flame</t>
        </is>
      </c>
      <c r="AA101" t="inlineStr">
        <is>
          <t>Maybe</t>
        </is>
      </c>
      <c r="AB101" t="inlineStr">
        <is>
          <t>Yes</t>
        </is>
      </c>
      <c r="AC101" t="inlineStr">
        <is>
          <t>Maybe</t>
        </is>
      </c>
      <c r="AD101" t="inlineStr">
        <is>
          <t>Open roads, make offerings, contact spirit paths, or transform thresholds.</t>
        </is>
      </c>
      <c r="AE101" t="inlineStr">
        <is>
          <t>App should pull this row's Greenman Energy Mode from the main item sheets. Use Secondary Energy Hint only if a serious/adult spell still needs a Draw/Hold/Release/Open/Transform flavour.</t>
        </is>
      </c>
      <c r="AF101" t="inlineStr">
        <is>
          <t>Place at a shrine or altar</t>
        </is>
      </c>
      <c r="AG101" t="inlineStr">
        <is>
          <t>Carry it close on your person</t>
        </is>
      </c>
    </row>
    <row r="102" ht="45.75" customHeight="1" s="56">
      <c r="A102" s="43" t="inlineStr">
        <is>
          <t>Change, Beginnings &amp; Habit Work</t>
        </is>
      </c>
      <c r="B102" s="43" t="inlineStr">
        <is>
          <t>Transformation</t>
        </is>
      </c>
      <c r="C102" s="43" t="inlineStr">
        <is>
          <t>Full</t>
        </is>
      </c>
      <c r="D102" s="43" t="inlineStr">
        <is>
          <t>Fire</t>
        </is>
      </c>
      <c r="E102" s="43" t="inlineStr">
        <is>
          <t>Mars</t>
        </is>
      </c>
      <c r="F102" s="43" t="inlineStr">
        <is>
          <t>Tuesday</t>
        </is>
      </c>
      <c r="G102" s="43" t="inlineStr">
        <is>
          <t>Orange</t>
        </is>
      </c>
      <c r="H102" s="43" t="inlineStr">
        <is>
          <t>South</t>
        </is>
      </c>
      <c r="I102" s="43" t="inlineStr">
        <is>
          <t>Projective</t>
        </is>
      </c>
      <c r="J102" s="43" t="inlineStr">
        <is>
          <t>Red, gold, crimson, orange, white</t>
        </is>
      </c>
      <c r="K102" s="43" t="inlineStr">
        <is>
          <t>9</t>
        </is>
      </c>
      <c r="L102" s="43" t="inlineStr">
        <is>
          <t>Aggression, conflict, dominance</t>
        </is>
      </c>
      <c r="M102" s="43" t="inlineStr">
        <is>
          <t>3 or 7</t>
        </is>
      </c>
      <c r="N102" s="43" t="inlineStr">
        <is>
          <t>ACORN, CAMPHOR SYNTHETIC, CEDARWOOD (HIMALAYAN), CHIVE, CLOVES, COMFREY, HEATHER, JASMINE, LEMON VERBENA, PEPPERMINT, ROSEMARY, THYME, VALERIAN ROOT</t>
        </is>
      </c>
      <c r="O102" s="43" t="inlineStr">
        <is>
          <t>13</t>
        </is>
      </c>
      <c r="P102" s="43" t="inlineStr">
        <is>
          <t>agate Botswana , Citrine, Rhodocrosite</t>
        </is>
      </c>
      <c r="Q102" s="43" t="inlineStr">
        <is>
          <t>3</t>
        </is>
      </c>
      <c r="R102" s="43" t="inlineStr">
        <is>
          <t>Frankincense, Patchouli, Cedarwood, Peppermint</t>
        </is>
      </c>
      <c r="S102" s="43" t="n">
        <v>4</v>
      </c>
      <c r="T102" s="43" t="inlineStr">
        <is>
          <t>FEHU, RAIDO, IHWAZ, BERKANAN, MANNAZ, LAGUZ, DAGAZ</t>
        </is>
      </c>
      <c r="U102" s="43" t="inlineStr">
        <is>
          <t>7</t>
        </is>
      </c>
      <c r="V102" s="43" t="inlineStr">
        <is>
          <t>AESCULAPUS, ALL GODDESSES, ALL LUNAR GODDESSES, ALLAT, AMBERELLA, ARADIA, ARIANRHOD, ARTEMIS, ASTARTE, ATTIS, BAAL, BACCHUS, BALDUR &amp; HATHOR, BEFANA, BONA DEA, BRIGID, BUDDHA, CEBELE, CERES, CERRIDWEN</t>
        </is>
      </c>
      <c r="W102" s="43" t="inlineStr">
        <is>
          <t>71</t>
        </is>
      </c>
      <c r="X102" t="inlineStr">
        <is>
          <t>Transform / Turn</t>
        </is>
      </c>
      <c r="Y102" t="inlineStr">
        <is>
          <t>Transform / Turn</t>
        </is>
      </c>
      <c r="Z102" t="inlineStr">
        <is>
          <t>Smoke and Flame</t>
        </is>
      </c>
      <c r="AA102" t="inlineStr">
        <is>
          <t>Maybe</t>
        </is>
      </c>
      <c r="AB102" t="inlineStr">
        <is>
          <t>Yes</t>
        </is>
      </c>
      <c r="AC102" t="inlineStr">
        <is>
          <t>Yes</t>
        </is>
      </c>
      <c r="AD102" t="inlineStr">
        <is>
          <t>Turn the old pattern, release what binds, or open the next path.</t>
        </is>
      </c>
      <c r="AE102" t="inlineStr">
        <is>
          <t>App should pull this row's Greenman Energy Mode from the main item sheets. Use Secondary Energy Hint only if a serious/adult spell still needs a Draw/Hold/Release/Open/Transform flavour.</t>
        </is>
      </c>
      <c r="AF102" t="inlineStr">
        <is>
          <t>Burn and release, no remains</t>
        </is>
      </c>
      <c r="AG102" t="inlineStr">
        <is>
          <t>Bury in the earth | Place in a tree</t>
        </is>
      </c>
    </row>
    <row r="103" ht="23.25" customHeight="1" s="56">
      <c r="A103" s="43" t="inlineStr">
        <is>
          <t>Change, Beginnings &amp; Habit Work</t>
        </is>
      </c>
      <c r="B103" s="43" t="inlineStr">
        <is>
          <t>Letting go</t>
        </is>
      </c>
      <c r="C103" s="43" t="inlineStr">
        <is>
          <t>Waning</t>
        </is>
      </c>
      <c r="D103" s="43" t="inlineStr">
        <is>
          <t>Water</t>
        </is>
      </c>
      <c r="E103" s="43" t="inlineStr">
        <is>
          <t>Moon</t>
        </is>
      </c>
      <c r="F103" s="43" t="inlineStr">
        <is>
          <t>Monday</t>
        </is>
      </c>
      <c r="G103" s="43" t="inlineStr">
        <is>
          <t>Black</t>
        </is>
      </c>
      <c r="H103" s="43" t="inlineStr">
        <is>
          <t>West</t>
        </is>
      </c>
      <c r="I103" s="43" t="inlineStr">
        <is>
          <t>Receptive</t>
        </is>
      </c>
      <c r="J103" s="43" t="inlineStr">
        <is>
          <t>Blue, silver, grey, black, white</t>
        </is>
      </c>
      <c r="K103" s="43" t="inlineStr">
        <is>
          <t>2</t>
        </is>
      </c>
      <c r="L103" s="43" t="inlineStr">
        <is>
          <t>Duality, balance, couples, partnerships</t>
        </is>
      </c>
      <c r="M103" s="43" t="inlineStr">
        <is>
          <t>3 or 7</t>
        </is>
      </c>
      <c r="N103" s="43" t="inlineStr">
        <is>
          <t>ROSEMARY, SAGE, LAVENDER FLOWERS, AGRIMONY, VALERIAN ROOT, BLACK SALT, YARROW</t>
        </is>
      </c>
      <c r="O103" s="43" t="n">
        <v>7</v>
      </c>
      <c r="P103" s="43" t="inlineStr">
        <is>
          <t>Obsidian, obsidian snowflake, quartz smokey, Apache Tears</t>
        </is>
      </c>
      <c r="Q103" s="43" t="n">
        <v>4</v>
      </c>
      <c r="R103" s="43" t="inlineStr">
        <is>
          <t>Frankincense, Lavender, Cedarwood, Lavender</t>
        </is>
      </c>
      <c r="S103" s="43" t="n">
        <v>4</v>
      </c>
      <c r="T103" s="43" t="inlineStr">
        <is>
          <t>ISA, HAGALAZ, PERTH, DAGAZ</t>
        </is>
      </c>
      <c r="U103" s="43" t="n">
        <v>4</v>
      </c>
      <c r="V103" s="43" t="inlineStr">
        <is>
          <t>HECATE, PERSEPHONE, HEL, CERRIDWEN, ODIN, SATURN, PLUTO, URD</t>
        </is>
      </c>
      <c r="W103" s="43" t="n">
        <v>8</v>
      </c>
      <c r="X103" t="inlineStr">
        <is>
          <t>Release</t>
        </is>
      </c>
      <c r="Y103" t="inlineStr">
        <is>
          <t>Release</t>
        </is>
      </c>
      <c r="Z103" t="inlineStr">
        <is>
          <t>Smoke and Flame</t>
        </is>
      </c>
      <c r="AA103" t="inlineStr">
        <is>
          <t>Maybe</t>
        </is>
      </c>
      <c r="AB103" t="inlineStr">
        <is>
          <t>Yes</t>
        </is>
      </c>
      <c r="AC103" t="inlineStr">
        <is>
          <t>Yes</t>
        </is>
      </c>
      <c r="AD103" t="inlineStr">
        <is>
          <t>Turn the old pattern, release what binds, or open the next path.</t>
        </is>
      </c>
      <c r="AE103" t="inlineStr">
        <is>
          <t>App should pull this row's Greenman Energy Mode from the main item sheets. Use Secondary Energy Hint only if a serious/adult spell still needs a Draw/Hold/Release/Open/Transform flavour.</t>
        </is>
      </c>
      <c r="AF103" t="inlineStr">
        <is>
          <t>Bury in the earth</t>
        </is>
      </c>
      <c r="AG103" t="inlineStr">
        <is>
          <t>Leave in running water | Burn and release, no remains</t>
        </is>
      </c>
    </row>
    <row r="104" ht="23.25" customHeight="1" s="56">
      <c r="A104" s="43" t="inlineStr">
        <is>
          <t>Change, Beginnings &amp; Habit Work</t>
        </is>
      </c>
      <c r="B104" s="43" t="inlineStr">
        <is>
          <t>Endings</t>
        </is>
      </c>
      <c r="C104" s="43" t="inlineStr">
        <is>
          <t>Dark</t>
        </is>
      </c>
      <c r="D104" s="43" t="inlineStr">
        <is>
          <t>Earth</t>
        </is>
      </c>
      <c r="E104" s="43" t="inlineStr">
        <is>
          <t>Saturn</t>
        </is>
      </c>
      <c r="F104" s="43" t="inlineStr">
        <is>
          <t>Saturday</t>
        </is>
      </c>
      <c r="G104" s="43" t="inlineStr">
        <is>
          <t>Black</t>
        </is>
      </c>
      <c r="H104" s="43" t="inlineStr">
        <is>
          <t>North</t>
        </is>
      </c>
      <c r="I104" s="43" t="inlineStr">
        <is>
          <t>Receptive</t>
        </is>
      </c>
      <c r="J104" s="43" t="inlineStr">
        <is>
          <t>Green, brown, black, white</t>
        </is>
      </c>
      <c r="K104" s="43" t="inlineStr">
        <is>
          <t>8</t>
        </is>
      </c>
      <c r="L104" s="43" t="inlineStr">
        <is>
          <t>Material aspects, travel, protection, discipline</t>
        </is>
      </c>
      <c r="M104" s="43" t="inlineStr">
        <is>
          <t>3 or 7</t>
        </is>
      </c>
      <c r="N104" s="43" t="inlineStr">
        <is>
          <t>ROSEMARY, SAGE, WORMWOOD, MYRRH GUM, CHRYSANTHEMUM, BLACK SALT, VALERIAN ROOT</t>
        </is>
      </c>
      <c r="O104" s="43" t="n">
        <v>7</v>
      </c>
      <c r="P104" s="43" t="inlineStr">
        <is>
          <t>Obsidian, Apache Tears, Jet, quartz smokey</t>
        </is>
      </c>
      <c r="Q104" s="43" t="n">
        <v>4</v>
      </c>
      <c r="R104" s="43" t="inlineStr">
        <is>
          <t>Sandalwood w.i., Frankincense, Cedarwood, Sandalwood w.i.</t>
        </is>
      </c>
      <c r="S104" s="43" t="n">
        <v>4</v>
      </c>
      <c r="T104" s="43" t="inlineStr">
        <is>
          <t>ISA, HAGALAZ, DAGAZ, OTHILA</t>
        </is>
      </c>
      <c r="U104" s="43" t="n">
        <v>4</v>
      </c>
      <c r="V104" s="43" t="inlineStr">
        <is>
          <t>HECATE, PERSEPHONE, HEL, CERRIDWEN, ODIN, SATURN, PLUTO, CRONOS</t>
        </is>
      </c>
      <c r="W104" s="43" t="n">
        <v>8</v>
      </c>
      <c r="X104" t="inlineStr">
        <is>
          <t>Release</t>
        </is>
      </c>
      <c r="Y104" t="inlineStr">
        <is>
          <t>Release</t>
        </is>
      </c>
      <c r="Z104" t="inlineStr">
        <is>
          <t>Smoke and Flame</t>
        </is>
      </c>
      <c r="AA104" t="inlineStr">
        <is>
          <t>Maybe</t>
        </is>
      </c>
      <c r="AB104" t="inlineStr">
        <is>
          <t>Yes</t>
        </is>
      </c>
      <c r="AC104" t="inlineStr">
        <is>
          <t>Yes</t>
        </is>
      </c>
      <c r="AD104" t="inlineStr">
        <is>
          <t>Turn the old pattern, release what binds, or open the next path.</t>
        </is>
      </c>
      <c r="AE104" t="inlineStr">
        <is>
          <t>App should pull this row's Greenman Energy Mode from the main item sheets. Use Secondary Energy Hint only if a serious/adult spell still needs a Draw/Hold/Release/Open/Transform flavour.</t>
        </is>
      </c>
      <c r="AF104" t="inlineStr">
        <is>
          <t>Bury in the earth</t>
        </is>
      </c>
      <c r="AG104" t="inlineStr">
        <is>
          <t>Burn and release, no remains | Leave in running water</t>
        </is>
      </c>
    </row>
    <row r="105" ht="23.25" customHeight="1" s="56">
      <c r="A105" s="43" t="inlineStr">
        <is>
          <t>Change, Beginnings &amp; Habit Work</t>
        </is>
      </c>
      <c r="B105" s="43" t="inlineStr">
        <is>
          <t>Rebirth / Reincarnation</t>
        </is>
      </c>
      <c r="C105" s="43" t="inlineStr">
        <is>
          <t>Dark</t>
        </is>
      </c>
      <c r="D105" s="43" t="inlineStr">
        <is>
          <t>Earth</t>
        </is>
      </c>
      <c r="E105" s="43" t="inlineStr">
        <is>
          <t>Saturn</t>
        </is>
      </c>
      <c r="F105" s="43" t="inlineStr">
        <is>
          <t>Saturday</t>
        </is>
      </c>
      <c r="G105" s="43" t="inlineStr">
        <is>
          <t>White</t>
        </is>
      </c>
      <c r="H105" s="43" t="inlineStr">
        <is>
          <t>North</t>
        </is>
      </c>
      <c r="I105" s="43" t="inlineStr">
        <is>
          <t>Receptive</t>
        </is>
      </c>
      <c r="J105" s="43" t="inlineStr">
        <is>
          <t>Green, brown, black, white</t>
        </is>
      </c>
      <c r="K105" s="43" t="inlineStr">
        <is>
          <t>8</t>
        </is>
      </c>
      <c r="L105" s="43" t="inlineStr">
        <is>
          <t>Material aspects, travel, protection, discipline</t>
        </is>
      </c>
      <c r="M105" s="43" t="inlineStr">
        <is>
          <t>3 or 7</t>
        </is>
      </c>
      <c r="N105" s="43" t="inlineStr">
        <is>
          <t>ROSEMARY, SAGE, WORMWOOD, FRANKINCENSE, MYRRH GUM, TANSY, CHRYSANTHEMUM</t>
        </is>
      </c>
      <c r="O105" s="43" t="n">
        <v>7</v>
      </c>
      <c r="P105" s="43" t="inlineStr">
        <is>
          <t>Petrified Wood, Obsidian, Quartz Clear, Moonstone</t>
        </is>
      </c>
      <c r="Q105" s="43" t="n">
        <v>4</v>
      </c>
      <c r="R105" s="43" t="inlineStr">
        <is>
          <t>Sandalwood w.i., Frankincense, Sandalwood In., Cedarwood</t>
        </is>
      </c>
      <c r="S105" s="43" t="n">
        <v>4</v>
      </c>
      <c r="T105" s="43" t="inlineStr">
        <is>
          <t>DAGAZ, IHWAZ, PERTH, BERKANAN</t>
        </is>
      </c>
      <c r="U105" s="43" t="n">
        <v>4</v>
      </c>
      <c r="V105" s="43" t="inlineStr">
        <is>
          <t>PERSEPHONE, ISIS, BRIGID, EOSTRE, ODIN, SATURN, PLUTO, ING</t>
        </is>
      </c>
      <c r="W105" s="43" t="n">
        <v>8</v>
      </c>
      <c r="X105" t="inlineStr">
        <is>
          <t>Transform / Turn</t>
        </is>
      </c>
      <c r="Y105" t="inlineStr">
        <is>
          <t>Transform / Turn</t>
        </is>
      </c>
      <c r="Z105" t="inlineStr">
        <is>
          <t>Smoke and Flame</t>
        </is>
      </c>
      <c r="AA105" t="inlineStr">
        <is>
          <t>Maybe</t>
        </is>
      </c>
      <c r="AB105" t="inlineStr">
        <is>
          <t>Yes</t>
        </is>
      </c>
      <c r="AC105" t="inlineStr">
        <is>
          <t>Yes</t>
        </is>
      </c>
      <c r="AD105" t="inlineStr">
        <is>
          <t>Turn the old pattern, release what binds, or open the next path.</t>
        </is>
      </c>
      <c r="AE105" t="inlineStr">
        <is>
          <t>App should pull this row's Greenman Energy Mode from the main item sheets. Use Secondary Energy Hint only if a serious/adult spell still needs a Draw/Hold/Release/Open/Transform flavour.</t>
        </is>
      </c>
      <c r="AF105" t="inlineStr">
        <is>
          <t>Place in a tree</t>
        </is>
      </c>
      <c r="AG105" t="inlineStr">
        <is>
          <t>Bury in the earth | Place at a shrine or altar</t>
        </is>
      </c>
    </row>
    <row r="106" ht="23.25" customHeight="1" s="56">
      <c r="A106" s="43" t="inlineStr">
        <is>
          <t>Miscellaneous</t>
        </is>
      </c>
      <c r="B106" s="43" t="inlineStr">
        <is>
          <t>Beauty</t>
        </is>
      </c>
      <c r="C106" s="43" t="inlineStr">
        <is>
          <t>Waxing</t>
        </is>
      </c>
      <c r="D106" s="43" t="inlineStr">
        <is>
          <t>Water</t>
        </is>
      </c>
      <c r="E106" s="43" t="inlineStr">
        <is>
          <t>Venus</t>
        </is>
      </c>
      <c r="F106" s="43" t="inlineStr">
        <is>
          <t>Friday</t>
        </is>
      </c>
      <c r="G106" s="43" t="inlineStr">
        <is>
          <t>Pink</t>
        </is>
      </c>
      <c r="H106" s="43" t="inlineStr">
        <is>
          <t>West</t>
        </is>
      </c>
      <c r="I106" s="43" t="inlineStr">
        <is>
          <t>Receptive</t>
        </is>
      </c>
      <c r="J106" s="43" t="inlineStr">
        <is>
          <t>Blue, silver, grey, black, white</t>
        </is>
      </c>
      <c r="K106" s="43" t="inlineStr">
        <is>
          <t>6</t>
        </is>
      </c>
      <c r="L106" s="43" t="inlineStr">
        <is>
          <t>Emotions, magnetism, gods/goddesses, cats</t>
        </is>
      </c>
      <c r="M106" s="43" t="inlineStr">
        <is>
          <t>1 or 3</t>
        </is>
      </c>
      <c r="N106" s="43" t="inlineStr">
        <is>
          <t>ROSE PETALS, LAVENDER FLOWERS, CHAMOMILE, HEARTSEASE, VIOLET LEAVES, ELDERFLOWER, ROSE BUDS PINK</t>
        </is>
      </c>
      <c r="O106" s="43" t="n">
        <v>7</v>
      </c>
      <c r="P106" s="43" t="inlineStr">
        <is>
          <t>quartz Rose, Moonstone, Amazonite, chrysophase</t>
        </is>
      </c>
      <c r="Q106" s="43" t="n">
        <v>4</v>
      </c>
      <c r="R106" s="43" t="inlineStr">
        <is>
          <t>Rose, Lavender, Geranium, Ylang Ylang</t>
        </is>
      </c>
      <c r="S106" s="43" t="n">
        <v>4</v>
      </c>
      <c r="T106" s="43" t="inlineStr">
        <is>
          <t>BERKANAN, WUNJO, FEHU, LAGUZ</t>
        </is>
      </c>
      <c r="U106" s="43" t="n">
        <v>4</v>
      </c>
      <c r="V106" s="43" t="inlineStr">
        <is>
          <t>APHRODITE, VENUS, HATHOR, DIANA, EROS, FREY, CUPID, DIONYSUS</t>
        </is>
      </c>
      <c r="W106" s="43" t="n">
        <v>8</v>
      </c>
      <c r="X106" t="inlineStr">
        <is>
          <t>Draw</t>
        </is>
      </c>
      <c r="Y106" t="inlineStr">
        <is>
          <t>Draw</t>
        </is>
      </c>
      <c r="Z106" t="inlineStr">
        <is>
          <t>Charm Bag</t>
        </is>
      </c>
      <c r="AA106" t="inlineStr">
        <is>
          <t>Maybe</t>
        </is>
      </c>
      <c r="AB106" t="inlineStr">
        <is>
          <t>Maybe</t>
        </is>
      </c>
      <c r="AC106" t="inlineStr">
        <is>
          <t>Yes</t>
        </is>
      </c>
      <c r="AD106" t="inlineStr">
        <is>
          <t>General working: usually best carried, held, or kept close.</t>
        </is>
      </c>
      <c r="AE106" t="inlineStr">
        <is>
          <t>App should pull this row's Greenman Energy Mode from the main item sheets. Use Secondary Energy Hint only if a serious/adult spell still needs a Draw/Hold/Release/Open/Transform flavour.</t>
        </is>
      </c>
      <c r="AF106" t="inlineStr">
        <is>
          <t>Carry it close on your person</t>
        </is>
      </c>
      <c r="AG106" t="inlineStr">
        <is>
          <t>Place where it can be seen | Hang it in the home</t>
        </is>
      </c>
    </row>
    <row r="107" ht="23.25" customHeight="1" s="56">
      <c r="A107" s="43" t="inlineStr">
        <is>
          <t>Miscellaneous</t>
        </is>
      </c>
      <c r="B107" s="43" t="inlineStr">
        <is>
          <t>Longevity / Immortality</t>
        </is>
      </c>
      <c r="C107" s="43" t="inlineStr">
        <is>
          <t>Waxing</t>
        </is>
      </c>
      <c r="D107" s="43" t="inlineStr">
        <is>
          <t>Earth</t>
        </is>
      </c>
      <c r="E107" s="43" t="inlineStr">
        <is>
          <t>Saturn</t>
        </is>
      </c>
      <c r="F107" s="43" t="inlineStr">
        <is>
          <t>Saturday</t>
        </is>
      </c>
      <c r="G107" s="43" t="inlineStr">
        <is>
          <t>Brown</t>
        </is>
      </c>
      <c r="H107" s="43" t="inlineStr">
        <is>
          <t>North</t>
        </is>
      </c>
      <c r="I107" s="43" t="inlineStr">
        <is>
          <t>Receptive</t>
        </is>
      </c>
      <c r="J107" s="43" t="inlineStr">
        <is>
          <t>Green, brown, black, white</t>
        </is>
      </c>
      <c r="K107" s="43" t="inlineStr">
        <is>
          <t>8</t>
        </is>
      </c>
      <c r="L107" s="43" t="inlineStr">
        <is>
          <t>Material aspects, travel, protection, discipline</t>
        </is>
      </c>
      <c r="M107" s="43" t="inlineStr">
        <is>
          <t>1 or 3</t>
        </is>
      </c>
      <c r="N107" s="43" t="inlineStr">
        <is>
          <t>ROSEMARY, SAGE, OAKBARK RED, CEDARWOOD (HIMALAYAN), FRANKINCENSE, MYRRH GUM, BAY LAUREL</t>
        </is>
      </c>
      <c r="O107" s="43" t="n">
        <v>7</v>
      </c>
      <c r="P107" s="43" t="inlineStr">
        <is>
          <t>Petrified Wood, Amber, Jade (jadeite), Quartz Clear</t>
        </is>
      </c>
      <c r="Q107" s="43" t="n">
        <v>4</v>
      </c>
      <c r="R107" s="43" t="inlineStr">
        <is>
          <t>Frankincense, Cedarwood, Sandalwood w.i., Sandalwood In.</t>
        </is>
      </c>
      <c r="S107" s="43" t="n">
        <v>4</v>
      </c>
      <c r="T107" s="43" t="inlineStr">
        <is>
          <t>IHWAZ, OTHILA, JERA, ALGIZ</t>
        </is>
      </c>
      <c r="U107" s="43" t="n">
        <v>4</v>
      </c>
      <c r="V107" s="43" t="inlineStr">
        <is>
          <t>ISIS, GAIA, HECATE, THE GREAT MOTHER, ODIN, ZEUS, JUPITER, SATURN</t>
        </is>
      </c>
      <c r="W107" s="43" t="n">
        <v>8</v>
      </c>
      <c r="X107" t="inlineStr">
        <is>
          <t>Hold</t>
        </is>
      </c>
      <c r="Y107" t="inlineStr">
        <is>
          <t>Hold</t>
        </is>
      </c>
      <c r="Z107" t="inlineStr">
        <is>
          <t>Charm Bag</t>
        </is>
      </c>
      <c r="AA107" t="inlineStr">
        <is>
          <t>Maybe</t>
        </is>
      </c>
      <c r="AB107" t="inlineStr">
        <is>
          <t>Maybe</t>
        </is>
      </c>
      <c r="AC107" t="inlineStr">
        <is>
          <t>Yes</t>
        </is>
      </c>
      <c r="AD107" t="inlineStr">
        <is>
          <t>General working: usually best carried, held, or kept close.</t>
        </is>
      </c>
      <c r="AE107" t="inlineStr">
        <is>
          <t>App should pull this row's Greenman Energy Mode from the main item sheets. Use Secondary Energy Hint only if a serious/adult spell still needs a Draw/Hold/Release/Open/Transform flavour.</t>
        </is>
      </c>
      <c r="AF107" t="inlineStr">
        <is>
          <t>Place at a shrine or altar</t>
        </is>
      </c>
      <c r="AG107" t="inlineStr">
        <is>
          <t>Place in a tree | Hang it in the home</t>
        </is>
      </c>
    </row>
    <row r="108" ht="166.5" customHeight="1" s="56">
      <c r="A108" s="43" t="inlineStr">
        <is>
          <t>Miscellaneous</t>
        </is>
      </c>
      <c r="B108" s="43" t="inlineStr">
        <is>
          <t>Meditation</t>
        </is>
      </c>
      <c r="C108" s="43" t="inlineStr">
        <is>
          <t>Full</t>
        </is>
      </c>
      <c r="D108" s="43" t="inlineStr">
        <is>
          <t>Air</t>
        </is>
      </c>
      <c r="E108" s="43" t="inlineStr">
        <is>
          <t>Mercury</t>
        </is>
      </c>
      <c r="F108" s="43" t="inlineStr">
        <is>
          <t>Wednesday</t>
        </is>
      </c>
      <c r="G108" s="43" t="inlineStr">
        <is>
          <t>Violet/Purple</t>
        </is>
      </c>
      <c r="H108" s="43" t="inlineStr">
        <is>
          <t>East</t>
        </is>
      </c>
      <c r="I108" s="43" t="inlineStr">
        <is>
          <t>Projective</t>
        </is>
      </c>
      <c r="J108" s="43" t="inlineStr">
        <is>
          <t>Yellow, white, crimson</t>
        </is>
      </c>
      <c r="K108" s="43" t="inlineStr">
        <is>
          <t>5</t>
        </is>
      </c>
      <c r="L108" s="43" t="inlineStr">
        <is>
          <t>Communication, fulfilment</t>
        </is>
      </c>
      <c r="M108" s="43" t="inlineStr">
        <is>
          <t>1 or 3</t>
        </is>
      </c>
      <c r="N108" s="43" t="inlineStr">
        <is>
          <t>ANISE, APPLE BLOSSOM, APPLEWOOD CHIPS, BASIL, BAY LAUREL, BENZOIN, BLACK TEA, BLACKBERRY LEAVES, CALAMUS ROOT, CARAWAY, CEDARWOOD (HIMALAYAN), CHAMOMILE, CHRYSANTHEMUM, CINNAMON STICKS, CLOVER, CLOVER RED, CLOVES, COLTSFOOT, COMFREY, DILL, DRAGON'S BLOOD, ELDERFLOWER, FENNEL (SEED), FRANKINCENSE, GARDENIA FRUIT, GINGER ROOT, GOLDENROD, HEARTSEASE, HIBISCUS, HOREHOUND, HYSSOP, JASMINE, JUNIPER BERRIES, LADIES MANTLE, LAVENDER FLOWERS, LEMON BALM, LEMON VERBENA, LEMONGRASS, LINDEN, MEADOW SWEET, HONESTY, MULLEIN, MUSTARD SEED WHITE, MYRRH GUM, NUTMEG POWDER, OAKBARK RED, SWEET MYRRH, OREGANO, ORRIS ROOT POWDER, PARSLEY, PENNYROYAL, PEPPERMINT, PINE NUT, RASPBERRY LEAF, ROSE BUDS PINK, ROSE BUDS RED, ROSE HIP, ROSE PETALS, ROSEMARY, RUE, SAGE, SANDALWOOD RED, SANDALWOOD WHITE, THYME, VALERIAN ROOT, VIOLET LEAVES, VIOLET, WHEAT GRAINS</t>
        </is>
      </c>
      <c r="O108" s="43" t="inlineStr">
        <is>
          <t>68</t>
        </is>
      </c>
      <c r="P108" s="43" t="inlineStr">
        <is>
          <t>agate Blue Lace , Amethyst, Apache Tears, Calcite, Carnelian, Chrysocolla, Quartz Clear , Copper flakes, Emerald, Flourite, Hematite, Howlite, Jet, Lapis Lazuli, Lepidolite, Lodestone, Moonstone, Peridot, quartz Rose , quartz smokey , quartz snow , Red Jasper, Rhodonite, Ruby, Sapphire, Seraphinite, Serpentine, Sodalite, Tanzanite, Tiger Eye gold, Unakite, Yellow Aventurine</t>
        </is>
      </c>
      <c r="Q108" s="43" t="inlineStr">
        <is>
          <t>32</t>
        </is>
      </c>
      <c r="R108" s="43" t="inlineStr">
        <is>
          <t>Apple, Bergamot, Clove Bud, Frankincense, Geranium, Juniper, Lavender, Lemon, Lemon Grass, Marjoram, Melissa, Neroli, Orange Bitter, Pine, Rose, Rosemary, Thyme, Vanilla, Ylang Ylang, Cinnamon, Ginger, Patchouli, Sandalwood In.</t>
        </is>
      </c>
      <c r="S108" s="43" t="inlineStr">
        <is>
          <t>23</t>
        </is>
      </c>
      <c r="T108" s="43" t="inlineStr">
        <is>
          <t>FEHU, ANSUZ, RAIDO, GEBO, WUNJO, PERTH, SOWILO, TIWAZ, EHWAZ, INGWAZ, OTHILA</t>
        </is>
      </c>
      <c r="U108" s="43" t="inlineStr">
        <is>
          <t>11</t>
        </is>
      </c>
      <c r="V108" s="43" t="inlineStr">
        <is>
          <t>AESCULAPUS, ALL, ALL GODDESSES, ALL LUNAR GODDESSES, ALLAT, AMATERASU, AMBERELLA, APHRODITE, ARADIA, ARES, ARIANRHOD, ARTEMIS, ASTARTE, ATTIS, BAAL, BACCHUS, BALDOR, BALDUR &amp; HATHOR, BEFANA, BONA DEA</t>
        </is>
      </c>
      <c r="W108" s="43" t="inlineStr">
        <is>
          <t>89</t>
        </is>
      </c>
      <c r="X108" t="inlineStr">
        <is>
          <t>Open / Reveal</t>
        </is>
      </c>
      <c r="Y108" t="inlineStr">
        <is>
          <t>Open / Reveal</t>
        </is>
      </c>
      <c r="Z108" t="inlineStr">
        <is>
          <t>Charm Bag</t>
        </is>
      </c>
      <c r="AA108" t="inlineStr">
        <is>
          <t>Maybe</t>
        </is>
      </c>
      <c r="AB108" t="inlineStr">
        <is>
          <t>Maybe</t>
        </is>
      </c>
      <c r="AC108" t="inlineStr">
        <is>
          <t>Yes</t>
        </is>
      </c>
      <c r="AD108" t="inlineStr">
        <is>
          <t>General working: usually best carried, held, or kept close.</t>
        </is>
      </c>
      <c r="AE108" t="inlineStr">
        <is>
          <t>App should pull this row's Greenman Energy Mode from the main item sheets. Use Secondary Energy Hint only if a serious/adult spell still needs a Draw/Hold/Release/Open/Transform flavour.</t>
        </is>
      </c>
      <c r="AF108" t="inlineStr">
        <is>
          <t>Place at a shrine or altar</t>
        </is>
      </c>
      <c r="AG108" t="inlineStr">
        <is>
          <t>Carry it close on your person</t>
        </is>
      </c>
    </row>
    <row r="109" ht="23.25" customHeight="1" s="56">
      <c r="A109" s="43" t="inlineStr">
        <is>
          <t>Miscellaneous</t>
        </is>
      </c>
      <c r="B109" s="43" t="inlineStr">
        <is>
          <t>Dragon Spell</t>
        </is>
      </c>
      <c r="C109" s="43" t="inlineStr">
        <is>
          <t>Full</t>
        </is>
      </c>
      <c r="D109" s="43" t="inlineStr">
        <is>
          <t>Fire</t>
        </is>
      </c>
      <c r="E109" s="43" t="inlineStr">
        <is>
          <t>Mars</t>
        </is>
      </c>
      <c r="F109" s="43" t="inlineStr">
        <is>
          <t>Tuesday</t>
        </is>
      </c>
      <c r="G109" s="43" t="inlineStr">
        <is>
          <t>Red</t>
        </is>
      </c>
      <c r="H109" s="43" t="inlineStr">
        <is>
          <t>South</t>
        </is>
      </c>
      <c r="I109" s="43" t="inlineStr">
        <is>
          <t>Projective</t>
        </is>
      </c>
      <c r="J109" s="43" t="inlineStr">
        <is>
          <t>Red, gold, crimson, orange, white</t>
        </is>
      </c>
      <c r="K109" s="43" t="inlineStr">
        <is>
          <t>9</t>
        </is>
      </c>
      <c r="L109" s="43" t="inlineStr">
        <is>
          <t>Aggression, conflict, dominance</t>
        </is>
      </c>
      <c r="M109" s="43" t="inlineStr">
        <is>
          <t>1 or 3</t>
        </is>
      </c>
      <c r="N109" s="43" t="inlineStr">
        <is>
          <t>DRAGON'S BLOOD, ROSEMARY, BASIL, FRANKINCENSE, CINNAMON STICKS, WORMWOOD, OAKBARK RED</t>
        </is>
      </c>
      <c r="O109" s="43" t="n">
        <v>7</v>
      </c>
      <c r="P109" s="43" t="inlineStr">
        <is>
          <t>Garnet, Ruby, Obsidian, Carnelian</t>
        </is>
      </c>
      <c r="Q109" s="43" t="n">
        <v>4</v>
      </c>
      <c r="R109" s="43" t="inlineStr">
        <is>
          <t>Frankincense, Cinnamon, Frankincense, Ginger</t>
        </is>
      </c>
      <c r="S109" s="43" t="n">
        <v>4</v>
      </c>
      <c r="T109" s="43" t="inlineStr">
        <is>
          <t>TIWAZ, URUZ, THURISAZ, IHWAZ</t>
        </is>
      </c>
      <c r="U109" s="43" t="n">
        <v>4</v>
      </c>
      <c r="V109" s="43" t="inlineStr">
        <is>
          <t>HECATE, SEKHMET, CERRIDWEN, MADAME PELE, ODIN, SHIVA, ZEUS, THOR</t>
        </is>
      </c>
      <c r="W109" s="43" t="n">
        <v>8</v>
      </c>
      <c r="X109" t="inlineStr">
        <is>
          <t>Transform / Turn</t>
        </is>
      </c>
      <c r="Y109" t="inlineStr">
        <is>
          <t>Transform / Turn</t>
        </is>
      </c>
      <c r="Z109" t="inlineStr">
        <is>
          <t>Charm Bag</t>
        </is>
      </c>
      <c r="AA109" t="inlineStr">
        <is>
          <t>Maybe</t>
        </is>
      </c>
      <c r="AB109" t="inlineStr">
        <is>
          <t>Maybe</t>
        </is>
      </c>
      <c r="AC109" t="inlineStr">
        <is>
          <t>Yes</t>
        </is>
      </c>
      <c r="AD109" t="inlineStr">
        <is>
          <t>General working: usually best carried, held, or kept close.</t>
        </is>
      </c>
      <c r="AE109" t="inlineStr">
        <is>
          <t>App should pull this row's Greenman Energy Mode from the main item sheets. Use Secondary Energy Hint only if a serious/adult spell still needs a Draw/Hold/Release/Open/Transform flavour.</t>
        </is>
      </c>
      <c r="AF109" t="inlineStr">
        <is>
          <t>Place at a shrine or altar</t>
        </is>
      </c>
      <c r="AG109" t="inlineStr">
        <is>
          <t>Place in a tree | Carry it close on your person</t>
        </is>
      </c>
    </row>
    <row r="110" ht="177" customHeight="1" s="56">
      <c r="A110" s="43" t="inlineStr">
        <is>
          <t>Spirit Work, Otherworld &amp; Planes</t>
        </is>
      </c>
      <c r="B110" s="43" t="inlineStr">
        <is>
          <t>Sacred passing</t>
        </is>
      </c>
      <c r="C110" s="43" t="inlineStr">
        <is>
          <t>Dark</t>
        </is>
      </c>
      <c r="D110" s="43" t="inlineStr">
        <is>
          <t>Earth</t>
        </is>
      </c>
      <c r="E110" s="43" t="inlineStr">
        <is>
          <t>Saturn</t>
        </is>
      </c>
      <c r="F110" s="43" t="inlineStr">
        <is>
          <t>Saturday</t>
        </is>
      </c>
      <c r="G110" s="43" t="inlineStr">
        <is>
          <t>Black</t>
        </is>
      </c>
      <c r="H110" s="43" t="inlineStr">
        <is>
          <t>North</t>
        </is>
      </c>
      <c r="I110" s="43" t="inlineStr">
        <is>
          <t>Receptive</t>
        </is>
      </c>
      <c r="J110" s="43" t="inlineStr">
        <is>
          <t>Green, brown, black, white</t>
        </is>
      </c>
      <c r="K110" s="43" t="inlineStr">
        <is>
          <t>8</t>
        </is>
      </c>
      <c r="L110" s="43" t="inlineStr">
        <is>
          <t>Material aspects, travel, protection, discipline</t>
        </is>
      </c>
      <c r="M110" s="43" t="inlineStr">
        <is>
          <t>3 or 7</t>
        </is>
      </c>
      <c r="N110" s="43" t="inlineStr">
        <is>
          <t>ANISE, APPLEWOOD CHIPS, BASIL, CHRYSANTHEMUM, CLOVER, COLTSFOOT, LEMON BALM, MULLEIN, PARSLEY, PENNYROYAL, SAGE, SANDALWOOD RED, SANDALWOOD WHITE, TANSY, THYME, BLACK SALT, YARROW, APPLE BLOSSOM, BAY LAUREL, BENZOIN, BLACK TEA, BLACKBERRY LEAVES, CALAMUS ROOT, CARAWAY, CEDARWOOD (HIMALAYAN), CHAMOMILE, CINNAMON STICKS, CLOVER RED, CLOVES, COMFREY, DILL, DRAGON'S BLOOD, ELDERFLOWER, FENNEL (SEED), FRANKINCENSE, GARDENIA FRUIT, GINGER ROOT, GOLDENROD, HEARTSEASE, HIBISCUS, HOREHOUND, HYSSOP, JASMINE, JUNIPER BERRIES, LADIES MANTLE, LAVENDER FLOWERS, LEMON VERBENA, LEMONGRASS, LINDEN, MEADOW SWEET, HONESTY, MUSTARD SEED WHITE, MYRRH GUM, NUTMEG POWDER, OAKBARK RED, SWEET MYRRH, OREGANO, ORRIS ROOT POWDER, PEPPERMINT, PINE NUT, RASPBERRY LEAF, ROSE BUDS PINK, ROSE BUDS RED, ROSE HIP, ROSE PETALS, ROSEMARY, RUE, VALERIAN ROOT, VIOLET LEAVES, VIOLET, WHEAT GRAINS</t>
        </is>
      </c>
      <c r="O110" s="43" t="inlineStr">
        <is>
          <t>71</t>
        </is>
      </c>
      <c r="P110" s="43" t="inlineStr">
        <is>
          <t>Jet, obsidian snowflake, Onyx, Petrified Wood, Serpentine, agate Blue Lace , Amethyst, Apache Tears, Calcite, Carnelian, Chrysocolla, Quartz Clear , Copper flakes, Emerald, Flourite, Hematite, Howlite, Lapis Lazuli, Lepidolite, Lodestone, Moonstone, Peridot, quartz Rose , quartz smokey , quartz snow , Red Jasper, Rhodonite, Ruby, Sapphire, Seraphinite, Sodalite, Tanzanite, Tiger Eye gold, Unakite, Yellow Aventurine</t>
        </is>
      </c>
      <c r="Q110" s="43" t="inlineStr">
        <is>
          <t>35</t>
        </is>
      </c>
      <c r="R110" s="43" t="inlineStr">
        <is>
          <t>Frankincense, Sandalwood w.i., Apple, Bergamot, Clove Bud, Geranium, Juniper, Lavender, Lemon, Lemon Grass, Marjoram, Melissa, Neroli, Orange Bitter, Pine, Rose, Rosemary, Thyme, Vanilla, Ylang Ylang, Cinnamon, Ginger, Patchouli, Sandalwood In.</t>
        </is>
      </c>
      <c r="S110" s="43" t="inlineStr">
        <is>
          <t>24</t>
        </is>
      </c>
      <c r="T110" s="43" t="inlineStr">
        <is>
          <t>FEHU, ANSUZ, RAIDO, GEBO, WUNJO, PERTH, SOWILO, TIWAZ, EHWAZ, INGWAZ, OTHILA</t>
        </is>
      </c>
      <c r="U110" s="43" t="inlineStr">
        <is>
          <t>11</t>
        </is>
      </c>
      <c r="V110" s="43" t="inlineStr">
        <is>
          <t>ALL, AMATERASU, AMBERELLA, ARTEMIS, BEFANA, BUDDHA, DIANA, EREYR, FLIDAIS, GAIA, HATHOR, HECATE, HEL, ISIS, JANA, KWAN-YIN AND BUDDHA, LOKI, MADAME PELE, MARY MAGDALENE, MERCURY</t>
        </is>
      </c>
      <c r="W110" s="43" t="inlineStr">
        <is>
          <t>93</t>
        </is>
      </c>
      <c r="X110" t="inlineStr">
        <is>
          <t>Open / Reveal</t>
        </is>
      </c>
      <c r="Y110" t="inlineStr">
        <is>
          <t>Open / Reveal</t>
        </is>
      </c>
      <c r="Z110" t="inlineStr">
        <is>
          <t>Smoke and Flame</t>
        </is>
      </c>
      <c r="AA110" t="inlineStr">
        <is>
          <t>Maybe</t>
        </is>
      </c>
      <c r="AB110" t="inlineStr">
        <is>
          <t>Yes</t>
        </is>
      </c>
      <c r="AC110" t="inlineStr">
        <is>
          <t>Maybe</t>
        </is>
      </c>
      <c r="AD110" t="inlineStr">
        <is>
          <t>Open roads, make offerings, contact spirit paths, or transform thresholds.</t>
        </is>
      </c>
      <c r="AE110" t="inlineStr">
        <is>
          <t>App should pull this row's Greenman Energy Mode from the main item sheets. Use Secondary Energy Hint only if a serious/adult spell still needs a Draw/Hold/Release/Open/Transform flavour.</t>
        </is>
      </c>
      <c r="AF110" t="inlineStr">
        <is>
          <t>Place at a shrine or altar</t>
        </is>
      </c>
      <c r="AG110" t="inlineStr">
        <is>
          <t>Place in a tree | Bury in the earth</t>
        </is>
      </c>
    </row>
  </sheetData>
  <autoFilter ref="A1:C61"/>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100"/>
  <sheetViews>
    <sheetView zoomScaleNormal="100" workbookViewId="0">
      <pane xSplit="1" ySplit="1" topLeftCell="L11" activePane="bottomRight" state="frozen"/>
      <selection pane="bottomLeft" activeCell="A2" sqref="A2"/>
      <selection pane="topRight" activeCell="B1" sqref="B1"/>
      <selection pane="bottomRight" activeCell="S13" sqref="S13"/>
    </sheetView>
  </sheetViews>
  <sheetFormatPr baseColWidth="8" defaultColWidth="8.7421875" defaultRowHeight="15"/>
  <cols>
    <col width="20.04296875" customWidth="1" style="56" min="1" max="1"/>
    <col width="18.0234375" customWidth="1" style="56" min="2" max="2"/>
    <col width="20.04296875" customWidth="1" style="56" min="3" max="3"/>
    <col width="55.01953125" customWidth="1" style="56" min="4" max="4"/>
    <col width="27.98046875" customWidth="1" style="56" min="5" max="5"/>
    <col width="11.97265625" customWidth="1" style="56" min="6" max="9"/>
    <col width="22.05859375" customWidth="1" style="56" min="10" max="10"/>
    <col width="18.0234375" customWidth="1" style="56" min="11" max="11"/>
    <col width="45.0625" customWidth="1" style="56" min="12" max="12"/>
    <col width="27.98046875" customWidth="1" style="56" min="13" max="13"/>
    <col width="45.0625" customWidth="1" style="56" min="14" max="14"/>
    <col width="69.94921875" customWidth="1" style="56" min="15" max="15"/>
    <col width="18.0234375" customWidth="1" style="56" min="16" max="16"/>
    <col width="27.98046875" customWidth="1" style="56" min="17" max="17"/>
    <col width="34.97265625" customWidth="1" style="56" min="18" max="18"/>
    <col width="30.1328125" customWidth="1" style="56" min="19" max="19"/>
  </cols>
  <sheetData>
    <row r="1" ht="31.5" customHeight="1" s="56">
      <c r="A1" s="1" t="inlineStr">
        <is>
          <t>Name</t>
        </is>
      </c>
      <c r="B1" s="1" t="inlineStr">
        <is>
          <t>Ye Olde Name</t>
        </is>
      </c>
      <c r="C1" s="1" t="inlineStr">
        <is>
          <t>Latin Name</t>
        </is>
      </c>
      <c r="D1" s="1" t="inlineStr">
        <is>
          <t>Magical Uses</t>
        </is>
      </c>
      <c r="E1" s="1" t="inlineStr">
        <is>
          <t>Association</t>
        </is>
      </c>
      <c r="F1" s="1" t="inlineStr">
        <is>
          <t>Planet</t>
        </is>
      </c>
      <c r="G1" s="1" t="inlineStr">
        <is>
          <t>Element</t>
        </is>
      </c>
      <c r="H1" s="1" t="inlineStr">
        <is>
          <t>Energy</t>
        </is>
      </c>
      <c r="I1" s="1" t="inlineStr">
        <is>
          <t>Day</t>
        </is>
      </c>
      <c r="J1" s="1" t="inlineStr">
        <is>
          <t>Deity</t>
        </is>
      </c>
      <c r="K1" s="1" t="inlineStr">
        <is>
          <t>Sabbat</t>
        </is>
      </c>
      <c r="L1" s="1" t="inlineStr">
        <is>
          <t>Folk Lore</t>
        </is>
      </c>
      <c r="M1" s="1" t="inlineStr">
        <is>
          <t>Powers</t>
        </is>
      </c>
      <c r="N1" s="1" t="inlineStr">
        <is>
          <t>Spiritual Uses</t>
        </is>
      </c>
      <c r="O1" s="1" t="inlineStr">
        <is>
          <t>Description</t>
        </is>
      </c>
      <c r="P1" s="1" t="inlineStr">
        <is>
          <t>Oil Name</t>
        </is>
      </c>
      <c r="Q1" s="1" t="inlineStr">
        <is>
          <t>Geology</t>
        </is>
      </c>
      <c r="R1" s="1" t="inlineStr">
        <is>
          <t>Warning</t>
        </is>
      </c>
      <c r="S1" s="41" t="inlineStr">
        <is>
          <t>Greenman Energy — Main</t>
        </is>
      </c>
      <c r="T1" s="44" t="inlineStr">
        <is>
          <t>Zodiac Sign</t>
        </is>
      </c>
      <c r="U1" t="inlineStr">
        <is>
          <t>Greenman Energy — Draw</t>
        </is>
      </c>
      <c r="V1" t="inlineStr">
        <is>
          <t>Greenman Energy — Hold</t>
        </is>
      </c>
      <c r="W1" t="inlineStr">
        <is>
          <t>Greenman Energy — Release</t>
        </is>
      </c>
      <c r="X1" t="inlineStr">
        <is>
          <t>Greenman Energy — Open / Reveal</t>
        </is>
      </c>
      <c r="Y1" t="inlineStr">
        <is>
          <t>Greenman Energy — Transform / Turn</t>
        </is>
      </c>
      <c r="Z1" t="inlineStr">
        <is>
          <t>Greenman Energy — Over 18</t>
        </is>
      </c>
    </row>
    <row r="2" ht="159.75" customHeight="1" s="56">
      <c r="A2" s="2" t="inlineStr">
        <is>
          <t>ACORN</t>
        </is>
      </c>
      <c r="B2" s="2" t="inlineStr">
        <is>
          <t>FAERY CUPS</t>
        </is>
      </c>
      <c r="C2" s="2" t="inlineStr">
        <is>
          <t>Quercus robur</t>
        </is>
      </c>
      <c r="D2" s="3" t="inlineStr">
        <is>
          <t>New beginning spells, Sabbat rituals, Invocation of the Lord, Transformation/Evolution, Physical Strength, Will Power, Lust/Sex, Leadership, Wealth/Prosperity, Courage, Good luck, Protection, Wisdom, Personal power, Breaking habits, Breaking bad habits, Ending negative self-talk, Letting go of relationships, Ending guilt, Release, Renewal, New beginnings, Fresh starts, Transformation, Change, rebirth, Breakthrough, Awakening, Growth, New ideas, Assisting transformation, Strength, Fortitude, Vitality, Inner power, and strength, Confidence, Self-confidence, Bravery, Determination, Leadership skills, Commanding, Aphrodisiac, Aphrodisiac tea, Sensuality, Lust, Passionate love-making, LOVING &amp; LUSTFUL ENERGIES, SEX MAGIC, RAISE SEXUAL ENERGY, Sexual energy, Fertility, Female fertility, Fertility magic, Fertility charms, Aiding fertility, Increasing fertility, Fruitfulness, Virility, male virility, Abundant harvest, Prosperity, Wealth,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Protective charm, Protective charms, Protective sachets, Protective wreaths, Protective incense, PROTECT AGAINST NEGATIVITY, Protection from negativity, Circle protection, Knowledge, Intelligence, Intuition, Mental clarity, Sharpening the wits, Sharpening the brain, Mental powers, MEM, Memory, Concentration, Focus, Illumination, Enlightenment</t>
        </is>
      </c>
      <c r="E2" s="3" t="inlineStr">
        <is>
          <t>HERMES, GREEN MAN, HORNED ONE</t>
        </is>
      </c>
      <c r="F2" s="2" t="inlineStr">
        <is>
          <t>SUN</t>
        </is>
      </c>
      <c r="G2" s="2" t="inlineStr">
        <is>
          <t>FIRE</t>
        </is>
      </c>
      <c r="H2" s="2" t="inlineStr">
        <is>
          <t>MASCULINE</t>
        </is>
      </c>
      <c r="I2" s="2" t="inlineStr">
        <is>
          <t>SUNDAY</t>
        </is>
      </c>
      <c r="J2" s="2" t="inlineStr">
        <is>
          <t>FATHER GOD</t>
        </is>
      </c>
      <c r="K2" s="3" t="inlineStr">
        <is>
          <t>LITHA, YULE</t>
        </is>
      </c>
      <c r="L2" s="3" t="inlineStr">
        <is>
          <t>To Wiccans the Acorn symbolizes the Lord or Great Father. Sacred to the Druids. Can be used as offerings to the Gods. Accepted magickal symbol.</t>
        </is>
      </c>
      <c r="M2" s="3" t="inlineStr">
        <is>
          <t>new beginning spells, Sabbat rituals involving the Lord (Father God), invocation of the Lord, transformation/evolution, physical strength, will power, lust/sex, leadership, wealth/prosperity (having enough to share is the key point of this aspect), and courage-enhancing spells.</t>
        </is>
      </c>
      <c r="N2" s="3" t="inlineStr">
        <is>
          <t>As a symbol, the acorn is magically used for: new beginning spells, Sabbat rituals involving the Lord (Father God), invocation of the Lord, transformation/evolution, physical strength, will power, lust/sex, leadership, wealth/prosperity (having enough to share is the key point of this aspect), and courage-enhancing spells.</t>
        </is>
      </c>
      <c r="O2" s="3" t="inlineStr">
        <is>
          <t>As a symbol, the acorn is magically used for: new beginning spells, Sabbat rituals involving the Lord (Father God), invocation of the Lord, transformation/evolution, physical strength, will power, lust/sex, leadership, wealth/prosperity (having enough to share is the key point of this aspect), and courage-enhancing spells. Acorns can be used in charms or spells for good luck, protection, wisdom, and personal power.</t>
        </is>
      </c>
      <c r="P2" s="2" t="inlineStr">
        <is>
          <t>Cedarwood</t>
        </is>
      </c>
      <c r="Q2" s="3" t="inlineStr">
        <is>
          <t>Europe, Western Asia, North Africa (Deciduous forests)</t>
        </is>
      </c>
      <c r="R2" s="3" t="inlineStr">
        <is>
          <t>Warning: Raw acorns are toxic due to tannins. Do not ingest raw. For magical use only.</t>
        </is>
      </c>
      <c r="S2" s="42" t="inlineStr">
        <is>
          <t>The Wiccan's symbol of the Lord himself — small as a cupped palm yet holding the whole forest inside it. Grown from fire and sun, dropped from the midsummer oak at Litha, gathered at Mabon. Where the great turning of the Wheel is called, this is the seed of it.</t>
        </is>
      </c>
      <c r="U2" t="inlineStr">
        <is>
          <t>Carried for luck and new beginnings, placed on the altar at sabbats to call the Lord's energy, drawn toward prosperity and good fortune.</t>
        </is>
      </c>
      <c r="V2" t="inlineStr">
        <is>
          <t>The strength of the oak compressed into a single hard shell — courage, willpower, personal power held steady through what must be endured.</t>
        </is>
      </c>
      <c r="W2" t="inlineStr">
        <is>
          <t>Where transformation and evolution must happen, this is the thing that holds the possibility of it — the acorn before the oak.</t>
        </is>
      </c>
      <c r="X2" t="inlineStr">
        <is>
          <t>Placed on the altar when something must be seen clearly — what new beginning is truly beginning, what invitation from the Lord is being given.</t>
        </is>
      </c>
      <c r="Y2" t="inlineStr">
        <is>
          <t>Beltane and Samhain both — the seed that must die into the earth before the new thing rises. Turns spells of ending and beginning in one movement.</t>
        </is>
      </c>
      <c r="Z2" t="inlineStr">
        <is>
          <t>The seed of the Lord himself — where the sacred masculine is invoked at its most generative and potent, the acorn is placed on the altar. The fire-sun energy of new creation at its most primal, the whole oak compressed into something that fits in a palm.</t>
        </is>
      </c>
    </row>
    <row r="3" ht="147" customHeight="1" s="56">
      <c r="A3" s="4" t="inlineStr">
        <is>
          <t>AGRIMONY</t>
        </is>
      </c>
      <c r="B3" s="4" t="inlineStr">
        <is>
          <t>STICKLE WORT</t>
        </is>
      </c>
      <c r="C3" s="4" t="inlineStr">
        <is>
          <t>Agrimonia eupatoria</t>
        </is>
      </c>
      <c r="D3" s="5" t="inlineStr">
        <is>
          <t>Exploring true feelings, Emotional balance, Protection, Psychic shielding, Reducing negativity, Banishing negative energies, Reversing harmful spells, Protective sachets, Cleansing the aura, Healing magic, Ritual baths, Tool cleansing, Banishing smudge, Exploring feelings, Emotional healing, Protective charm, Protective charms, Protective wreaths, Protective incense, PROTECT AGAINST NEGATIVITY, Protection from negativity, Circle protection, Protection (hexes/evil), Psychic protection,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 Cleansing before ritual, Purifying body and mind, Spell-breaking, Breaking spells, Hex breaking, Removing hexes, Removing curses, Removing jinxes, Removing bad luck, Breaking hexes, Returning hexes, hex-breaking, Removing hexes and curses, Removing a jinx, Luck, Good luck, Good luck in family matters, Fortune, Casino luck, WISHES, Wish magick, Carrying wishes, Transmuting wishes,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Healing, Healing spells, Healing sachets, Healing incenses, Healing mixtures, Healing rituals, Healing incense, Healing vibrations, healing after surgery, Aiding recovery, Aiding the ill, Improving health, Speeding recovery, Good health, health</t>
        </is>
      </c>
      <c r="E3" s="5" t="inlineStr">
        <is>
          <t>CANCER, SAGITTARIUS, PISCES</t>
        </is>
      </c>
      <c r="F3" s="4" t="inlineStr">
        <is>
          <t>JUPITER</t>
        </is>
      </c>
      <c r="G3" s="4" t="inlineStr">
        <is>
          <t>AIR</t>
        </is>
      </c>
      <c r="H3" s="4" t="inlineStr">
        <is>
          <t>MASCULINE</t>
        </is>
      </c>
      <c r="I3" s="4" t="inlineStr">
        <is>
          <t>THURSDAY</t>
        </is>
      </c>
      <c r="J3" s="4" t="inlineStr">
        <is>
          <t>ALL</t>
        </is>
      </c>
      <c r="K3" s="5" t="inlineStr">
        <is>
          <t>LAMMAS, MABON</t>
        </is>
      </c>
      <c r="L3" s="5" t="inlineStr">
        <is>
          <t>Believed to ensure a deep, dreamless sleep if added to pillows.</t>
        </is>
      </c>
      <c r="M3" s="5" t="inlineStr">
        <is>
          <t>spell work for those who need to explore their true feelings and to help balance the emotions applied to a situation.</t>
        </is>
      </c>
      <c r="N3" s="5" t="inlineStr">
        <is>
          <t>smudge or as a wash to cleanse the aura.</t>
        </is>
      </c>
      <c r="O3" s="5" t="inlineStr">
        <is>
          <t>Agrimony is useful for spell work for those who need to explore their true feelings and to help balance the emotions applied to a situation. The plant is also used in protection spells, to help build a psychic shield, to reduce the influence of another's negativity, and to banish negative energies and spirits. It is said to reverse harmful spells cast on you, causing them to rebound on the sender. Use in all protective sachets, spells, and medicine bags. It is useful also as a banishing smudge or as a wash to cleanse the aura. It is useful in healing magic as it enhances the strength of all healing spells, especially at a distance. You could use it in a ritual bath before beginning, as a wash for your tools, in a smudge, or simply decorate your altar with it.</t>
        </is>
      </c>
      <c r="P3" s="4" t="inlineStr">
        <is>
          <t>Peppermint</t>
        </is>
      </c>
      <c r="Q3" s="5" t="inlineStr">
        <is>
          <t>Europe, Asia (Meadows, hedge-rows)</t>
        </is>
      </c>
      <c r="R3" s="5" t="inlineStr">
        <is>
          <t>Generally considered safe for topical and ritual use. Avoid excessive internal use during pregnancy.</t>
        </is>
      </c>
      <c r="S3" s="42" t="inlineStr">
        <is>
          <t>The hedge herb of deep sleep and truth — added to the pillow it brings dreamless rest, and in the hand it keeps the psychic field clean. A defender of the mind's quiet places, growing along meadow edges and hedgerows where the wild meets the tended.</t>
        </is>
      </c>
      <c r="T3" s="45" t="inlineStr">
        <is>
          <t>Cancer, Sagittarius</t>
        </is>
      </c>
      <c r="U3" t="inlineStr">
        <is>
          <t>Where peace of mind must be drawn — emotional balance, serenity, a settled atmosphere after disruption.</t>
        </is>
      </c>
      <c r="V3" t="inlineStr">
        <is>
          <t>Protection of the aura and the psychic field — shielding against what drains, guarding what is sensitive, holding the boundary at the edge of sleep.</t>
        </is>
      </c>
      <c r="W3" t="inlineStr">
        <is>
          <t>Banishing negative energies and reversing harmful spells — a sweeping herb, clearing what has come in uninvited.</t>
        </is>
      </c>
      <c r="X3" t="inlineStr">
        <is>
          <t>Opens true feelings gently — not forcing what is hidden but creating the calm in which truth can surface without resistance.</t>
        </is>
      </c>
      <c r="Y3" t="inlineStr">
        <is>
          <t>The aura cleanser in ritual baths and cleansing ceremonies — turns the spell through purification, clearing the way for what comes next.</t>
        </is>
      </c>
      <c r="Z3" t="inlineStr">
        <is>
          <t>The deep sleep herb that strips pretence away — where emotional truth must surface without the armour that daylight allows, agrimony creates the conditions in which what is genuinely felt can no longer be avoided.</t>
        </is>
      </c>
    </row>
    <row r="4" ht="74.25" customHeight="1" s="56">
      <c r="A4" s="2" t="inlineStr">
        <is>
          <t>ANISE</t>
        </is>
      </c>
      <c r="B4" s="2" t="inlineStr">
        <is>
          <t>ANISE</t>
        </is>
      </c>
      <c r="C4" s="2" t="inlineStr">
        <is>
          <t>Pimpinella anisum</t>
        </is>
      </c>
      <c r="D4" s="3" t="inlineStr">
        <is>
          <t>Contacting other planes, Divination, Love, Passion, Preventing nightmares, Protection, Psychic development, Psychic protection, Purification, Clairvoyance, Cleansing, Consecration, Fertility, Gain, Good luck, Happiness, Money, Weddings, Contacting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Enhancing divination, Divinatory incense, Foretelling the future, Future divination, Scrying, Dowsing, Prophecy,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Desire, Nightmare prevention, Negating dreams, RID OF BAD DREAMS, Nightmares, Sleep, Rest, Encouraging sound sleep, Protective charm, Protective charms, Protective sachets, Protective wreaths, Protective incense, PROTECT AGAINST NEGATIVITY, Protection from negativity, Circle protection, Enhancing clairvoyance, Psychic powers, INCREASE PSYCHIC ABILITIES, Psychic awareness, Stimulating psychic senses, Disabling psychic phenomena, Psychic communication, communication and psychic abilities,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Female fertility, Fertility magic, Fertility charms, Aiding fertility, Increasing fertility, Fruitfulness, Virility, male virility, Abundant harvest, Prosperity, Wealth, Wealth/Prosperity, Attracting business, Business dealings, abundance, Financial arrangements, Aiding gain, PROSPERITY SPELLS, Increasing wealth,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Joy, Joyous celebrations, Contentment, Hand-fastings, Sacred union rites</t>
        </is>
      </c>
      <c r="E4" s="3" t="inlineStr">
        <is>
          <t>AQUARIUS, GEMINI, SATTITARIUS, PISCES, CANCER</t>
        </is>
      </c>
      <c r="F4" s="2" t="inlineStr">
        <is>
          <t>MERCURY, JUPITER</t>
        </is>
      </c>
      <c r="G4" s="2" t="inlineStr">
        <is>
          <t>AIR</t>
        </is>
      </c>
      <c r="H4" s="2" t="inlineStr">
        <is>
          <t>MASCULINE</t>
        </is>
      </c>
      <c r="I4" s="2" t="inlineStr">
        <is>
          <t>MONDAY,THURSDAY</t>
        </is>
      </c>
      <c r="J4" s="2" t="inlineStr">
        <is>
          <t>MERCURY, NUIT, LOKI</t>
        </is>
      </c>
      <c r="K4" s="3" t="inlineStr">
        <is>
          <t>OSTARA</t>
        </is>
      </c>
      <c r="L4" s="3" t="inlineStr">
        <is>
          <t>Believed it should be partnered with amber stones for best effect.</t>
        </is>
      </c>
      <c r="M4" s="3" t="inlineStr">
        <is>
          <t>Contacting other planes, divination, love, passion, preventing nightmares, protection, psychic development, psychic protection, purification. Other magical uses: clairvoyance, cleansing, consecration, fertility, gain, good luck, happiness, money, and weddings.</t>
        </is>
      </c>
      <c r="N4" s="3" t="inlineStr">
        <is>
          <t>Contacting other planes, divination, love, passion, preventing nightmares, protection, psychic development, psychic protection, purification.</t>
        </is>
      </c>
      <c r="O4" s="3" t="inlineStr">
        <is>
          <t>Contacting other planes, divination, love, passion, preventing nightmares, protection, psychic development, psychic protection, purification. Other magical uses: clairvoyance, cleansing, consecration, fertility, gain, good luck, happiness, money, and weddings. It was believed that it should be partnered with amber stones for best effect.</t>
        </is>
      </c>
      <c r="P4" s="2" t="inlineStr">
        <is>
          <t>Sandalwood w.i.</t>
        </is>
      </c>
      <c r="Q4" s="3" t="inlineStr">
        <is>
          <t>Eastern Mediterranean, Southwest Asia (Cultivated globally)</t>
        </is>
      </c>
      <c r="R4" s="3" t="inlineStr">
        <is>
          <t>Generally safe in culinary amounts. Avoid if allergic to anethole. Avoid excessive use during pregnancy.</t>
        </is>
      </c>
      <c r="S4" s="42" t="inlineStr">
        <is>
          <t>The sweet-sharp Mediterranean seed that has partnered amber since ancient times. Warded off nightmares, sharpened the dreaming mind, and opened the door between the waking world and the planes beyond. A Moon and Mercury herb both — quick-moving and deep-reaching at once.</t>
        </is>
      </c>
      <c r="T4" s="45" t="inlineStr">
        <is>
          <t>Cancer, Leo</t>
        </is>
      </c>
      <c r="U4" t="inlineStr">
        <is>
          <t>Love, passion and happiness drawn gently — the pleasant warmth of anise used in love sachets and celebration cakes.</t>
        </is>
      </c>
      <c r="V4" t="inlineStr">
        <is>
          <t>Protection and psychic shielding — the seed that keeps nightmares out when placed by the bed.</t>
        </is>
      </c>
      <c r="W4" t="inlineStr">
        <is>
          <t>Purification and cleansing — burned to clear a space, used in ritual baths before serious work.</t>
        </is>
      </c>
      <c r="X4" t="inlineStr">
        <is>
          <t>Opens the door to divination and contacting other planes — sharpens clairvoyance and psychic development where the veil needs thinning.</t>
        </is>
      </c>
      <c r="Y4" t="inlineStr">
        <is>
          <t>Turns the spell through cleansing and consecration — prepares what must be made ready before the real working begins.</t>
        </is>
      </c>
      <c r="Z4" t="inlineStr">
        <is>
          <t>The Sacred Union herb of the Mediterranean tradition — used in love rites where the full joining of two people is being blessed and supported.</t>
        </is>
      </c>
    </row>
    <row r="5" ht="61.5" customHeight="1" s="56">
      <c r="A5" s="4" t="inlineStr">
        <is>
          <t>APPLE BLOSSOM</t>
        </is>
      </c>
      <c r="B5" s="4" t="inlineStr">
        <is>
          <t>TREE OF LOVE</t>
        </is>
      </c>
      <c r="C5" s="4" t="inlineStr">
        <is>
          <t>Malus domestica</t>
        </is>
      </c>
      <c r="D5" s="5" t="inlineStr">
        <is>
          <t>Love spells, Peace, Contentment, Success, Relaxation, Bath magic,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Happiness, Joy, Joyous celebrations, Victory, victory in battle, Conquest, Overcoming opposition, Courtroom success, Legal matters, Justice</t>
        </is>
      </c>
      <c r="E5" s="5" t="inlineStr">
        <is>
          <t>VENUS, APHRODITE</t>
        </is>
      </c>
      <c r="F5" s="4" t="inlineStr">
        <is>
          <t>VENUS</t>
        </is>
      </c>
      <c r="G5" s="4" t="inlineStr">
        <is>
          <t>AIR</t>
        </is>
      </c>
      <c r="H5" s="4" t="inlineStr">
        <is>
          <t>FEMININE</t>
        </is>
      </c>
      <c r="I5" s="4" t="inlineStr">
        <is>
          <t>FRIDAY</t>
        </is>
      </c>
      <c r="J5" s="4" t="inlineStr">
        <is>
          <t>APHRODITE</t>
        </is>
      </c>
      <c r="K5" s="5" t="inlineStr">
        <is>
          <t>OSTARA, BELTANE</t>
        </is>
      </c>
      <c r="L5" s="5" t="inlineStr">
        <is>
          <t>Often used in bridal bouquets as a representation of fertility.</t>
        </is>
      </c>
      <c r="M5" s="5" t="inlineStr">
        <is>
          <t>peace, general contentment, and success.</t>
        </is>
      </c>
      <c r="N5" s="5" t="inlineStr">
        <is>
          <t>Used in love rituals and spring ceremonies. Placed on altars at Ostara and Beltane; offered to Aphrodite and Venus in devotional work.</t>
        </is>
      </c>
      <c r="O5" s="5" t="inlineStr">
        <is>
          <t>Apple blossom is used in love spells. It is delicate and faintly seductive, more of an invitation than a proposition. It can also be used for peace, general contentment, and success. Add it to the bath to aid relaxation.</t>
        </is>
      </c>
      <c r="P5" s="4" t="inlineStr">
        <is>
          <t>Apple</t>
        </is>
      </c>
      <c r="Q5" s="5" t="inlineStr">
        <is>
          <t>Central Asia (Temperate regions globally)</t>
        </is>
      </c>
      <c r="R5" s="5" t="inlineStr">
        <is>
          <t>Generally safe for ritual use. Apple seeds contain cyanogenic compounds — do not ingest seeds.</t>
        </is>
      </c>
      <c r="S5" s="42" t="inlineStr">
        <is>
          <t>The bridal tree — carried in wedding bouquets for fertility since before written record. Its blossom falls in May when Beltane fires are lit, promising fruit that will ripen by Mabon. Love, contentment and the quiet magic of a life settling into its right shape.</t>
        </is>
      </c>
      <c r="U5" t="inlineStr">
        <is>
          <t>Love spells and the drawing of peace and contentment — apple blossom in a charm draws the warmth of an established love.</t>
        </is>
      </c>
      <c r="V5" t="inlineStr">
        <is>
          <t>None specified — this herb works primarily in drawing and revealing.</t>
        </is>
      </c>
      <c r="W5" t="inlineStr">
        <is>
          <t>None specified.</t>
        </is>
      </c>
      <c r="X5" t="inlineStr">
        <is>
          <t>Opens what is buried in love — dreams of the beloved, the truth of a feeling not yet spoken aloud.</t>
        </is>
      </c>
      <c r="Y5" t="inlineStr">
        <is>
          <t>Turns the spell through the full arc from blossom to fruit — what was begun in love now beginning to ripen into something real.</t>
        </is>
      </c>
      <c r="Z5" t="inlineStr">
        <is>
          <t>The blossom of the bridal tradition in its most honest aspect — carried not just for sentiment but for the full promise of what marriage has always meant. The gateway fruit in its flowering stage, before the veil of innocence becomes the knowledge of what is beyond it.</t>
        </is>
      </c>
    </row>
    <row r="6" ht="110.25" customHeight="1" s="56">
      <c r="A6" s="2" t="inlineStr">
        <is>
          <t>APPLEWOOD CHIPS</t>
        </is>
      </c>
      <c r="B6" s="2" t="inlineStr">
        <is>
          <t>APPLEWOOD CHIPS</t>
        </is>
      </c>
      <c r="C6" s="2" t="inlineStr">
        <is>
          <t>Malus domestica</t>
        </is>
      </c>
      <c r="D6" s="3" t="inlineStr">
        <is>
          <t>Wand making, Love spells, Mabon rituals, Samhain rituals, Honouring the dead, Ancestral altars, Spirit offerings, Contacting planes, Contacting other planes, Communion with spirits, Communing with the departed, Communing with otherworldly entities, Spirit work, Nether-realm travel, Walking between worlds, SISM, contacting a specific person, Samhain/ancestral altars, Ancestor rituals, Rituals for the dead, ancestral magic, ancestral memory, death rites, Death and rebirth rites, Necromancy, Peaceful transition for the dead, ancestors, Crone magic, Seeing past lives, Reincarnation, Reincarnation knowledge, Past lives, Mabon/Samhain, Samhain,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6" s="3" t="inlineStr">
        <is>
          <t>VENUS, APHRODITE</t>
        </is>
      </c>
      <c r="F6" s="2" t="inlineStr">
        <is>
          <t>VENUS</t>
        </is>
      </c>
      <c r="G6" s="2" t="inlineStr">
        <is>
          <t>AIR</t>
        </is>
      </c>
      <c r="H6" s="2" t="inlineStr">
        <is>
          <t>FEMININE</t>
        </is>
      </c>
      <c r="I6" s="2" t="inlineStr">
        <is>
          <t>FRIDAY</t>
        </is>
      </c>
      <c r="J6" s="2" t="inlineStr">
        <is>
          <t>APHRODITE</t>
        </is>
      </c>
      <c r="K6" s="3" t="inlineStr">
        <is>
          <t>MABON, SAMHAIN</t>
        </is>
      </c>
      <c r="L6" s="3" t="inlineStr">
        <is>
          <t>Eating an apple opens the gateway into other realms. Dreaming of apples symbolizes prosperity and the good life. Symbols of Avalon.</t>
        </is>
      </c>
      <c r="M6" s="3" t="inlineStr">
        <is>
          <t>Wand making, Love spells, Mabon rituals, Samhain rituals, Honouring the dead, Ancestral altars, Spirit offerings</t>
        </is>
      </c>
      <c r="N6" s="3" t="inlineStr">
        <is>
          <t>in altars — Samhain is sometimes known as the "Feast of Apples".</t>
        </is>
      </c>
      <c r="O6" s="3" t="inlineStr">
        <is>
          <t>It is a great wood for a magical wand and is a favourite witch tree. The fruit is used at Mabon and Samhain, and for love spells. The apple is also considered one of the foods of the dead, so they are often piled high on Samhain altars — Samhain is sometimes known as the "Feast of Apples".</t>
        </is>
      </c>
      <c r="P6" s="2" t="inlineStr">
        <is>
          <t>Apple</t>
        </is>
      </c>
      <c r="Q6" s="3" t="inlineStr">
        <is>
          <t>Central/South Asia, Africa (Warm temperate regions)</t>
        </is>
      </c>
      <c r="R6" s="3" t="inlineStr">
        <is>
          <t>Safe for ritual and incense use. Do not ingest.</t>
        </is>
      </c>
      <c r="S6" s="42" t="inlineStr">
        <is>
          <t>The wood that opens gateways. To eat an apple is to step between worlds — the Norse knew it, the Celts knew it, the folk who left offerings at Samhain knew it. The chips carry the same doorway energy: used in ancestor work, Mabon rites, wand-making and the quiet honouring of what has passed.</t>
        </is>
      </c>
      <c r="U6" t="inlineStr">
        <is>
          <t>Love spells worked through the apple's long connection to Venus and desire.</t>
        </is>
      </c>
      <c r="V6" t="inlineStr">
        <is>
          <t>None specified.</t>
        </is>
      </c>
      <c r="W6" t="inlineStr">
        <is>
          <t>None specified.</t>
        </is>
      </c>
      <c r="X6" t="inlineStr">
        <is>
          <t>Opens the way to spirit offerings and ancestor work — the wood that burns at Samhain to invite the honoured dead.</t>
        </is>
      </c>
      <c r="Y6" t="inlineStr">
        <is>
          <t>Turns the spell through the seasonal threshold — Mabon's waning light, Samhain's open door. Where an ending must be honoured before a new turning begins.</t>
        </is>
      </c>
      <c r="Z6" t="inlineStr">
        <is>
          <t>The gateway wood of the oldest traditions — where the door between worlds must open for what has been agreed upon in the dark, applewood is the fuel that opens it. The wood of the apple that was always about more than fruit.</t>
        </is>
      </c>
    </row>
    <row r="7" ht="98.25" customHeight="1" s="56">
      <c r="A7" s="4" t="inlineStr">
        <is>
          <t>BASIL</t>
        </is>
      </c>
      <c r="B7" s="4" t="inlineStr">
        <is>
          <t>ST. JOSEPH'S WORT</t>
        </is>
      </c>
      <c r="C7" s="4" t="inlineStr">
        <is>
          <t>Ocimum basilicum</t>
        </is>
      </c>
      <c r="D7" s="5"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Enhancing divination, Divinatory incense, Foretelling the future, Future divination, Scrying, Dowsing, Prophecy,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Faithfulness, Loyalty, Promoting fidelity, Ensuring a lover returns love,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Joy, Joyous celebrations, Contentment, Serenity, Ensuring joy in the home, PEACE &amp; HAPPINESS,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Calming, Soothing, Calm, Calmness, Relaxation, Calming energies, Calming the mind, Calming stormy situations, AID MEDITATION,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Desire, Protective charm, Protective charms, Protective wreaths, Protective incense, PROTECT AGAINST NEGATIVITY, Protection from negativity, Circle protection, Enhancing clairvoyance, Psychic powers, INCREASE PSYCHIC ABILITIES, Psychic awareness, Stimulating psychic senses, Disabling psychic phenomena, Psychic communication, communication and psychic abilities,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Physical Strength, Fortitude, Vitality, Inner power, and strength, Victory, victory in battle, Conquest, Overcoming opposition, Courtroom success, Legal matters, Justice, Confidence, Self-confidence, Bravery, Determination, Will Power, Leadership, Leadership skills, Personal power, Prophetic dreams, Invoking dreams, Dream work, Dreams, Visions, Seeing the unseen, Seeing manifestations, Truth, Removing deception, Subconscious work, Digging into the subconscious, Uprooting what is hidden, Treasure seeking, Lost object finding, Anti-theft, Protection against theft, Contacting planes, Contacting other planes, Communion with spirits, Communing with the departed, Communing with otherworldly entities, Spirit work, SISM, contacting a specific person, Samhain/ancestral altars, Ancestral altars, Ancestor rituals,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E7" s="5" t="inlineStr">
        <is>
          <t>VISHNU, KRISHNA, IMBOLC</t>
        </is>
      </c>
      <c r="F7" s="4" t="inlineStr">
        <is>
          <t>MARS</t>
        </is>
      </c>
      <c r="G7" s="4" t="inlineStr">
        <is>
          <t>FIRE</t>
        </is>
      </c>
      <c r="H7" s="4" t="inlineStr">
        <is>
          <t>MASCULINE</t>
        </is>
      </c>
      <c r="I7" s="4" t="inlineStr">
        <is>
          <t>Tuesday</t>
        </is>
      </c>
      <c r="J7" s="4" t="inlineStr">
        <is>
          <t>VISHNU</t>
        </is>
      </c>
      <c r="K7" s="5" t="inlineStr">
        <is>
          <t>IMBOLC</t>
        </is>
      </c>
      <c r="L7" s="5" t="inlineStr">
        <is>
          <t>Said to be attractive to dragons, salamanders, and other fire-oriented creatures.</t>
        </is>
      </c>
      <c r="M7" s="5" t="inlineStr">
        <is>
          <t>consecration, divination (especially about love), exorcism, fertility, fidelity, good luck, happiness, harmony, love, money, passion, peace, prosperity, protection, psychic development, psychic protection, purification, strength, success, tranquillity, clairvoyance, commanding, courage, grieving, ha</t>
        </is>
      </c>
      <c r="N7" s="5" t="inlineStr">
        <is>
          <t>for consecration, divination (especially about love), exorcism, fertility, fidelity, good luck, happiness, harmony, love, money, passion, peace, prosperity, protection, psychic development, psychic pr</t>
        </is>
      </c>
      <c r="O7" s="5" t="inlineStr">
        <is>
          <t>Use for consecration, divination (especially about love), exorcism, fertility, fidelity, good luck, happiness, harmony, love, money, passion, peace, prosperity, protection, psychic development, psychic protection, purification, strength, success, tranquillity, clairvoyance, commanding, courage, grieving, hatred, honesty, initiation, inspiration, and invocation. It is said to prevent theft. Basil is often used in rituals for the dead and in spell-breaking.</t>
        </is>
      </c>
      <c r="P7" s="4" t="inlineStr">
        <is>
          <t>Pine</t>
        </is>
      </c>
      <c r="Q7" s="5" t="inlineStr">
        <is>
          <t>Mediterranean region (Coastal forests)</t>
        </is>
      </c>
      <c r="R7" s="5" t="inlineStr">
        <is>
          <t>Generally considered safe for culinary and ritual use. Avoid medicinal doses during pregnancy.</t>
        </is>
      </c>
      <c r="S7" s="42" t="inlineStr">
        <is>
          <t>The dragon-and-fire herb that attracts salamanders and fire elementals. Sacred to Mars and worked at the crossing points — Beltane, marriage, the ritual hearth. Useful in almost every working from love to exorcism, which is why the Greeks called it the royal herb. The sovereign of the kitchen garden and the magical one both.</t>
        </is>
      </c>
      <c r="T7" s="45" t="inlineStr">
        <is>
          <t>Scorpio</t>
        </is>
      </c>
      <c r="U7" t="inlineStr">
        <is>
          <t>Love, passion, happiness, fertility and prosperity drawn through this herb's warm solar fire energy.</t>
        </is>
      </c>
      <c r="V7" t="inlineStr">
        <is>
          <t>Protection and psychic shielding, courage and strength — the herb that guards the home and holds the boundary.</t>
        </is>
      </c>
      <c r="W7" t="inlineStr">
        <is>
          <t>Exorcism, purification and spell-breaking — burned to clear what clings, used to drive out what has overstayed.</t>
        </is>
      </c>
      <c r="X7" t="inlineStr">
        <is>
          <t>Opens the way to divination and clairvoyance — sharpens the sight when burned as incense before a reading.</t>
        </is>
      </c>
      <c r="Y7" t="inlineStr">
        <is>
          <t>Turns through consecration and the crossing of thresholds — used at initiations, invocations and the beginning of new magical commitments.</t>
        </is>
      </c>
      <c r="Z7" t="inlineStr">
        <is>
          <t>The dragon-herb in its most fiercely projective aspect — where the working requires the raw force of Mars without apology, basil is the fire herb that does not temper itself. Used where desire, exorcism and fertility must operate at full strength at once.</t>
        </is>
      </c>
    </row>
    <row r="8" ht="135" customHeight="1" s="56">
      <c r="A8" s="2" t="inlineStr">
        <is>
          <t>BAY LAUREL</t>
        </is>
      </c>
      <c r="B8" s="2" t="inlineStr">
        <is>
          <t>SWEET BAY</t>
        </is>
      </c>
      <c r="C8" s="2" t="inlineStr">
        <is>
          <t>Laurus nobilis</t>
        </is>
      </c>
      <c r="D8" s="3" t="inlineStr">
        <is>
          <t>Clairvoyance, Consecration, Divination, Dreams, Exorcism, Healing, Love, Passion, Protection, Psychic protection, Purification, Wisdom, Wishes, Winter rituals, Yule magic, Enhancing clairvoyance, Psychic development, Psychic powers, INCREASE PSYCHIC ABILITIES, Psychic awareness, Stimulating psychic senses, Disabling psychic phenomena, Psychic communication, communication and psychic abilities,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Enhancing divination, Divinatory incense, Foretelling the future, Future divination, Scrying, Dowsing, Prophecy, Prophetic dreams, Invoking dreams, Dream work, Visions, Seeing the unseen, Seeing manifestations, Truth, Honesty, Removing deception, Subconscious work, Digging into the subconscious, Uprooting what is hidden, Treasure seeking, Lost object finding,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Desire, Protective charm, Protective charms,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Knowledge, Intelligence, Intuition, Mental clarity, Sharpening the wits, Sharpening the brain, Mental powers, MEM, Memory, Illumination, Enlightenment, Yule, Yule rituals</t>
        </is>
      </c>
      <c r="E8" s="3" t="inlineStr">
        <is>
          <t>APOLLO, AESCIEPIUS, CERES, CERRIDWEN, SOL</t>
        </is>
      </c>
      <c r="F8" s="2" t="inlineStr">
        <is>
          <t>SUN</t>
        </is>
      </c>
      <c r="G8" s="2" t="inlineStr">
        <is>
          <t>FIRE</t>
        </is>
      </c>
      <c r="H8" s="2" t="inlineStr">
        <is>
          <t>MASCULINE</t>
        </is>
      </c>
      <c r="I8" s="2" t="inlineStr">
        <is>
          <t>SUNDAY</t>
        </is>
      </c>
      <c r="J8" s="2" t="inlineStr">
        <is>
          <t>CERES, CERRIDWEN, SOL</t>
        </is>
      </c>
      <c r="K8" s="3" t="inlineStr">
        <is>
          <t>YULE</t>
        </is>
      </c>
      <c r="L8" s="3" t="inlineStr">
        <is>
          <t>Sacred Greek plant. Associated with Daphne and Apollo.</t>
        </is>
      </c>
      <c r="M8" s="3" t="inlineStr">
        <is>
          <t>clairvoyance, consecration, divination, dreams, exorcism, healing, love, passion, protection, psychic protection, purification, wisdom, and wishes.</t>
        </is>
      </c>
      <c r="N8" s="3" t="inlineStr">
        <is>
          <t>It is used for clairvoyance, consecration, divination, dreams, exorcism, healing, love, passion, protection, psychic protection, purification, wisdom, and wishes.</t>
        </is>
      </c>
      <c r="O8" s="3" t="inlineStr">
        <is>
          <t>It is used for clairvoyance, consecration, divination, dreams, exorcism, healing, love, passion, protection, psychic protection, purification, wisdom, and wishes. Use at winter rituals such as Yule.</t>
        </is>
      </c>
      <c r="P8" s="2" t="inlineStr">
        <is>
          <t>Cedarwood</t>
        </is>
      </c>
      <c r="Q8" s="3" t="inlineStr">
        <is>
          <t>Sumatra, Java (Tropical rainforests)</t>
        </is>
      </c>
      <c r="R8" s="3" t="inlineStr">
        <is>
          <t>Generally safe for culinary use. The essential oil is toxic — do not ingest. Avoid during pregnancy in large doses.</t>
        </is>
      </c>
      <c r="S8" s="42" t="inlineStr">
        <is>
          <t>The Greek laurel sacred to Apollo and Daphne — the prophetic herb placed under the pillow to bring true dreaming. Burned in Delphi, crowned on victors, woven into protective garlands. Its smoke sharpens the sight and its dried leaves in the pocket carry old Sun magic wherever they go.</t>
        </is>
      </c>
      <c r="T8" s="45" t="inlineStr">
        <is>
          <t>Aries, Leo</t>
        </is>
      </c>
      <c r="U8" t="inlineStr">
        <is>
          <t>Love and passion — the warm solar energy of bay drawn into love workings.</t>
        </is>
      </c>
      <c r="V8" t="inlineStr">
        <is>
          <t>Healing, protection and psychic protection — the laurel that wards and strengthens.</t>
        </is>
      </c>
      <c r="W8" t="inlineStr">
        <is>
          <t>Exorcism and purification — burned to clear a space before any serious working.</t>
        </is>
      </c>
      <c r="X8" t="inlineStr">
        <is>
          <t>Opens clairvoyance and divination — the Delphic herb, the dream-opener, placed under the pillow at new moon.</t>
        </is>
      </c>
      <c r="Y8" t="inlineStr">
        <is>
          <t>Turns through healing and the clearing of what must go — the exorcist's herb that makes space for what comes after.</t>
        </is>
      </c>
      <c r="Z8" t="inlineStr">
        <is>
          <t>The Delphic herb in its most unguarded function — where prophecy must come through without the usual filters, where the oracle speaks what she sees regardless of who is listening. The laurel wreath of those who have gone beyond the boundary.</t>
        </is>
      </c>
    </row>
    <row r="9" ht="147" customHeight="1" s="56">
      <c r="A9" s="4" t="inlineStr">
        <is>
          <t>BENZOIN</t>
        </is>
      </c>
      <c r="B9" s="4" t="inlineStr">
        <is>
          <t>GUM BENJAMIN</t>
        </is>
      </c>
      <c r="C9" s="4" t="inlineStr">
        <is>
          <t>Styrax benzoin</t>
        </is>
      </c>
      <c r="D9" s="5" t="inlineStr">
        <is>
          <t>Purification, Sanctifying an area, Attracting business, Incense base, Substitute for storax, Focus, Concentration, Purifying ritual areas, Purifying  Purifying new homes, Purifying new homes, Purifying the home, Self-purification, Purifying ritual spaces, Purification rituals,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Fertility, Female fertility, Fertility magic, Fertility charms, Aiding fertility, Increasing fertility, Fruitfulness, Virility, male virility, Abundant harvest, Prosperity, Wealth, Wealth/Prosperity, Business dealings, abundance, Financial arrangements, Aiding gain, Gain, PROSPERITY SPELLS, Increasing wealth,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E9" s="5" t="inlineStr">
        <is>
          <t>VENUS, APHRODITE, MUT, HECATE,AQUARIUS</t>
        </is>
      </c>
      <c r="F9" s="4" t="inlineStr">
        <is>
          <t>SUN</t>
        </is>
      </c>
      <c r="G9" s="4" t="inlineStr">
        <is>
          <t>AIR</t>
        </is>
      </c>
      <c r="H9" s="4" t="inlineStr">
        <is>
          <t>MASCULINE</t>
        </is>
      </c>
      <c r="I9" s="4" t="inlineStr">
        <is>
          <t>SATURDAY</t>
        </is>
      </c>
      <c r="J9" s="4" t="inlineStr">
        <is>
          <t>APHRODITE, HECATE</t>
        </is>
      </c>
      <c r="K9" s="5" t="inlineStr">
        <is>
          <t>LITHA, YULE</t>
        </is>
      </c>
      <c r="L9" s="5" t="inlineStr">
        <is>
          <t>Associated with Imbolc and Mabon. Desirable herb for astral world journeys. Promotes generosity.</t>
        </is>
      </c>
      <c r="M9" s="5" t="inlineStr">
        <is>
          <t>Purification, Sanctifying an area, Attracting business, Incense base, Substitute for storax, Focus, Concentration</t>
        </is>
      </c>
      <c r="N9" s="5" t="inlineStr">
        <is>
          <t>burned in incense to sanctify an area.</t>
        </is>
      </c>
      <c r="O9" s="5" t="inlineStr">
        <is>
          <t>An herb of purification, burned in incense to sanctify an area. The scent is also used to attract business when combined with basil, peony, or cinnamon. Benzoin is often used as a base for incenses and can be a substitute for storax, to which it is related. Benzoin is best used to provide focus and enhance concentration.</t>
        </is>
      </c>
      <c r="P9" s="4" t="inlineStr">
        <is>
          <t>Orange Bitter</t>
        </is>
      </c>
      <c r="Q9" s="5" t="inlineStr">
        <is>
          <t>East Asia (Mountainous regions)</t>
        </is>
      </c>
      <c r="R9" s="5" t="inlineStr">
        <is>
          <t>Warning: May cause skin sensitisation or allergic reactions. Avoid contact with eyes.</t>
        </is>
      </c>
      <c r="S9" s="42" t="inlineStr">
        <is>
          <t>The golden tears of the East Asian styrax tree — a resin that has been traded along spice routes for thousands of years. Associated with Imbolc and Mabon, burned as an incense base and used in astral travel. Its warm, vanilla-like scent sanctifies a space and sharpens the mind toward what must be done.</t>
        </is>
      </c>
      <c r="T9" s="45" t="inlineStr">
        <is>
          <t>Capricorn</t>
        </is>
      </c>
      <c r="U9" t="inlineStr">
        <is>
          <t>Attracting business and drawing material success — the merchant's resin.</t>
        </is>
      </c>
      <c r="V9" t="inlineStr">
        <is>
          <t>Focus and concentration — holds the working mind steady during complex ritual.</t>
        </is>
      </c>
      <c r="W9" t="inlineStr">
        <is>
          <t>Purification and sanctifying — the cleanser that makes a space ready.</t>
        </is>
      </c>
      <c r="X9" t="inlineStr">
        <is>
          <t>Opens the doorway for astral work and Imbolc/Mabon magic — where thresholds between seasons thin.</t>
        </is>
      </c>
      <c r="Y9" t="inlineStr">
        <is>
          <t>Turns through purification — sweeps the old out to make the new possible.</t>
        </is>
      </c>
      <c r="Z9" t="inlineStr">
        <is>
          <t>The golden resin that sanctifies without asking permission — where what is being consecrated includes the full range of what happens between people in sacred space, benzoin raises the vibration of all of it into something worthy of the gods.</t>
        </is>
      </c>
    </row>
    <row r="10" ht="110.25" customHeight="1" s="56">
      <c r="A10" s="2" t="inlineStr">
        <is>
          <t>BLACK TEA</t>
        </is>
      </c>
      <c r="B10" s="2" t="inlineStr">
        <is>
          <t>ST GEORGES HERB</t>
        </is>
      </c>
      <c r="C10" s="2" t="inlineStr">
        <is>
          <t>Camellia sinensis</t>
        </is>
      </c>
      <c r="D10" s="3" t="inlineStr">
        <is>
          <t>Prosperity, Strength, Fortitude, Good health, Divination, Emotional healing, Calming, Soothing, Reviving, Invigorating,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Vitality, Inner power, and strength, Healing, Healing magic, Healing spells, Healing sachets, Healing incenses, Healing mixtures, Healing rituals, Healing incense, Healing vibrations, healing after surgery, Aiding recovery, Aiding the ill, Improving health, Speeding recovery, health, Enhancing divination, Divinatory incense, Foretelling the future, Future divination, Scrying, Dowsing, Prophecy, Exploring feelings, Exploring true feelings, Emotional balance,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10" s="3" t="inlineStr">
        <is>
          <t>prosperity, strength, fortitude</t>
        </is>
      </c>
      <c r="F10" s="2" t="inlineStr">
        <is>
          <t>Sun</t>
        </is>
      </c>
      <c r="G10" s="2" t="inlineStr">
        <is>
          <t>Fire</t>
        </is>
      </c>
      <c r="H10" s="2" t="inlineStr">
        <is>
          <t>MASCULINE</t>
        </is>
      </c>
      <c r="I10" s="2" t="inlineStr">
        <is>
          <t>Sunday</t>
        </is>
      </c>
      <c r="J10" s="2" t="inlineStr">
        <is>
          <t>ALL, BRIGID</t>
        </is>
      </c>
      <c r="K10" s="3" t="inlineStr">
        <is>
          <t>LITHA, YULE</t>
        </is>
      </c>
      <c r="L10" s="3" t="inlineStr">
        <is>
          <t>Believed to have miraculous properties for minor ailments.</t>
        </is>
      </c>
      <c r="M10" s="3" t="inlineStr">
        <is>
          <t>Black tea is used in magic for prosperity, strength, and fortitude.</t>
        </is>
      </c>
      <c r="N10" s="3" t="inlineStr">
        <is>
          <t>Used in ancestral rituals and as an offering to deities of strength and fortitude. Brew and pour as a libation on the altar.</t>
        </is>
      </c>
      <c r="O10" s="3" t="inlineStr">
        <is>
          <t>Black tea is used in magic for prosperity, strength, and fortitude. It is often burned near the room of a sick person to open the doors to good health; its leaves are used in divination. Tea is also an essential remedy for all social and psychological ills, from a bruised ego to the trauma of a divorce or bereavement. This magical drink can be used effectively as a sedative or stimulant, to calm and soothe or to revive and invigorate. Whatever your mental and physical state, what you need is a nice cup of tea.</t>
        </is>
      </c>
      <c r="P10" s="2" t="inlineStr">
        <is>
          <t>Cedarwood</t>
        </is>
      </c>
      <c r="Q10" s="3" t="inlineStr">
        <is>
          <t>Europe, temperate Asia (Hedges, thickets)</t>
        </is>
      </c>
      <c r="R10" s="3" t="inlineStr">
        <is>
          <t>Generally safe. High caffeine content — avoid excessive use. Not recommended for children in large amounts.</t>
        </is>
      </c>
      <c r="S10" s="42" t="inlineStr">
        <is>
          <t>The hedge tea of everyday magic — drunk for centuries for minor ailments, drunk now in kitchen witch practice for its sun-warmed fortitude. Carries prosperity, strength and the calm invigoration of something deeply ordinary made sacred.</t>
        </is>
      </c>
      <c r="U10" t="inlineStr">
        <is>
          <t>Prosperity and good fortune drawn through tea magic — the cup that blesses what it touches.</t>
        </is>
      </c>
      <c r="V10" t="inlineStr">
        <is>
          <t>Strength, good health and emotional healing — the fortifying brew.</t>
        </is>
      </c>
      <c r="W10" t="inlineStr">
        <is>
          <t>None specified.</t>
        </is>
      </c>
      <c r="X10" t="inlineStr">
        <is>
          <t>Opens divination when used as a reading tea — the leaves speak when the cup is drained.</t>
        </is>
      </c>
      <c r="Y10" t="inlineStr">
        <is>
          <t>Turns through emotional healing and the calming of what was turbulent.</t>
        </is>
      </c>
      <c r="Z10" t="inlineStr">
        <is>
          <t>The everyday herb in its capacity to fortify what faces what it faces — where the working requires the simple courage to be fully present in one's own body, black tea grounds and sustains that presence without ceremony.</t>
        </is>
      </c>
    </row>
    <row r="11" ht="183.75" customHeight="1" s="56">
      <c r="A11" s="4" t="inlineStr">
        <is>
          <t>BLACKBERRY LEAVES</t>
        </is>
      </c>
      <c r="B11" s="4" t="inlineStr">
        <is>
          <t>DEWBERRY</t>
        </is>
      </c>
      <c r="C11" s="4" t="inlineStr">
        <is>
          <t>Rubus fruticosus</t>
        </is>
      </c>
      <c r="D11" s="5" t="inlineStr">
        <is>
          <t>Protection, Protective wreaths, Mojo bags, Household protection, Prosperity, Female fertility, Aphrodisiac tea, Abundant harvest, Magical cooking, Protective charm, Protective charms, Protective sachets, Protective incense, PROTECT AGAINST NEGATIVITY, Protection from negativity, Circle protection,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Sachets,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Healing altars, Home blessing, Ensuring joy in the home, Tranquillity in the home, Blessing guests, Blessing domestic animals, Meditation, Contemplation, Concentration, Focus, Sun God offerings, Solar spells, Fertility, Fertility magic, Fertility charms, Aiding fertility, Increasing fertility, Fruitfulness, Virility, male virility,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Aphrodisiac, Sensuality, Lust, Lust/Sex, Passionate love-making, LOVING &amp; LUSTFUL ENERGIES, SEX MAGIC, RAISE SEXUAL ENERGY, Sexual energy</t>
        </is>
      </c>
      <c r="E11" s="5" t="inlineStr">
        <is>
          <t>APHRODITE, BRIGID, VENUS, ARIES, SCORPIO</t>
        </is>
      </c>
      <c r="F11" s="4" t="inlineStr">
        <is>
          <t>VENUS</t>
        </is>
      </c>
      <c r="G11" s="4" t="inlineStr">
        <is>
          <t>WATER, FIRE</t>
        </is>
      </c>
      <c r="H11" s="4" t="inlineStr">
        <is>
          <t>FEMININE</t>
        </is>
      </c>
      <c r="I11" s="4" t="inlineStr">
        <is>
          <t>FRIDAY</t>
        </is>
      </c>
      <c r="J11" s="4" t="inlineStr">
        <is>
          <t>APHRODITE, BRIGID</t>
        </is>
      </c>
      <c r="K11" s="5" t="inlineStr">
        <is>
          <t>OSTARA, BELTANE</t>
        </is>
      </c>
      <c r="L11" s="5" t="inlineStr">
        <is>
          <t>Baked into pies for first harvest festivals. Dreaming of blackberries represents loss/sorrow.</t>
        </is>
      </c>
      <c r="M11" s="5" t="inlineStr">
        <is>
          <t>everything related to female fertility.</t>
        </is>
      </c>
      <c r="N11" s="5" t="inlineStr">
        <is>
          <t>Woven into protective wreaths for the home and altar. Used in Lughnasadh and harvest rituals; sacred to Brigid in healing rites.</t>
        </is>
      </c>
      <c r="O11" s="5" t="inlineStr">
        <is>
          <t>Different parts of the blackberry plant have different correspondences. The thorny branches are ruled by Aries and fire and are used for protection. Blackberry vines can be woven into protective wreaths, especially in combination with rowan and ivy; the thorns and leaves can also be added to mojo bags and other preparations for general household protection and prosperity. Blackberry leaves are ruled by Venus, Scorpio, and the element of water, and are used for everything related to female fertility. The tea from the leaf is also said to work as a mild aphrodisiac. The berries themselves are feminine in nature and ruled by the element of earth — they represent an abundant harvest and can be used in spells and magical cooking for prosperity.</t>
        </is>
      </c>
      <c r="P11" s="4" t="inlineStr">
        <is>
          <t>Ylang Ylang</t>
        </is>
      </c>
      <c r="Q11" s="5" t="inlineStr">
        <is>
          <t>Northern Hemisphere (Wetlands, marshes)</t>
        </is>
      </c>
      <c r="R11" s="5" t="inlineStr">
        <is>
          <t>Generally safe for external and ritual use. High tannin content — avoid excessive internal use.</t>
        </is>
      </c>
      <c r="S11" s="42" t="inlineStr">
        <is>
          <t>The briar that tears and protects in equal measure — its thorns guard the hedgerow and its fruit is the harvest feast. Sacred to the Wheel's abundant turning, gathered at Lughnasadh, used in female fertility magic and household protection. Where Venus and fire meet in a single thorned stem.</t>
        </is>
      </c>
      <c r="U11" t="inlineStr">
        <is>
          <t>Prosperity, female fertility and abundance drawn through this harvest herb.</t>
        </is>
      </c>
      <c r="V11" t="inlineStr">
        <is>
          <t>Protection — the thorn-hedge that guards home and household.</t>
        </is>
      </c>
      <c r="W11" t="inlineStr">
        <is>
          <t>None specified.</t>
        </is>
      </c>
      <c r="X11" t="inlineStr">
        <is>
          <t>Opens the deep thread of household magic — the protective wreath, the mojo bag, the cooking pot blessed before use.</t>
        </is>
      </c>
      <c r="Y11" t="inlineStr">
        <is>
          <t>Turns through the harvest season — Lughnasadh's abundance feeding back into the earth for next year's growth.</t>
        </is>
      </c>
      <c r="Z11" t="inlineStr">
        <is>
          <t>The thorn and sweetness of Venus and fire together — where the working must acknowledge that what protects and what desires are the same energy in different expressions, the blackberry holds both without flinching.</t>
        </is>
      </c>
    </row>
    <row r="12" ht="147" customHeight="1" s="56">
      <c r="A12" s="2" t="inlineStr">
        <is>
          <t>CALAMUS ROOT</t>
        </is>
      </c>
      <c r="B12" s="2" t="inlineStr">
        <is>
          <t>BACH ROOT</t>
        </is>
      </c>
      <c r="C12" s="2" t="inlineStr">
        <is>
          <t>Acorus calamus</t>
        </is>
      </c>
      <c r="D12" s="3" t="inlineStr">
        <is>
          <t>Aphrodisiac, Harmony, Love, Peace, Tranquillity, Strengthening spells, Binding spells, Healing incenses, Healing sachets, Emotional exhaustion, Self-confidence, Success, Aphrodisiac tea, Sensuality, Lust, Lust/Sex, Passionate love-making, LOVING &amp; LUSTFUL ENERGIES, SEX MAGIC, RAISE SEXUAL ENERGY, Sexual energy,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Magical power, Increasing magical power, Increasing spell power, Power amplification, Bolstering spells, Bolstering incense, Potency, Power, Magic, WISDOM IN MAGICK, defensive magic, Healing, Healing magic, Healing spells, Healing mixtures, Healing rituals, Healing incense, Healing vibrations, healing after surgery, Aiding recovery, Aiding the ill, Improving health, Speeding recovery, Good health, health, Confidence, Courage, Bravery, Determination, Will Power, Leadership, Leadership skills, Commanding, Personal power, Victory, victory in battle, Conquest, Overcoming opposition, Courtroom success, Legal matters, Justice</t>
        </is>
      </c>
      <c r="E12" s="3" t="inlineStr">
        <is>
          <t>CANCER, PISCES</t>
        </is>
      </c>
      <c r="F12" s="2" t="inlineStr">
        <is>
          <t>SUN, MOON</t>
        </is>
      </c>
      <c r="G12" s="2" t="inlineStr">
        <is>
          <t>WATER</t>
        </is>
      </c>
      <c r="H12" s="2" t="inlineStr">
        <is>
          <t>FEMININE</t>
        </is>
      </c>
      <c r="I12" s="2" t="inlineStr">
        <is>
          <t>MONDAY</t>
        </is>
      </c>
      <c r="J12" s="2" t="inlineStr">
        <is>
          <t>THOR</t>
        </is>
      </c>
      <c r="K12" s="3" t="inlineStr">
        <is>
          <t>SAMHAIN</t>
        </is>
      </c>
      <c r="L12" s="3" t="inlineStr">
        <is>
          <t>Used for protection against snakes and evil spirits. Considered nourishment for the Kundalini snake.</t>
        </is>
      </c>
      <c r="M12" s="3" t="inlineStr">
        <is>
          <t>It can be used as an aphrodisiac and in workings involving harmony, love, peace, tranquillity, and strengthening and binding spells. Helpful in times of emotional exhaustion; burning calamus incense strengthens self-confidence and promotes success.</t>
        </is>
      </c>
      <c r="N12" s="3" t="inlineStr">
        <is>
          <t>Used in rituals of love and harmony. Burned as incense to create sacred space; used in anointing blends for consecrating ritual tools.</t>
        </is>
      </c>
      <c r="O12" s="3" t="inlineStr">
        <is>
          <t>It can be used as an aphrodisiac and in workings involving harmony, love, peace, tranquillity, and strengthening and binding spells. Calamus or sweet flag root may be powdered and used in healing incenses and sachets. Helpful in times of emotional exhaustion; burning calamus incense strengthens self-confidence and promotes success. Used to strengthen and bind spells.</t>
        </is>
      </c>
      <c r="P12" s="2" t="inlineStr">
        <is>
          <t>Rosemary</t>
        </is>
      </c>
      <c r="Q12" s="3" t="inlineStr">
        <is>
          <t>East Asia (Warm temperate forests)</t>
        </is>
      </c>
      <c r="R12" s="6" t="inlineStr">
        <is>
          <t>Warning: Calamus is poisonous. Use with caution and do not ingest.</t>
        </is>
      </c>
      <c r="S12" s="42" t="inlineStr">
        <is>
          <t>The water herb of the Moon and Sun both — rooted in the riverbank, scenting the air above slow water. An aphrodisiac and harmoniser that has bound and strengthened spells for centuries. The marsh calamus known to ancient Egypt, to Vedic tradition, to the Gaulish healers who carried it dried.</t>
        </is>
      </c>
      <c r="U12" t="inlineStr">
        <is>
          <t>Harmony, love and peace drawn through calamus — the herb that smooths what is rough between people.</t>
        </is>
      </c>
      <c r="V12" t="inlineStr">
        <is>
          <t>Strengthening spells and binding magic — holds a working firm once it is cast.</t>
        </is>
      </c>
      <c r="W12" t="inlineStr">
        <is>
          <t>None specified.</t>
        </is>
      </c>
      <c r="X12" t="inlineStr">
        <is>
          <t>Opens the emotional depth of a working — calamus used in healing incenses and sachets where the heart must be reached.</t>
        </is>
      </c>
      <c r="Y12" t="inlineStr">
        <is>
          <t>Turns through binding and emotional exhaustion — the herb of self-confidence and success after long difficulty.</t>
        </is>
      </c>
      <c r="Z12" t="inlineStr">
        <is>
          <t>The water root of ancient desire — carried by those who sought to bind love closer, to make the willing more willing, to open the warmth between two people. Where the working asks for the aphrodisiac current, calamus moves through it like slow river water through warm earth.</t>
        </is>
      </c>
    </row>
    <row r="13" ht="171.75" customHeight="1" s="56">
      <c r="A13" s="4" t="inlineStr">
        <is>
          <t>CAMPHOR SYNTHETIC</t>
        </is>
      </c>
      <c r="B13" s="4" t="inlineStr">
        <is>
          <t>CAREUM</t>
        </is>
      </c>
      <c r="C13" s="4" t="inlineStr">
        <is>
          <t>Cinnamomum camphora</t>
        </is>
      </c>
      <c r="D13" s="5" t="inlineStr">
        <is>
          <t>Cleansing, Banishing, Warding off advances, Healing, Stimulating psychic senses, Consecration, Purification, Funeral rites, Clairvoyance, Breaking habits, Removing dark energies, Cleansing tools, Prophetic dreams, Scrying,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the home, Cleansing space, Pre-ritual cleansing,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Disabling psychic phenomena, Psychic communication, communication and psychic abilities,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Breaking bad habits, Ending negative self-talk, Letting go of relationships, Ending guilt, Release, Renewal, New beginnings,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Dowsing, Treasure seeking, Lost object finding</t>
        </is>
      </c>
      <c r="E13" s="5" t="inlineStr">
        <is>
          <t>MOON GODDESS</t>
        </is>
      </c>
      <c r="F13" s="4" t="inlineStr">
        <is>
          <t>MOON</t>
        </is>
      </c>
      <c r="G13" s="4" t="inlineStr">
        <is>
          <t>AIR</t>
        </is>
      </c>
      <c r="H13" s="4" t="inlineStr">
        <is>
          <t>FEMININE</t>
        </is>
      </c>
      <c r="I13" s="4" t="inlineStr">
        <is>
          <t>MONDAY</t>
        </is>
      </c>
      <c r="J13" s="4" t="inlineStr">
        <is>
          <t>ALL</t>
        </is>
      </c>
      <c r="K13" s="5" t="inlineStr">
        <is>
          <t>IMBOLC, SAMHAIN</t>
        </is>
      </c>
      <c r="L13" s="5" t="inlineStr">
        <is>
          <t>Sacred to Buddha. In voodoo rituals, burned for love.</t>
        </is>
      </c>
      <c r="M13" s="5" t="inlineStr">
        <is>
          <t>It can be used to ward off unwanted advances from others, in healing, and to stimulate psychic senses. Camphor is also an herb of consecration, purification, and funerary work, and a visionary herb.</t>
        </is>
      </c>
      <c r="N13" s="5" t="inlineStr">
        <is>
          <t>for ritual cleansing prior to moving into a new home or setting up your altar.</t>
        </is>
      </c>
      <c r="O13" s="5" t="inlineStr">
        <is>
          <t>Obtained from the evergreen tree, this fragrant white compound holds many spiritual properties. It is one of the most sacred substances to offer to the moon goddess on a new moon to thank her for her abundant blessings. Use to totally cleanse and banish. It can be used to ward off unwanted advances from others, in healing, and to stimulate psychic senses. Camphor is also an herb of consecration, purification, and funerary work, and a visionary herb. It is ideally suited for ritual cleansing prior to moving into a new home or setting up your altar. Use it to cleanse ritual tools by burning camphor as incense or rubbing them with its oil. Camphor also has divinatory properties when burned on charcoal during meditation in a quest for prophetic dreams, and it may be added to water used for scrying.</t>
        </is>
      </c>
      <c r="P13" s="4" t="inlineStr">
        <is>
          <t>Melissa</t>
        </is>
      </c>
      <c r="Q13" s="5" t="inlineStr">
        <is>
          <t>Europe, Western Asia (Meadows, grasslands)</t>
        </is>
      </c>
      <c r="R13" s="5" t="inlineStr">
        <is>
          <t>Warning: Toxic if ingested. Can be fatal in large doses. Keep away from children. External ritual use only.</t>
        </is>
      </c>
      <c r="S13" s="42" t="inlineStr">
        <is>
          <t>Sacred to Buddha and used in Voodoo love rites — a herb of sharp, clarifying cold that cuts through confusion and lifts the psychic senses. The camphor smoke clears what is stale and dense, warding off unwanted advances and preparing the dreaming mind for prophetic work.</t>
        </is>
      </c>
      <c r="T13" s="45" t="inlineStr">
        <is>
          <t>Cancer, Leo</t>
        </is>
      </c>
      <c r="U13" t="inlineStr">
        <is>
          <t>None specified — this herb works primarily in holding and clearing.</t>
        </is>
      </c>
      <c r="V13" t="inlineStr">
        <is>
          <t>Healing, warding and stimulating psychic senses — camphor held in protective sachets.</t>
        </is>
      </c>
      <c r="W13" t="inlineStr">
        <is>
          <t>Banishing, purification and breaking bad habits — the sharp cold that drives out what clings.</t>
        </is>
      </c>
      <c r="X13" t="inlineStr">
        <is>
          <t>Opens the psychic senses and prophetic dreaming — burned before divination to sharpen the inner sight.</t>
        </is>
      </c>
      <c r="Y13" t="inlineStr">
        <is>
          <t>Turns through cleansing and banishing — removes dark energies and resets a space to clarity.</t>
        </is>
      </c>
      <c r="Z13" t="inlineStr">
        <is>
          <t>The sharp cold herb that cuts through what the body ordinarily tolerates — where the working asks for the stripping away of what has become numb or habitual, camphor's clarity is a gift to those who have been sleepwalking through their own desire.</t>
        </is>
      </c>
    </row>
    <row r="14" ht="61.5" customHeight="1" s="56">
      <c r="A14" s="2" t="inlineStr">
        <is>
          <t>CARAWAY</t>
        </is>
      </c>
      <c r="B14" s="2" t="inlineStr">
        <is>
          <t>MERIDIAN FENNEL</t>
        </is>
      </c>
      <c r="C14" s="2" t="inlineStr">
        <is>
          <t>Carum carvi</t>
        </is>
      </c>
      <c r="D14" s="3" t="inlineStr">
        <is>
          <t>Fidelity, Love, Memory, Passion, Preventing theft, Protection, Retention, Sensuality, Consecration, Fertility, Gain, Honesty, Keeping secrets, Peace of mind, Faithfulness, Loyalty, Promoting fidelity, Ensuring a lover returns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Wisdom, Knowledge, Intelligence, Intuition, Mental clarity, Sharpening the wits, Sharpening the brain, Mental powers, MEM, Illumination, Enlightenment, Desire, Anti-theft, Protection against theft, Protective charm, Protective charms, Protective sachets, Protective wreaths, Protective incense, PROTECT AGAINST NEGATIVITY, Protection from negativity, Circle protection, Aphrodisiac, Aphrodisiac tea, Lust, Lust/Sex, Passionate love-making, LOVING &amp; LUSTFUL ENERGIES, SEX MAGIC, RAISE SEXUAL ENERGY, Sexual energy, Purification,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Female fertility, Fertility magic, Fertility charms, Aiding fertility, Increasing fertility, Fruitfulness, Virility, male virility, Abundant harvest, Prosperity, Wealth, Wealth/Prosperity, Attracting business, Business dealings, abundance, Financial arrangements, Aiding gain, PROSPERITY SPELLS, Increasing wealth, Money, Money spells, Attracting money, Drawing money, INCREASE MONEY, Breaking financial stagnation, Money mixtures, Protecting against poverty, Warding off poverty, Prophetic dreams, Invoking dreams, Dream work, Dreams, Visions, Seeing the unseen, Seeing manifestations, Truth, Removing deception, Subconscious work, Digging into the subconscious, Uprooting what is hidden, Scrying, Dowsing, Treasure seeking, Lost object finding</t>
        </is>
      </c>
      <c r="E14" s="3" t="inlineStr">
        <is>
          <t>VIRGO, GEMINI</t>
        </is>
      </c>
      <c r="F14" s="2" t="inlineStr">
        <is>
          <t>MERCURY</t>
        </is>
      </c>
      <c r="G14" s="2" t="inlineStr">
        <is>
          <t>AIR</t>
        </is>
      </c>
      <c r="H14" s="2" t="inlineStr">
        <is>
          <t>FEMININE</t>
        </is>
      </c>
      <c r="I14" s="2" t="inlineStr">
        <is>
          <t>WEDNESDAY</t>
        </is>
      </c>
      <c r="J14" s="2" t="inlineStr">
        <is>
          <t>ALL</t>
        </is>
      </c>
      <c r="K14" s="3" t="inlineStr">
        <is>
          <t>OSTARA, MABON</t>
        </is>
      </c>
      <c r="L14" s="3" t="inlineStr">
        <is>
          <t>Used at weddings for fertility/love/passion.</t>
        </is>
      </c>
      <c r="M14" s="3" t="inlineStr">
        <is>
          <t>It is said to aid in preventing theft, protection, retention, sensuality, consecration, fertility, gain, honesty, keeping secrets, and peace of mind.</t>
        </is>
      </c>
      <c r="N14" s="3" t="inlineStr">
        <is>
          <t>Consecration</t>
        </is>
      </c>
      <c r="O14" s="3" t="inlineStr">
        <is>
          <t>Used in fidelity, love, memory, and passion spells. It is said to aid in preventing theft, protection, retention, sensuality, consecration, fertility, gain, honesty, keeping secrets, and peace of mind.</t>
        </is>
      </c>
      <c r="P14" s="2" t="inlineStr">
        <is>
          <t>Lavender</t>
        </is>
      </c>
      <c r="Q14" s="3" t="inlineStr">
        <is>
          <t>Lebanon, Mediterranean (Mountainous regions)</t>
        </is>
      </c>
      <c r="R14" s="3" t="inlineStr">
        <is>
          <t>Generally safe in culinary amounts. Avoid medicinal doses during pregnancy.</t>
        </is>
      </c>
      <c r="S14" s="42" t="inlineStr">
        <is>
          <t>The Mediterranean fennel of wedding magic — used at handfastings for fertility, love and passion since Roman times. Keeps what is precious from leaving — fidelity, memory, secrets. The herb that holds things together: the kept promise, the faithful heart, the memory that does not fade.</t>
        </is>
      </c>
      <c r="T14" s="45" t="inlineStr">
        <is>
          <t>Gemini, Cancer</t>
        </is>
      </c>
      <c r="U14" t="inlineStr">
        <is>
          <t>Love, passion and fidelity drawn — the wedding herb that draws the beloved closer.</t>
        </is>
      </c>
      <c r="V14" t="inlineStr">
        <is>
          <t>Protection and the keeping of secrets — holds what must not be spoken.</t>
        </is>
      </c>
      <c r="W14" t="inlineStr">
        <is>
          <t>None specified.</t>
        </is>
      </c>
      <c r="X14" t="inlineStr">
        <is>
          <t>Opens the deeper truth of a commitment — where fidelity and memory must be seen clearly.</t>
        </is>
      </c>
      <c r="Y14" t="inlineStr">
        <is>
          <t>Turns through the strengthening of bonds — what was beginning now made firm.</t>
        </is>
      </c>
      <c r="Z14" t="inlineStr">
        <is>
          <t>The wedding night herb — carried at handfastings not just for fidelity but for the desire that keeps fidelity alive. The seed of continued passion between those who have made their vow.</t>
        </is>
      </c>
    </row>
    <row r="15" ht="171.75" customHeight="1" s="56">
      <c r="A15" s="4" t="inlineStr">
        <is>
          <t>CEDARWOOD (HIMALAYAN)</t>
        </is>
      </c>
      <c r="B15" s="4" t="inlineStr">
        <is>
          <t>TREE OF LIFE</t>
        </is>
      </c>
      <c r="C15" s="4" t="inlineStr">
        <is>
          <t>Cedrus libani or Cedrus spp.</t>
        </is>
      </c>
      <c r="D15" s="5" t="inlineStr">
        <is>
          <t>Cleansing atmospheres, Creating sacred spaces, Longevity, Protection, Preservation, Summoning spirits, Invocations, Propriety, Long life, Growth, Dedicating sacred spaces, Solar spells, Strengthening focus, Illumination,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objects, Cleansing body and spirit, Sweeping sacred spaces, Cleansing ritual areas, Cleansing negativity, Ritual baths, Ritual bath, Cleansing before ritual, Purifying body and mind, Purification, Purifying ritual areas, Purifying  Purifying new homes, Purifying new homes, Purifying the home, Self-purification, Purifying ritual spaces, Purification rituals, Sanctifying an area,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Immortality, Eternal youth, Rejuvenation, Vigorous old age, Lengthening lifespan, Life, Protective charm, Protective charms, Protective wreaths, Protective incense, PROTECT AGAINST NEGATIVITY, Protection from negativity, Circle protection,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Breaking habits, Breaking bad habits, Ending negative self-talk, Letting go of relationships, Ending guilt, Release, Renewal, New beginnings, New beginning spells, Fresh starts, Transformation, Change, rebirth, Breakthrough, Awakening, New ideas, Assisting transformation, Transformation/Evolution, Wisdom, Knowledge, Intelligence, Intuition, Mental clarity, Sharpening the wits, Sharpening the brain, Mental powers, MEM, Memory, Enlightenment</t>
        </is>
      </c>
      <c r="E15" s="5" t="inlineStr">
        <is>
          <t>ARTEMIS, SEZH, PERSPHONE, ARIES, CANCER, LEO</t>
        </is>
      </c>
      <c r="F15" s="4" t="inlineStr">
        <is>
          <t>SUN</t>
        </is>
      </c>
      <c r="G15" s="4" t="inlineStr">
        <is>
          <t>FIRE, EARTH</t>
        </is>
      </c>
      <c r="H15" s="4" t="inlineStr">
        <is>
          <t>MASCULINE</t>
        </is>
      </c>
      <c r="I15" s="4" t="inlineStr">
        <is>
          <t>SATURDAY</t>
        </is>
      </c>
      <c r="J15" s="4" t="inlineStr">
        <is>
          <t>ARTEMIS</t>
        </is>
      </c>
      <c r="K15" s="5" t="inlineStr">
        <is>
          <t>IMBOLC</t>
        </is>
      </c>
      <c r="L15" s="5" t="inlineStr">
        <is>
          <t>Sacred tree of Celtic Astrology. Druids associated with Tree of Life. Sacred to Persephone and Sezh.</t>
        </is>
      </c>
      <c r="M15" s="5" t="inlineStr">
        <is>
          <t>the creation of sacred spaces and is related to longevity, protection, and preservation.</t>
        </is>
      </c>
      <c r="N15" s="5" t="inlineStr">
        <is>
          <t>burned to dedicate sacred spaces.</t>
        </is>
      </c>
      <c r="O15" s="5" t="inlineStr">
        <is>
          <t>Cedar is sacred to the feast of Imbolc. Cedar wands cleanse negative atmospheres. Cedar wood is used for the creation of sacred spaces and is related to longevity, protection, and preservation. It is often used to summon helpful spirits during rituals and invocations. Use cedar as a symbol, charm, and talisman to represent propriety, long life, and growth. Cedar shavings can be ritually burned to dedicate sacred spaces. Use cedar wood in solar spells of all kinds designed to strengthen and illuminate your focus.</t>
        </is>
      </c>
      <c r="P15" s="4" t="inlineStr">
        <is>
          <t>Cedarwood</t>
        </is>
      </c>
      <c r="Q15" s="5" t="inlineStr">
        <is>
          <t>Western Europe (Dry pastures)</t>
        </is>
      </c>
      <c r="R15" s="6" t="inlineStr">
        <is>
          <t>Warning: Use with caution. Avoid during pregnancy.</t>
        </is>
      </c>
      <c r="S15" s="42" t="inlineStr">
        <is>
          <t>The sacred Celtic tree of the Druids — Tree of Life, immortal wood, the first tree listed in the Celtic alphabet. Its bark and resin clear atmospheres, dedicate sacred spaces and summon the spirits associated with ancient forest magic. Used in solar spells, longevity workings and the creation of truly consecrated space.</t>
        </is>
      </c>
      <c r="T15" s="45" t="inlineStr">
        <is>
          <t>Sagittarius</t>
        </is>
      </c>
      <c r="U15" t="inlineStr">
        <is>
          <t>Growth and long life drawn through cedar's deep green energy.</t>
        </is>
      </c>
      <c r="V15" t="inlineStr">
        <is>
          <t>Protection and the strengthening of focus — cedar in a working ground and steadies what is scattered.</t>
        </is>
      </c>
      <c r="W15" t="inlineStr">
        <is>
          <t>None specified.</t>
        </is>
      </c>
      <c r="X15" t="inlineStr">
        <is>
          <t>Opens the way to spirit summoning and invocation — cedar burned before calling what is ancient.</t>
        </is>
      </c>
      <c r="Y15" t="inlineStr">
        <is>
          <t>Turns through cleansing and the creation of sacred space — what was ordinary made holy for the working.</t>
        </is>
      </c>
      <c r="Z15" t="inlineStr">
        <is>
          <t>The sacred wood at its most ancient and unmediated — where the working invokes the deep time authority of what has always been considered holy, cedarwood carries the weight of every ceremony that has ever been conducted under the open sky.</t>
        </is>
      </c>
    </row>
    <row r="16" ht="74.25" customHeight="1" s="56">
      <c r="A16" s="2" t="inlineStr">
        <is>
          <t>CHAMOMILE</t>
        </is>
      </c>
      <c r="B16" s="2" t="inlineStr">
        <is>
          <t>SCENTED MAYWEED</t>
        </is>
      </c>
      <c r="C16" s="2" t="inlineStr">
        <is>
          <t>Chamaemelum nobile</t>
        </is>
      </c>
      <c r="D16" s="3" t="inlineStr">
        <is>
          <t>Fortune, Justice, Love, Meditation, Money, Prosperity, Purification, Removing curses, Removing hexes, Serenity, Calm, Sleep, Spell-breaking, Reversing harmful spells, Breaking spells, Hex breaking, Removing jinxes, Removing bad luck, Breaking hexes, Returning hexes, hex-breaking, Removing hexes and curses, Removing a jinx, Luck, Good luck, Good luck in family matters, Casino luck, WISHES, Wish magick, Carrying wishes, Transmuting wishes, Success, Victory, victory in battle, Conquest, Overcoming opposition, Courtroom success, Legal matters,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Nightmare prevention, Preventing nightmares, Negating dreams, RID OF BAD DREAMS, Nightmares, Rest, Encouraging sound sleep</t>
        </is>
      </c>
      <c r="E16" s="3" t="inlineStr">
        <is>
          <t>CERNUNNOS, CERRIDWEN, HERMES, SOL</t>
        </is>
      </c>
      <c r="F16" s="2" t="inlineStr">
        <is>
          <t>SUN, MOON</t>
        </is>
      </c>
      <c r="G16" s="2" t="inlineStr">
        <is>
          <t>WATER</t>
        </is>
      </c>
      <c r="H16" s="2" t="inlineStr">
        <is>
          <t>MASCULINE</t>
        </is>
      </c>
      <c r="I16" s="2" t="inlineStr">
        <is>
          <t>Sunday</t>
        </is>
      </c>
      <c r="J16" s="2" t="inlineStr">
        <is>
          <t>CERRIDWEN, SOL</t>
        </is>
      </c>
      <c r="K16" s="3" t="inlineStr">
        <is>
          <t>SAMHAIN</t>
        </is>
      </c>
      <c r="L16" s="3" t="inlineStr">
        <is>
          <t>Gathered for May Day in honour of Freya.</t>
        </is>
      </c>
      <c r="M16" s="3" t="inlineStr">
        <is>
          <t>Used in workings involving fortune, justice, love, meditation, money, prosperity, and purification.</t>
        </is>
      </c>
      <c r="N16" s="3" t="inlineStr">
        <is>
          <t>Used in workings involving fortune, justice, love, meditation, money, prosperity, and purification.</t>
        </is>
      </c>
      <c r="O16" s="3" t="inlineStr">
        <is>
          <t>Used in workings involving fortune, justice, love, meditation, money, prosperity, and purification. It is said to remove curses and hexes and can aid serenity, calm, and sleep.</t>
        </is>
      </c>
      <c r="P16" s="2" t="inlineStr">
        <is>
          <t>Rosemary</t>
        </is>
      </c>
      <c r="Q16" s="3" t="inlineStr">
        <is>
          <t>Northern Hemisphere (Meadows, rocky areas)</t>
        </is>
      </c>
      <c r="R16" s="6" t="inlineStr">
        <is>
          <t>Warning: Do not use while pregnant. May cause allergic reactions in those sensitive to ragweed.</t>
        </is>
      </c>
      <c r="S16" s="42" t="inlineStr">
        <is>
          <t>The golden May herb of Freya — gathered at dawn, woven into May Day garlands, steeped into the golden dream-tea. Removes what curses, settles what is turbulent, and carries the sleepy solar warmth of a field in early summer. One of the most gentle and most powerful herbs in the garden.</t>
        </is>
      </c>
      <c r="T16" s="45" t="inlineStr">
        <is>
          <t>Leo</t>
        </is>
      </c>
      <c r="U16" t="inlineStr">
        <is>
          <t>Love, prosperity and fortune drawn — chamomile in a money wash, in a love sachet, in the cup before sleep.</t>
        </is>
      </c>
      <c r="V16" t="inlineStr">
        <is>
          <t>Meditation and the settling of an agitated mind — chamomile holds the working space calm.</t>
        </is>
      </c>
      <c r="W16" t="inlineStr">
        <is>
          <t>Purification, removing curses and hexes — the cleansing golden steam.</t>
        </is>
      </c>
      <c r="X16" t="inlineStr">
        <is>
          <t>Opens the quiet place in meditation — where the deeper current of a working can be found.</t>
        </is>
      </c>
      <c r="Y16" t="inlineStr">
        <is>
          <t>Turns through purification and removal — sweeps out what has been placed there that should not be.</t>
        </is>
      </c>
      <c r="Z16" t="inlineStr">
        <is>
          <t>The golden May herb in its role as the herb of genuine peace — not the peace of avoidance but the peace of having been through something and come out the other side still whole. Used where what was turbulent must be genuinely settled.</t>
        </is>
      </c>
    </row>
    <row r="17" ht="86.25" customHeight="1" s="56">
      <c r="A17" s="4" t="inlineStr">
        <is>
          <t>CHIVE</t>
        </is>
      </c>
      <c r="B17" s="4" t="inlineStr">
        <is>
          <t>RAMSON</t>
        </is>
      </c>
      <c r="C17" s="4" t="inlineStr">
        <is>
          <t>Allium schoenoprasum</t>
        </is>
      </c>
      <c r="D17" s="5" t="inlineStr">
        <is>
          <t>Banishing, Exorcism, Breaking bad habits, Dispelling melancholy, Protection against disease, Weight loss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Breaking habits, Ending negative self-talk, Letting go of relationships, Ending guilt, Release, Renewal, New beginnings, New beginning spells, Fresh starts, Transformation, Change, rebirth, Breakthrough, Awakening, Growth, New ideas, Assisting transformation, Transformation/Evolution,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Preventing illness</t>
        </is>
      </c>
      <c r="E17" s="5" t="inlineStr">
        <is>
          <t>ARIES, CRONUS, SCORPIO</t>
        </is>
      </c>
      <c r="F17" s="4" t="inlineStr">
        <is>
          <t>SATURN, MARS</t>
        </is>
      </c>
      <c r="G17" s="4" t="inlineStr">
        <is>
          <t>EARTH, FIRE</t>
        </is>
      </c>
      <c r="H17" s="4" t="inlineStr">
        <is>
          <t>MASCULINE</t>
        </is>
      </c>
      <c r="I17" s="4" t="inlineStr">
        <is>
          <t>TUESDAY,SATURDAY</t>
        </is>
      </c>
      <c r="J17" s="4" t="inlineStr">
        <is>
          <t>THOR</t>
        </is>
      </c>
      <c r="K17" s="5" t="inlineStr">
        <is>
          <t>BELTANE, YULE</t>
        </is>
      </c>
      <c r="L17" s="5" t="inlineStr">
        <is>
          <t>Reputation for chasing away evil spirits and disease.</t>
        </is>
      </c>
      <c r="M17" s="5" t="inlineStr">
        <is>
          <t>dispelling melancholy and for protection against disease.</t>
        </is>
      </c>
      <c r="N17" s="5" t="inlineStr">
        <is>
          <t>Used in protective rituals and as altar offerings to Thor. Placed at thresholds to ward off evil and negative spiritual influences.</t>
        </is>
      </c>
      <c r="O17" s="5" t="inlineStr">
        <is>
          <t>Use in workings involving banishing, exorcism, and breaking bad habits. Use for dispelling melancholy and for protection against disease. Chives are often used in spells to aid weight loss.</t>
        </is>
      </c>
      <c r="P17" s="4" t="inlineStr">
        <is>
          <t>Patchouli</t>
        </is>
      </c>
      <c r="Q17" s="5" t="inlineStr">
        <is>
          <t>East Asia (Hillside slopes)</t>
        </is>
      </c>
      <c r="R17" s="5" t="inlineStr">
        <is>
          <t>Generally safe for culinary use. May cause digestive discomfort in large quantities.</t>
        </is>
      </c>
      <c r="S17" s="42" t="inlineStr">
        <is>
          <t>The Saturnian fire herb that chases disease and evil spirits with equal conviction. No ceremony to it — a kitchen herb made ruthless. The reputation for banishing and exorcism comes from its sharp sulfurous bite, the same quality that makes it medicinal makes it magical.</t>
        </is>
      </c>
      <c r="U17" t="inlineStr">
        <is>
          <t>None specified — this herb works primarily in release and protection.</t>
        </is>
      </c>
      <c r="V17" t="inlineStr">
        <is>
          <t>Protection against disease — chive carried or burned to ward off illness.</t>
        </is>
      </c>
      <c r="W17" t="inlineStr">
        <is>
          <t>Banishing, exorcism, dispelling melancholy and breaking bad habits — sharp and decisive in removal.</t>
        </is>
      </c>
      <c r="X17" t="inlineStr">
        <is>
          <t>Opens the hidden thread of what must be expelled — shows what has been clinging that must go.</t>
        </is>
      </c>
      <c r="Y17" t="inlineStr">
        <is>
          <t>Turns through banishing and exorcism — the spell that removes rather than draws.</t>
        </is>
      </c>
      <c r="Z17" t="inlineStr">
        <is>
          <t>The sharp herb of Mars and Saturn that removes without sentimentality — where what has overstayed must be driven out completely, chive carries the direct force of the exile without negotiation.</t>
        </is>
      </c>
    </row>
    <row r="18" ht="49.5" customHeight="1" s="56">
      <c r="A18" s="2" t="inlineStr">
        <is>
          <t>CHRYSANTHEMUM</t>
        </is>
      </c>
      <c r="B18" s="2" t="inlineStr">
        <is>
          <t>GOLDEN FLOWER</t>
        </is>
      </c>
      <c r="C18" s="2" t="inlineStr">
        <is>
          <t>Chrysanthemum indicum</t>
        </is>
      </c>
      <c r="D18" s="3" t="inlineStr">
        <is>
          <t>House blessing, Samhain/ancestral altars, Purification, Sun God offerings, Consecration,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Blessing the home, Homestead protection, Sick-room blessings, Home protection, Household protection, Healing altars, Home blessing, Ensuring joy in the home, Tranquillity in the home, Blessing guests, Blessing domestic animals, Meditation, Contemplation, Concentration, Focus, Solar spells,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t>
        </is>
      </c>
      <c r="E18" s="3" t="inlineStr">
        <is>
          <t>HELIOS, SOL</t>
        </is>
      </c>
      <c r="F18" s="2" t="inlineStr">
        <is>
          <t>SUN</t>
        </is>
      </c>
      <c r="G18" s="2" t="inlineStr">
        <is>
          <t>FIRE</t>
        </is>
      </c>
      <c r="H18" s="2" t="inlineStr">
        <is>
          <t>MASCULINE</t>
        </is>
      </c>
      <c r="I18" s="2" t="inlineStr">
        <is>
          <t>SUNDAY</t>
        </is>
      </c>
      <c r="J18" s="2" t="inlineStr">
        <is>
          <t>SOL</t>
        </is>
      </c>
      <c r="K18" s="3" t="inlineStr">
        <is>
          <t>SAMHAIN</t>
        </is>
      </c>
      <c r="L18" s="3" t="inlineStr">
        <is>
          <t>Used for burial rituals and suitable for Samhain.</t>
        </is>
      </c>
      <c r="M18" s="3" t="inlineStr">
        <is>
          <t>burial rituals and is a suitable decoration for Samhain and ancestral altars.</t>
        </is>
      </c>
      <c r="N18" s="3" t="inlineStr">
        <is>
          <t>burned as a smudge for house blessing.</t>
        </is>
      </c>
      <c r="O18" s="3" t="inlineStr">
        <is>
          <t>The dried flower heads of chrysanthemum can be burned as a smudge for house blessing. Chrysanthemum has been used for burial rituals and is a suitable decoration for Samhain and ancestral altars.</t>
        </is>
      </c>
      <c r="P18" s="2" t="inlineStr">
        <is>
          <t>Tea Tree</t>
        </is>
      </c>
      <c r="Q18" s="3" t="inlineStr">
        <is>
          <t>Sri Lanka (Tropical rainforests)</t>
        </is>
      </c>
      <c r="R18" s="3" t="inlineStr">
        <is>
          <t>Warning: May cause contact dermatitis in sensitive individuals. Avoid if allergic to daisies.</t>
        </is>
      </c>
      <c r="S18" s="42" t="inlineStr">
        <is>
          <t>The Samhain flower of the East — used for burial rites in Chinese tradition, planted on graves in European custom, carried in processions of the dead. A Sun herb despite its autumnal associations, carrying the blessing of the hearth and the honouring of what has passed.</t>
        </is>
      </c>
      <c r="U18" t="inlineStr">
        <is>
          <t>None specified.</t>
        </is>
      </c>
      <c r="V18" t="inlineStr">
        <is>
          <t>None specified.</t>
        </is>
      </c>
      <c r="W18" t="inlineStr">
        <is>
          <t>None specified.</t>
        </is>
      </c>
      <c r="X18" t="inlineStr">
        <is>
          <t>Opens the sacred space of Samhain and ancestral honouring — the flower placed where the dead are welcomed.</t>
        </is>
      </c>
      <c r="Y18" t="inlineStr">
        <is>
          <t>Turns through the cycle of death and the house blessing — what ends is honoured; the home is blessed for the dark months ahead.</t>
        </is>
      </c>
      <c r="Z18" t="inlineStr">
        <is>
          <t>The death and rebirth flower in its most honest acknowledgement — that endings are as sacred as beginnings, that what dies in the body is no less worthy of ceremony than what lives. The Samhain flower that knows both faces of the Goddess.</t>
        </is>
      </c>
    </row>
    <row r="19" ht="74.25" customHeight="1" s="56">
      <c r="A19" s="4" t="inlineStr">
        <is>
          <t>CINNAMON STICKS</t>
        </is>
      </c>
      <c r="B19" s="4" t="inlineStr">
        <is>
          <t>SWEEET WOOD</t>
        </is>
      </c>
      <c r="C19" s="4" t="inlineStr">
        <is>
          <t>Cinnamomum verum</t>
        </is>
      </c>
      <c r="D19" s="5" t="inlineStr">
        <is>
          <t>Clairvoyance, Consecration, Divination, Energy, Good luck, Love, Money, Passion, Peace, Prosperity, Protection, Psychic development, Success, Communication, Happiness, Harmony, Healing, Inspiration, Knowledge, Meditation, Purification, Spirituality, Tranquillity, Wisdom, Enhancing clairvoyance, Psychic powers, INCREASE PSYCHIC ABILITIES, Psychic awareness, Stimulating psychic senses, Disabling psychic phenomena, Psychic communication, communication and psychic abilities,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Enhancing divination, Divinatory incense, Foretelling the future, Future divination, Scrying, Dowsing, Prophecy,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Protective charm, Protective charms, Protective wreaths, Protective incense, PROTECT AGAINST NEGATIVITY, Protection from negativity, Circle protection, Victory, victory in battle, Conquest, Overcoming opposition, Courtroom success, Legal matters, Justice, Joy, Joyous celebrations, Contentment, Healing magic, Healing spells, Healing sachets, Healing incenses, Healing mixtures, Healing rituals, Healing incense, Healing vibrations, healing after surgery, Aiding recovery, Aiding the ill, Improving health, Speeding recovery, Good health, health, Intelligence, Intuition, Mental clarity, Sharpening the wits, Sharpening the brain, Mental powers, MEM, Memory, Illumination, Enlightenment</t>
        </is>
      </c>
      <c r="E19" s="5" t="inlineStr">
        <is>
          <t>APHRODITE, HERMES, SOL, VENUS, HELIOS, ARIES, LEO</t>
        </is>
      </c>
      <c r="F19" s="4" t="inlineStr">
        <is>
          <t>MERCURY,  SUN, MARS, URANUS</t>
        </is>
      </c>
      <c r="G19" s="4" t="inlineStr">
        <is>
          <t>AIR, FIRE</t>
        </is>
      </c>
      <c r="H19" s="4" t="inlineStr">
        <is>
          <t>MASCULINE</t>
        </is>
      </c>
      <c r="I19" s="4" t="inlineStr">
        <is>
          <t>SUNDAY</t>
        </is>
      </c>
      <c r="J19" s="4" t="inlineStr">
        <is>
          <t>APHRODITE, SOL</t>
        </is>
      </c>
      <c r="K19" s="5" t="inlineStr">
        <is>
          <t>OSTARA, BELTANE, LITHA</t>
        </is>
      </c>
      <c r="L19" s="5" t="inlineStr">
        <is>
          <t>Important as purification incense in China.</t>
        </is>
      </c>
      <c r="M19" s="5" t="inlineStr">
        <is>
          <t>Use to aid clairvoyance and for workings involving consecration, divination, energy, good luck, love, money, passion, peace, prosperity, protection, psychic development, success, communication, happiness, harmony, healing, inspiration, knowledge, meditation, purification, spirituality, tranquillity, and wisdom.</t>
        </is>
      </c>
      <c r="N19" s="5" t="inlineStr">
        <is>
          <t>Use to aid clairvoyance and for workings involving consecration, divination, energy, good luck, love, money, passion, peace, prosperity, protection, psychic development, success, communication, happiness, harmony, healing, inspiration, knowledge, meditation, purification, spirituality, tranquillity, and wisdom.</t>
        </is>
      </c>
      <c r="O19" s="5" t="inlineStr">
        <is>
          <t>Use to aid clairvoyance and for workings involving consecration, divination, energy, good luck, love, money, passion, peace, prosperity, protection, psychic development, success, communication, happiness, harmony, healing, inspiration, knowledge, meditation, purification, spirituality, tranquillity, and wisdom. Cinnamon is important as purification incense in China.</t>
        </is>
      </c>
      <c r="P19" s="4" t="inlineStr">
        <is>
          <t>Cinnamon</t>
        </is>
      </c>
      <c r="Q19" s="5" t="inlineStr">
        <is>
          <t>Europe, North America (Hedges, damp areas)</t>
        </is>
      </c>
      <c r="R19" s="6" t="inlineStr">
        <is>
          <t>Warning: Do not use externally on the body as it irritates the skin. Do not ingest the essential oil.</t>
        </is>
      </c>
      <c r="S19" s="42" t="inlineStr">
        <is>
          <t>The purification incense of ancient China, the warm sweet fire of Mercury and the Sun combined. Cinnamon has been used in magic longer than most civilisations have existed — in Egyptian temples, in Chinese court ceremonies, in Renaissance European kitchens where it was worth more than gold. The great sharpener of psychic work and the great bringer of warmth to love magic.</t>
        </is>
      </c>
      <c r="T19" s="45" t="inlineStr">
        <is>
          <t>Aries</t>
        </is>
      </c>
      <c r="U19" t="inlineStr">
        <is>
          <t>Good luck, love, passion, peace, prosperity and happiness drawn through cinnamon's warm solar fire.</t>
        </is>
      </c>
      <c r="V19" t="inlineStr">
        <is>
          <t>Protection, psychic development, healing and wisdom held through cinnamon's Mercury energy.</t>
        </is>
      </c>
      <c r="W19" t="inlineStr">
        <is>
          <t>Purification — burned to clear, used in cleansing incense blends.</t>
        </is>
      </c>
      <c r="X19" t="inlineStr">
        <is>
          <t>Opens clairvoyance and divination — sharpens the sight when burned before any psychic work.</t>
        </is>
      </c>
      <c r="Y19" t="inlineStr">
        <is>
          <t>Turns through clairvoyance into action — where the vision must now move into physical reality.</t>
        </is>
      </c>
      <c r="Z19" t="inlineStr">
        <is>
          <t>The ancient incense in its role as the great sharpener of whatever it accompanies — where the working must operate at full potency, cinnamon raises the temperature of every element it touches into something more completely itself.</t>
        </is>
      </c>
    </row>
    <row r="20" ht="74.25" customHeight="1" s="56">
      <c r="A20" s="2" t="inlineStr">
        <is>
          <t>CLEAVERS</t>
        </is>
      </c>
      <c r="B20" s="2" t="inlineStr">
        <is>
          <t>STICKY WEED</t>
        </is>
      </c>
      <c r="C20" s="2" t="inlineStr">
        <is>
          <t>Galium aparine</t>
        </is>
      </c>
      <c r="D20" s="3" t="inlineStr">
        <is>
          <t>Spring tonic, Healing, Psychic powers, Spring festivals, Purification rituals, Menarche rituals, Binding spells, Binding rituals, Imbolc/Ostara, Imbolc, Imbolc rites, Ostara, Ostara rites, Spring rituals, Spring Equinox rites, Spring/Imbolc/Ostara/Beltane, Earth festivals, Healing magic, Healing spells, Healing sachets, Healing incenses, Healing mixtures, Healing rituals, Healing incense, Healing vibrations, healing after surgery, Aiding recovery, Aiding the ill, Improving health, Speeding recovery, Good health, health, Clairvoyance, Enhancing clairvoyance, Psychic development, INCREASE PSYCHIC ABILITIES, Psychic awareness, Stimulating psychic senses, Disabling psychic phenomena, Psychic communication, communication and psychic abilities, Purification, Purifying ritual areas, Purifying  Purifying new homes, Purifying new homes, Purifying the home, Self-purification, Purifying ritual spaces,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t>
        </is>
      </c>
      <c r="E20" s="3" t="inlineStr">
        <is>
          <t>CRONUS, FREYA, CAPRICORN, AQUARIUS</t>
        </is>
      </c>
      <c r="F20" s="2" t="inlineStr">
        <is>
          <t>SATURN</t>
        </is>
      </c>
      <c r="G20" s="2" t="inlineStr">
        <is>
          <t>FIRE</t>
        </is>
      </c>
      <c r="H20" s="2" t="inlineStr">
        <is>
          <t>MASCULINE</t>
        </is>
      </c>
      <c r="I20" s="2" t="inlineStr">
        <is>
          <t>SATURDAY</t>
        </is>
      </c>
      <c r="J20" s="2" t="inlineStr">
        <is>
          <t>ALL</t>
        </is>
      </c>
      <c r="K20" s="3" t="inlineStr">
        <is>
          <t>SAMHAIN, YULE</t>
        </is>
      </c>
      <c r="L20" s="3" t="inlineStr">
        <is>
          <t>None provided.</t>
        </is>
      </c>
      <c r="M20" s="3" t="inlineStr">
        <is>
          <t>healing and psychic powers.</t>
        </is>
      </c>
      <c r="N20" s="3" t="inlineStr">
        <is>
          <t>used in rituals held to mark a girl's menarche and the entry into adulthood.</t>
        </is>
      </c>
      <c r="O20" s="3" t="inlineStr">
        <is>
          <t>With its long-lasting reputation as a spring tonic, cleavers is used for healing and psychic powers. It can be used for spring festivals and purification rituals. This herb can be used in rituals held to mark a girl's menarche and the entry into adulthood. Because this plant sticks and binds, it can also be used for binding spells and rituals.</t>
        </is>
      </c>
      <c r="P20" s="2" t="inlineStr">
        <is>
          <t>Patchouli</t>
        </is>
      </c>
      <c r="Q20" s="3" t="inlineStr">
        <is>
          <t>Europe, Central Asia (Grasslands)</t>
        </is>
      </c>
      <c r="R20" s="6" t="inlineStr">
        <is>
          <t>Warning: Do not ingest unless in the form of ferments or alcohol-based preparations.</t>
        </is>
      </c>
      <c r="S20" s="42" t="inlineStr">
        <is>
          <t>The tenacious spring weed that binds itself to anything it touches — its stickiness is its magic. A Beltane and spring festival herb, used in menarche rites and binding spells. The herb that holds on, that psychically grips, that purifies through the principle of clinging and then releasing.</t>
        </is>
      </c>
      <c r="U20" t="inlineStr">
        <is>
          <t>None specified — this herb works primarily in holding.</t>
        </is>
      </c>
      <c r="V20" t="inlineStr">
        <is>
          <t>Healing and psychic powers — cleavers used in spring tonics and psychic strengthening.</t>
        </is>
      </c>
      <c r="W20" t="inlineStr">
        <is>
          <t>Purification rituals — the great spring cleanse, inside and out.</t>
        </is>
      </c>
      <c r="X20" t="inlineStr">
        <is>
          <t>Opens the psychic powers and the inner knowing that comes at life's threshold moments.</t>
        </is>
      </c>
      <c r="Y20" t="inlineStr">
        <is>
          <t>Turns through the spring purification — old winter energy swept out, the body and the working made clean.</t>
        </is>
      </c>
      <c r="Z20" t="inlineStr">
        <is>
          <t>The binding herb that clings by design — where the working asks for something to hold without being told to hold, cleavers is the herb that does not let go. Used in workings where what must be bound must stay bound.</t>
        </is>
      </c>
    </row>
    <row r="21" ht="208.5" customHeight="1" s="56">
      <c r="A21" s="4" t="inlineStr">
        <is>
          <t>CLOVER</t>
        </is>
      </c>
      <c r="B21" s="4" t="inlineStr">
        <is>
          <t>SEMEN OF ARES</t>
        </is>
      </c>
      <c r="C21" s="4" t="inlineStr">
        <is>
          <t>Trifolium repens</t>
        </is>
      </c>
      <c r="D21" s="5" t="inlineStr">
        <is>
          <t>Fidelity, Love, Money, Protection, Blessing domestic animals, Financial arrangements, Removing negative spirits, Ritual baths, Prosperity, Floor washes, Shamanic work, Otherworld travel, Out-of-body protection, Walking between worlds, Protective charm, Faithfulness, Loyalty, Promoting fidelity, Ensuring a lover returns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journeying, Nether-realm travel,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Aiding gain, Gain, PROSPERITY SPELLS, Increasing wealth, Money spells, Attracting money, Drawing money, INCREASE MONEY, Breaking financial stagnation, Money mixtures, Protecting against poverty, Warding off poverty, Protective charms, Protective sachets,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 Cleansing before ritual, Purifying body and mind, Contacting planes,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E21" s="5" t="inlineStr">
        <is>
          <t>ARTEMIS, HERMES, GEMINI, VIRGO</t>
        </is>
      </c>
      <c r="F21" s="4" t="inlineStr">
        <is>
          <t>MERCURY</t>
        </is>
      </c>
      <c r="G21" s="4" t="inlineStr">
        <is>
          <t>AIR</t>
        </is>
      </c>
      <c r="H21" s="4" t="inlineStr">
        <is>
          <t>FEMININE</t>
        </is>
      </c>
      <c r="I21" s="4" t="inlineStr">
        <is>
          <t>WEDNESDAY</t>
        </is>
      </c>
      <c r="J21" s="4" t="inlineStr">
        <is>
          <t>ARTEMIS</t>
        </is>
      </c>
      <c r="K21" s="5" t="inlineStr">
        <is>
          <t>OSTARA, MABON</t>
        </is>
      </c>
      <c r="L21" s="5" t="inlineStr">
        <is>
          <t>Four-leaf clover for good luck. Three-leaf for protection.</t>
        </is>
      </c>
      <c r="M21" s="5" t="inlineStr">
        <is>
          <t>fidelity, love, money, protection, and the blessing of domestic animals.</t>
        </is>
      </c>
      <c r="N21" s="5" t="inlineStr">
        <is>
          <t>With its three leaves, clover is a very shamanic plant allowing one to see into and interact with the Otherworld.</t>
        </is>
      </c>
      <c r="O21" s="5" t="inlineStr">
        <is>
          <t>Use for fidelity, love, money, protection, and the blessing of domestic animals. Carry to aid in financial arrangements. Sprinkle around the home to remove negative spirits. Red clover is used in a ritual bath to attract money and prosperity to the bather and is also used as a floor wash to chase out evil and unwanted ghosts. With its three leaves, clover is a very shamanic plant allowing one to see into and interact with the Otherworld. It is a good talisman of protection and power for travelling out of body and walking between worlds.</t>
        </is>
      </c>
      <c r="P21" s="4" t="inlineStr">
        <is>
          <t>Lavender</t>
        </is>
      </c>
      <c r="Q21" s="5" t="inlineStr">
        <is>
          <t>Europe, Western Asia (Meadows)</t>
        </is>
      </c>
      <c r="R21" s="5" t="inlineStr">
        <is>
          <t>Generally considered safe for most uses. Always use in moderation.</t>
        </is>
      </c>
      <c r="S21" s="42" t="inlineStr">
        <is>
          <t>The three-leaf for protection, the four-leaf for luck — the fairy herb that bridges the world of the visible and the hidden. Sacred to the fae, used in otherworld travel and out-of-body protection. A walking-between-worlds herb that carries the money and love of Venus alongside the stranger paths of Mercury.</t>
        </is>
      </c>
      <c r="T21" s="45" t="inlineStr">
        <is>
          <t>Aries</t>
        </is>
      </c>
      <c r="U21" t="inlineStr">
        <is>
          <t>Fidelity, love and prosperity drawn — clover in a charm draws what is wished for.</t>
        </is>
      </c>
      <c r="V21" t="inlineStr">
        <is>
          <t>Protection and out-of-body protection — the shield that travels with the spirit.</t>
        </is>
      </c>
      <c r="W21" t="inlineStr">
        <is>
          <t>Removing negative spirits — clears what has come through the veil uninvited.</t>
        </is>
      </c>
      <c r="X21" t="inlineStr">
        <is>
          <t>Opens the doorway to Otherworld travel and shamanic work — the herb carried at the threshold.</t>
        </is>
      </c>
      <c r="Y21" t="inlineStr">
        <is>
          <t>Turns through the removal of negativity and the beginning of what comes after.</t>
        </is>
      </c>
      <c r="Z21" t="inlineStr">
        <is>
          <t>The otherworld herb in its deepest function — where what the human world considers impossible is being attempted through the fairy gateway, clover is the pass. The herb of those who walk between worlds without asking whether they are permitted to.</t>
        </is>
      </c>
    </row>
    <row r="22" ht="98.25" customHeight="1" s="56">
      <c r="A22" s="2" t="inlineStr">
        <is>
          <t>CLOVER RED</t>
        </is>
      </c>
      <c r="B22" s="2" t="inlineStr">
        <is>
          <t>HARE’S FOOT</t>
        </is>
      </c>
      <c r="C22" s="2" t="inlineStr">
        <is>
          <t>Trifolium pratense</t>
        </is>
      </c>
      <c r="D22" s="3" t="inlineStr">
        <is>
          <t>Amulets, Driving away negativity, Calmness, Soothing nervousness, Desire, Fidelity, Loyalty, Cleansing baths, Attracting money, Breaking financial stagnation, Love philtres, Fixing spells, Lust,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Talismans, Protective sachets, Charm bags, Mojo bags, Sachets, Banishing, Banishing negative energies, Banishing smudge, Banishing pesky spirits, Banishing unwanted energies, Casting away evil spirits, Repelling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Passion, Faithfulness, Promoting fidelity, Ensuring a lover returns love,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Drawing money, INCREASE MONEY, Money mixtures, Protecting against poverty, Warding off poverty, Aphrodisiac, Aphrodisiac tea, Sensuality, Lust/Sex, Passionate love-making, LOVING &amp; LUSTFUL ENERGIES, SEX MAGIC, RAISE SEXUAL ENERGY, Sexual energy</t>
        </is>
      </c>
      <c r="E22" s="3" t="inlineStr">
        <is>
          <t>HERMES, MERCURY, GEMINI, VIRGO</t>
        </is>
      </c>
      <c r="F22" s="2" t="inlineStr">
        <is>
          <t>MERCURY</t>
        </is>
      </c>
      <c r="G22" s="2" t="inlineStr">
        <is>
          <t>AIR</t>
        </is>
      </c>
      <c r="H22" s="2" t="inlineStr">
        <is>
          <t>FEMININE</t>
        </is>
      </c>
      <c r="I22" s="2" t="inlineStr">
        <is>
          <t>WEDNESDAY</t>
        </is>
      </c>
      <c r="J22" s="2" t="inlineStr">
        <is>
          <t>ALL, ARTEMIS</t>
        </is>
      </c>
      <c r="K22" s="3" t="inlineStr">
        <is>
          <t>OSTARA, MABON</t>
        </is>
      </c>
      <c r="L22" s="3" t="inlineStr">
        <is>
          <t>None provided.</t>
        </is>
      </c>
      <c r="M22" s="3" t="inlineStr">
        <is>
          <t>Very strong decoctions of red clover have been used in cleansing baths to help people attract money or break free from a tight financial situation.</t>
        </is>
      </c>
      <c r="N22" s="3" t="inlineStr">
        <is>
          <t>Used in purification baths and cleansing rituals. Placed on altars at Ostara; used in faery rites and spring ceremonies.</t>
        </is>
      </c>
      <c r="O22" s="3" t="inlineStr">
        <is>
          <t>As with nearly all species of clover, the red clover is typically given or used as an amulet when carried on one's person. Its flowers have been used as incense to drive away negativity, facilitate calmness, soothe nervousness, elicit desire, and encourage fidelity and loyalty between couples. Very strong decoctions of red clover have been used in cleansing baths to help people attract money or break free from a tight financial situation. Its most notable use is in the creation of love philtres, as it often plays an integral role in fixing spells and conjures due to its ability to incite lust.</t>
        </is>
      </c>
      <c r="P22" s="2" t="inlineStr">
        <is>
          <t>Lavender</t>
        </is>
      </c>
      <c r="Q22" s="3" t="inlineStr">
        <is>
          <t>Indonesia (Tropical volcanic islands)</t>
        </is>
      </c>
      <c r="R22" s="6" t="inlineStr">
        <is>
          <t>Warning: May cause allergic skin reactions, nausea, vomiting, headache. Avoid during pregnancy.</t>
        </is>
      </c>
      <c r="S22" s="42" t="inlineStr">
        <is>
          <t>The herb of the lunar deep — red clover decoctions used to break financial stagnation and attract money, the same strong preparation used in cleansing baths before any significant magical working. The Hare's Foot, light-footed and persistent, growing in meadows across the Northern Hemisphere.</t>
        </is>
      </c>
      <c r="T22" s="45" t="inlineStr">
        <is>
          <t>Aries</t>
        </is>
      </c>
      <c r="U22" t="inlineStr">
        <is>
          <t>Desire, fidelity and attracting money — red clover in love philtres and money washes.</t>
        </is>
      </c>
      <c r="V22" t="inlineStr">
        <is>
          <t>None specified.</t>
        </is>
      </c>
      <c r="W22" t="inlineStr">
        <is>
          <t>Breaking financial stagnation — where money has stopped moving, red clover sets it flowing again.</t>
        </is>
      </c>
      <c r="X22" t="inlineStr">
        <is>
          <t>Opens the hidden block to prosperity — reveals what financial pattern has been running and what must change.</t>
        </is>
      </c>
      <c r="Y22" t="inlineStr">
        <is>
          <t>Turns through cleansing and the breaking of stagnation — the old pattern dissolved, the new flow possible.</t>
        </is>
      </c>
      <c r="Z22" t="inlineStr">
        <is>
          <t>The red-blossomed desire herb — used in love philtres where attraction must deepen into something more urgent. The hare's foot herb of the meadow, quick and warm and willing.</t>
        </is>
      </c>
    </row>
    <row r="23" ht="61.5" customHeight="1" s="56">
      <c r="A23" s="4" t="inlineStr">
        <is>
          <t>CLOVES</t>
        </is>
      </c>
      <c r="B23" s="4" t="inlineStr">
        <is>
          <t>FOALSWORT</t>
        </is>
      </c>
      <c r="C23" s="4" t="inlineStr">
        <is>
          <t>Syzygium aromaticum</t>
        </is>
      </c>
      <c r="D23" s="5" t="inlineStr">
        <is>
          <t>Clairvoyance, Divination, Exorcism, Keeping away negative forces, Love, Memory, Money, Passion, Peace of mind, Protection, Psychic protection, Purification, Stopping gossip, Cleansing, Friendship, Psychic development, Release, Spell-breaking, Enhancing clairvoyance,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Tranquillity, PEACE &amp; HAPPINESS, Calming, Soothing, Calm, Calmness, Relaxation, Calming energies, Calming the mind, Calming stormy situations, Serenity, AID MEDITATION, Peace, Inner peace, Peaceful vibrations, Calming stress, Calming household upheaval,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Wisdom, Knowledge, Intelligence, Intuition, Mental clarity, Sharpening the wits, Sharpening the brain, Mental powers, MEM, Illumination, Enlightenment,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Protective charm, Protective charms, Protective sachets,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Breaking habits, Breaking bad habits, Ending negative self-talk, Letting go of relationships, Ending guilt, Renewal, New beginnings, New beginning spells, Fresh starts, Transformation, Change, rebirth, Breakthrough, Awakening, Growth, New ideas, Assisting transformation, Transformation/Evolution, Reversing harmful spells, Breaking spells, Hex breaking, Removing hexes, Removing curses, Removing jinxes, Removing bad luck, Breaking hexes, Returning hexes, hex-breaking, Removing hexes and curses, Removing a jinx, Luck, Good luck, Good luck in family matters, Fortune, Casino luck, WISHES, Wish magick, Carrying wishes, Transmuting wishes</t>
        </is>
      </c>
      <c r="E23" s="5" t="inlineStr">
        <is>
          <t>JUPITER, ZEUS, ARIES, SCORPIO,SAGITTARIUS</t>
        </is>
      </c>
      <c r="F23" s="4" t="inlineStr">
        <is>
          <t>JUPITER</t>
        </is>
      </c>
      <c r="G23" s="4" t="inlineStr">
        <is>
          <t>FIRE</t>
        </is>
      </c>
      <c r="H23" s="4" t="inlineStr">
        <is>
          <t>MASCULINE</t>
        </is>
      </c>
      <c r="I23" s="4" t="inlineStr">
        <is>
          <t>SUNDAY, THURSDAY</t>
        </is>
      </c>
      <c r="J23" s="4" t="inlineStr">
        <is>
          <t>ZEUS</t>
        </is>
      </c>
      <c r="K23" s="5" t="inlineStr">
        <is>
          <t>LAMMAS, MABON</t>
        </is>
      </c>
      <c r="L23" s="5" t="inlineStr">
        <is>
          <t>None provided.</t>
        </is>
      </c>
      <c r="M23" s="5" t="inlineStr">
        <is>
          <t>Use in workings for clairvoyance, divination, exorcism, keeping away negative forces, love, memory, money, passion, peace of mind, protection, psychic protection, purification, and stopping gossip. Other magical uses: cleansing, friendship, psychic development, release, and spell-breaking.</t>
        </is>
      </c>
      <c r="N23" s="5" t="inlineStr">
        <is>
          <t>Use in workings for clairvoyance, divination, exorcism, keeping away negative forces, love, memory, money, passion, peace of mind, protection, psychic protection, purification, and stopping gossip.</t>
        </is>
      </c>
      <c r="O23" s="5" t="inlineStr">
        <is>
          <t>Use in workings for clairvoyance, divination, exorcism, keeping away negative forces, love, memory, money, passion, peace of mind, protection, psychic protection, purification, and stopping gossip. Other magical uses: cleansing, friendship, psychic development, release, and spell-breaking.</t>
        </is>
      </c>
      <c r="P23" s="4" t="inlineStr">
        <is>
          <t>Clove Bud</t>
        </is>
      </c>
      <c r="Q23" s="5" t="inlineStr">
        <is>
          <t>Europe, Asia (Damp soils, riverbanks)</t>
        </is>
      </c>
      <c r="R23" s="5" t="inlineStr">
        <is>
          <t>Warning: Clove essential oil is very potent and can irritate skin and mucous membranes. Dilute before use.</t>
        </is>
      </c>
      <c r="S23" s="42" t="inlineStr">
        <is>
          <t>The Jupiter and fire spice that stops gossip, sharpens clairvoyance and keeps away negative forces. Burned before divination across dozens of traditions. The friendship and memory herb that holds a spell's shape once cast — and the exorcist's spice that drives what is unwanted out of a space with smoke.</t>
        </is>
      </c>
      <c r="T23" s="45" t="inlineStr">
        <is>
          <t>Aries</t>
        </is>
      </c>
      <c r="U23" t="inlineStr">
        <is>
          <t>Love, passion, peace of mind and friendship drawn through clove's warm fire.</t>
        </is>
      </c>
      <c r="V23" t="inlineStr">
        <is>
          <t>Protection and psychic protection — keeps what is negative at distance.</t>
        </is>
      </c>
      <c r="W23" t="inlineStr">
        <is>
          <t>Exorcism, purification, release and spell-breaking — the clearing smoke.</t>
        </is>
      </c>
      <c r="X23" t="inlineStr">
        <is>
          <t>Opens clairvoyance and divination — burned before any reading to sharpen the inner sight.</t>
        </is>
      </c>
      <c r="Y23" t="inlineStr">
        <is>
          <t>Turns through exorcism and purification — the spell that clears space for what must come next.</t>
        </is>
      </c>
      <c r="Z23" t="inlineStr">
        <is>
          <t>The fire spice that keeps away negative forces by the same directness it applies to everything — where the working requires something that makes no compromise with what opposes it, clove is the unequivocal ally.</t>
        </is>
      </c>
    </row>
    <row r="24" ht="208.5" customHeight="1" s="56">
      <c r="A24" s="2" t="inlineStr">
        <is>
          <t>COLTSFOOT</t>
        </is>
      </c>
      <c r="B24" s="2" t="inlineStr">
        <is>
          <t>BUTTER BUR</t>
        </is>
      </c>
      <c r="C24" s="2" t="inlineStr">
        <is>
          <t>Tussilago farfara</t>
        </is>
      </c>
      <c r="D24" s="3" t="inlineStr">
        <is>
          <t>Spring rituals, Imbolc, Ostara, Beltane, Love, Tranquillity, Money spells, Divinatory incense, Healing incense, Psychic awareness, Communion with spirits, Prophetic dreams, Removing sickness, Removing mental troubles, Visions, Imbolc/Ostara, Imbolc rites, Ostara rites, Spring festivals, Spring Equinox rites, Spring/Imbolc/Ostara/Beltane, Spring tonic, Earth festivals, Beltane rituals, Beltane celebrations, Summer rituals, Midsummer, Midsummer celebrations, Midsummer magic, Midsummer rites, Midsummer/Litha rituals,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Attracting money, Drawing money, INCREASE MONEY, Breaking financial stagnation, Money mixtures, Protecting against poverty, Warding off poverty, Divination, Enhancing divination, Foretelling the future, Future divination, Scrying, Dowsing, Prophecy, Healing, Healing magic, Healing spells, Healing sachets, Healing incenses, Healing mixtures, Healing rituals, Healing vibrations, healing after surgery, Aiding recovery, Aiding the ill, Improving health, Speeding recovery, Good health, health, Clairvoyance, Enhancing clairvoyance, Psychic development, Psychic powers, INCREASE PSYCHIC ABILITIES, Stimulating psychic senses, Disabling psychic phenomena, Psychic communication, communication and psychic abilities, Contacting planes, Contacting other planes,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Invoking dreams, Dream work, Dreams, Seeing the unseen, Seeing manifestations, Truth, Honesty, Removing deception, Subconscious work, Digging into the subconscious, Uprooting what is hidden, Treasure seeking, Lost object finding,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Keeping illness away, Keeping sickness away, Curing fevers, Dispelling melancholy, Preventing illness, Protection against disease</t>
        </is>
      </c>
      <c r="E24" s="3" t="inlineStr">
        <is>
          <t>APHRODITE, CHIRON, LIBRA, TAURUS</t>
        </is>
      </c>
      <c r="F24" s="2" t="inlineStr">
        <is>
          <t>VENUS</t>
        </is>
      </c>
      <c r="G24" s="2" t="inlineStr">
        <is>
          <t>WATER</t>
        </is>
      </c>
      <c r="H24" s="2" t="inlineStr">
        <is>
          <t>FEMININE</t>
        </is>
      </c>
      <c r="I24" s="2" t="inlineStr">
        <is>
          <t>FRIDAY</t>
        </is>
      </c>
      <c r="J24" s="2" t="inlineStr">
        <is>
          <t>APHRODITE</t>
        </is>
      </c>
      <c r="K24" s="3" t="inlineStr">
        <is>
          <t>IMBOLC, OSTARA, BELTANE</t>
        </is>
      </c>
      <c r="L24" s="3" t="inlineStr">
        <is>
          <t>Loves growing around water. Common ingredient in herbal smoking mixtures.</t>
        </is>
      </c>
      <c r="M24" s="3" t="inlineStr">
        <is>
          <t>Spring rituals, Imbolc, Ostara, Beltane, Love, Tranquillity, Money spells, Divinatory incense, Healing incense, Psychic awareness</t>
        </is>
      </c>
      <c r="N24" s="3" t="inlineStr">
        <is>
          <t>burned in divinatory and healing incense.</t>
        </is>
      </c>
      <c r="O24" s="3" t="inlineStr">
        <is>
          <t>This plant and its bright sunny yellow flowers make it suitable for springtime rituals welcoming the return of the sun, such as Imbolc, Ostara, and Beltane. The long stems can be woven into wreaths. Use in love, tranquillity, and money spells. It is also burned in divinatory and healing incense. It is considered to increase psychic awareness, but it is rarely used alone. Some people mix coltsfoot with other "psychic herbs" — such as acacia, althaea, angelica, anise seed, bay, bearberry, camphor, celery seed, dandelion, dittany of Crete, flax seed, mint, mugwort, poppy, purslane, or star anise — and burn the mix on charcoal when seeking communion with spirits or drawing in prophetic dreams. Others burn it with blessing incense to remove sickness or mental troubles.</t>
        </is>
      </c>
      <c r="P24" s="2" t="inlineStr">
        <is>
          <t>Ylang Ylang</t>
        </is>
      </c>
      <c r="Q24" s="3" t="inlineStr">
        <is>
          <t>Europe, Asia (Damp riverbanks)</t>
        </is>
      </c>
      <c r="R24" s="3" t="inlineStr">
        <is>
          <t>Warning: Contains pyrrolizidine alkaloids which may be harmful to the liver. Do not ingest. For ritual use only.</t>
        </is>
      </c>
      <c r="S24" s="42" t="inlineStr">
        <is>
          <t>The waterside herb of early spring that flowers before its leaves appear — one of the first green things after winter. Used at Imbolc, Ostara and Beltane for its first-of-the-year energy. A Moon and Venus herb both, used in divinatory incense and to commune with spirits at the threshold between winter and spring.</t>
        </is>
      </c>
      <c r="T24" s="45" t="inlineStr">
        <is>
          <t>Taurus</t>
        </is>
      </c>
      <c r="U24" t="inlineStr">
        <is>
          <t>Love drawn through coltsfoot's gentle Venus energy.</t>
        </is>
      </c>
      <c r="V24" t="inlineStr">
        <is>
          <t>Psychic awareness and healing incense — holds the dreaming mind open.</t>
        </is>
      </c>
      <c r="W24" t="inlineStr">
        <is>
          <t>None specified.</t>
        </is>
      </c>
      <c r="X24" t="inlineStr">
        <is>
          <t>Opens the spirit communication channel — coltsfoot burned as divinatory incense at Imbolc where the veil between seasons thins.</t>
        </is>
      </c>
      <c r="Y24" t="inlineStr">
        <is>
          <t>Turns through the seasonal threshold — the healing energy of spring beginning to move through what was frozen.</t>
        </is>
      </c>
      <c r="Z24" t="inlineStr">
        <is>
          <t>The first-of-spring herb in its most tender and determined aspect — where what has been under the frost all winter must now come up regardless of the risk, coltsfoot is the courage of the body asserting itself before the conditions are entirely favourable.</t>
        </is>
      </c>
    </row>
    <row r="25" ht="220.5" customHeight="1" s="56">
      <c r="A25" s="4" t="inlineStr">
        <is>
          <t>COMFREY</t>
        </is>
      </c>
      <c r="B25" s="4" t="inlineStr">
        <is>
          <t>BONESET</t>
        </is>
      </c>
      <c r="C25" s="4" t="inlineStr">
        <is>
          <t>Symphytum officinale</t>
        </is>
      </c>
      <c r="D25" s="5" t="inlineStr">
        <is>
          <t>Healing, Travel safety, Money spells, Protection for travellers, Protection against theft, Luggage protection, Faithfulness, Vehicle protection, Casino luck, Borage substitute, Ritual bath, Divination, Concentration, Letting go of relationships, Healing magic, Healing spells, Healing sachets, Healing incenses, Healing mixtures, Healing rituals, Healing incense, Healing vibrations, healing after surgery, Aiding recovery, Aiding the ill, Improving health, Speeding recovery, Good health, health,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Attracting money, Drawing money, INCREASE MONEY, Breaking financial stagnation, Money mixtures, Protecting against poverty, Warding off poverty, Anti-theft, Preventing theft, Fidelity, Loyalty, Promoting fidelity, Ensuring a lover returns love, Spell-breaking, Reversing harmful spells, Breaking spells, Hex breaking, Removing hexes, Removing curses, Removing jinxes, Removing bad luck, Breaking hexes, Returning hexes, hex-breaking, Removing hexes and curses, Removing a jinx, Luck, Good luck, Good luck in family matters, Fortune, WISHES, Wish magick, Carrying wishes, Transmuting wishes,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Cleansing before ritual, Purifying body and mind, Enhancing divination, Divinatory incense, Foretelling the future, Future divination, Scrying, Dowsing, Prophecy,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Focus, Sun God offerings, Solar spells, Breaking habits, Breaking bad habits, Ending negative self-talk, Ending guilt, Release, Renewal, New beginnings, New beginning spells, Fresh starts, Transformation, Change, rebirth, Breakthrough, Awakening, Growth, New ideas, Assisting transformation, Transformation/Evolution</t>
        </is>
      </c>
      <c r="E25" s="5" t="inlineStr">
        <is>
          <t>CHIRON, CRONUS, CAPRICORN, AQUARIUS</t>
        </is>
      </c>
      <c r="F25" s="4" t="inlineStr">
        <is>
          <t>SATURN</t>
        </is>
      </c>
      <c r="G25" s="4" t="inlineStr">
        <is>
          <t>WATER</t>
        </is>
      </c>
      <c r="H25" s="4" t="inlineStr">
        <is>
          <t>FEMININE</t>
        </is>
      </c>
      <c r="I25" s="4" t="inlineStr">
        <is>
          <t>SATURDAY</t>
        </is>
      </c>
      <c r="J25" s="4" t="inlineStr">
        <is>
          <t>THOR</t>
        </is>
      </c>
      <c r="K25" s="5" t="inlineStr">
        <is>
          <t>SAMHAIN, YULE</t>
        </is>
      </c>
      <c r="L25" s="5" t="inlineStr">
        <is>
          <t>Used for centuries to treat ailments. Recent research suggests it should not be taken internally.</t>
        </is>
      </c>
      <c r="M25" s="5" t="inlineStr">
        <is>
          <t>Use comfrey root in sachets for protection while travelling, and to keep your lover faithful while you are gone. Use comfrey in a bath after ritual to relax and cleanse yourself, especially for healing or love spells.</t>
        </is>
      </c>
      <c r="N25" s="5" t="inlineStr">
        <is>
          <t>burned in combination with mugwort to aid in divination and concentration, and by itself or in combination for spells associated with letting go of unhealthy relationships.</t>
        </is>
      </c>
      <c r="O25" s="5" t="inlineStr">
        <is>
          <t>Good for any magical healing. Worn or carried, it ensures safety during travel. The root is used in money spells. Comfrey is used in protective magic for the traveller and to protect against theft. Try placing a comfrey leaf in your luggage to make sure it is not lost or stolen. Use comfrey root in sachets for protection while travelling, and to keep your lover faithful while you are gone. Also use it in sachets to protect vehicles — hang from your rear-view mirror or hide it under a seat. Wrap your money in a comfrey leaf for several days before going to a casino or poker game; it will help keep your bets coming back to you. Comfrey flowers, especially blue ones, can be substituted in any spell calling for borage. Use comfrey in a bath after ritual to relax and cleanse yourself, especially for healing or love spells. It can be burned in combination with mugwort to aid in divination and concentration, and by itself or in combination for spells associated with letting go of unhealthy relationships.</t>
        </is>
      </c>
      <c r="P25" s="4" t="inlineStr">
        <is>
          <t>Honeysuckle</t>
        </is>
      </c>
      <c r="Q25" s="5" t="inlineStr">
        <is>
          <t>Southern Africa (Kalahari desert)</t>
        </is>
      </c>
      <c r="R25" s="5" t="inlineStr">
        <is>
          <t>Warning: Contains pyrrolizidine alkaloids — toxic to the liver. Do not ingest. External ritual use only.</t>
        </is>
      </c>
      <c r="S25" s="42" t="inlineStr">
        <is>
          <t>The traveller's herb — packed into luggage to prevent theft, carried for safe return, used in the bath after a long journey or a difficult working. The Boneset, the great healer of wounds and the quiet guardian of those who move between places. Saturn and Water — patient, deep and reliable.</t>
        </is>
      </c>
      <c r="T25" s="45" t="inlineStr">
        <is>
          <t>Capricorn</t>
        </is>
      </c>
      <c r="U25" t="inlineStr">
        <is>
          <t>Casino luck and drawing the faithful lover — comfrey's quieter drawing energy.</t>
        </is>
      </c>
      <c r="V25" t="inlineStr">
        <is>
          <t>Healing and travel protection — the herb that guards and mends on the road.</t>
        </is>
      </c>
      <c r="W25" t="inlineStr">
        <is>
          <t>Letting go of relationships — where an attachment must be released, comfrey works slowly and honestly.</t>
        </is>
      </c>
      <c r="X25" t="inlineStr">
        <is>
          <t>Opens the hidden current of what travels with us — what we carry that we do not know we carry.</t>
        </is>
      </c>
      <c r="Y25" t="inlineStr">
        <is>
          <t>Turns through healing after difficulty — the comfrey bath after the working is done, returning the body to itself.</t>
        </is>
      </c>
      <c r="Z25" t="inlineStr">
        <is>
          <t>The traveller's guardian in its most complete function — where the journey being undertaken crosses more than physical distance, comfrey holds whatever is being carried safely through whatever kind of crossing is required.</t>
        </is>
      </c>
    </row>
    <row r="26" ht="220.5" customHeight="1" s="56">
      <c r="A26" s="2" t="inlineStr">
        <is>
          <t>COMFREY ROOT</t>
        </is>
      </c>
      <c r="B26" s="2" t="inlineStr">
        <is>
          <t>BRUISEWORT</t>
        </is>
      </c>
      <c r="C26" s="2" t="inlineStr">
        <is>
          <t>Symphytum officinale</t>
        </is>
      </c>
      <c r="D26" s="3" t="inlineStr">
        <is>
          <t>Protection during travel, money spells, and healing rituals. Carry the root when travelling to ensure safe return. Place in luggage to prevent theft. Used in prosperity spells — the root is said to draw money steadily and reliably. Add to healing sachets for persistent, strengthening healing energy.</t>
        </is>
      </c>
      <c r="E26" s="3" t="inlineStr">
        <is>
          <t>CHIRON, CRONUS, CAPRICORN, AQUARIUS</t>
        </is>
      </c>
      <c r="F26" s="2" t="inlineStr">
        <is>
          <t>SATURN</t>
        </is>
      </c>
      <c r="G26" s="2" t="inlineStr">
        <is>
          <t>WATER</t>
        </is>
      </c>
      <c r="H26" s="2" t="inlineStr">
        <is>
          <t>FEMININE</t>
        </is>
      </c>
      <c r="I26" s="2" t="inlineStr">
        <is>
          <t>SATURDAY</t>
        </is>
      </c>
      <c r="J26" s="2" t="inlineStr">
        <is>
          <t>ALL</t>
        </is>
      </c>
      <c r="K26" s="3" t="inlineStr">
        <is>
          <t>SAMHAIN, YULE</t>
        </is>
      </c>
      <c r="L26" s="3" t="inlineStr">
        <is>
          <t>Comfrey root has been a staple of the herbalist's cabinet for millennia. Its old name Knitbone refers to its use for healing broken bones. In folk magic, the root was placed in the garden to protect the entire property. Travellers carrying comfrey root were said to be invisible to thieves.</t>
        </is>
      </c>
      <c r="M26" s="3" t="inlineStr">
        <is>
          <t>Use comfrey root in sachets for protection while travelling, and to keep your lover faithful while you are gone. Use comfrey in a bath after ritual to relax and cleanse yourself, especially for healing or love spells.</t>
        </is>
      </c>
      <c r="N26" s="3" t="inlineStr">
        <is>
          <t>burned in combination with mugwort to aid in divination and concentration, and by itself or in combination for spells associated with letting go of unhealthy relationships.</t>
        </is>
      </c>
      <c r="O26" s="3" t="inlineStr">
        <is>
          <t>Good for any magical healing. Worn or carried, it ensures safety during travel. The root is used in money spells. Comfrey is used in protective magic for the traveller and to protect against theft. Try placing a comfrey leaf in your luggage to make sure it is not lost or stolen. Use comfrey root in sachets for protection while travelling, and to keep your lover faithful while you are gone. Also use it in sachets to protect vehicles — hang from your rear-view mirror or hide it under a seat. Wrap your money in a comfrey leaf for several days before going to a casino or poker game; it will help keep your bets coming back to you. Comfrey flowers, especially blue ones, can be substituted in any spell calling for borage. Use comfrey in a bath after ritual to relax and cleanse yourself, especially for healing or love spells. It can be burned in combination with mugwort to aid in divination and concentration, and by itself or in combination for spells associated with letting go of unhealthy relationships.</t>
        </is>
      </c>
      <c r="P26" s="2" t="inlineStr">
        <is>
          <t>Honeysuckle</t>
        </is>
      </c>
      <c r="Q26" s="3" t="inlineStr">
        <is>
          <t>Mediterranean, Western Asia (Cultivated)</t>
        </is>
      </c>
      <c r="R26" s="3" t="inlineStr">
        <is>
          <t>Warning: Contains pyrrolizidine alkaloids — toxic to the liver. Do not ingest. External ritual use only.</t>
        </is>
      </c>
      <c r="S26" s="42" t="inlineStr">
        <is>
          <t>The deep root of the healer — more concentrated than the leaf, more patient in its working. Carried in sachets for persistent healing energy, used in prosperity spells where money must come steadily rather than suddenly. The root that draws from below, slowly and reliably.</t>
        </is>
      </c>
      <c r="T26" s="45" t="inlineStr">
        <is>
          <t>Capricorn</t>
        </is>
      </c>
      <c r="U26" t="inlineStr">
        <is>
          <t>Money drawn steadily and reliably — the prosperity root.</t>
        </is>
      </c>
      <c r="V26" t="inlineStr">
        <is>
          <t>Protection during travel — the root that guards the journey.</t>
        </is>
      </c>
      <c r="W26" t="inlineStr">
        <is>
          <t>None specified.</t>
        </is>
      </c>
      <c r="X26" t="inlineStr">
        <is>
          <t>Opens the deep channel of sustained healing and protection — where a working must last rather than flash and fade.</t>
        </is>
      </c>
      <c r="Y26" t="inlineStr">
        <is>
          <t>Turns through the slow accumulation of healing energy — each day the root does its work in the dark.</t>
        </is>
      </c>
      <c r="Z26" t="inlineStr">
        <is>
          <t>The deep root that draws from below what the surface cannot reach — where the healing required is in the oldest layer of what happened, the comfrey root works at a depth that lighter herbs cannot access.</t>
        </is>
      </c>
    </row>
    <row r="27" ht="147" customHeight="1" s="56">
      <c r="A27" s="4" t="inlineStr">
        <is>
          <t>DEVILS CLAW ROOT</t>
        </is>
      </c>
      <c r="B27" s="4" t="inlineStr">
        <is>
          <t>SEMEN OF HERMES</t>
        </is>
      </c>
      <c r="C27" s="4" t="inlineStr">
        <is>
          <t>Harpagophytum procumbens</t>
        </is>
      </c>
      <c r="D27" s="5" t="inlineStr">
        <is>
          <t>Exorcism, Purification, Cleansing the home, Casting circles, Removing residual energies, Protection, Amulets/talismans, Protective charms, Banishing, Banishing negative energies, Banishing smudge, Banishing pesky spirits, Banishing unwanted energies, Casting away evil spirits, Repelling negativity, Driving away negativity, Removing negative spirits, Removing negative energy, Clearing negativity, Removing negativity, Keeping away negative forces, Exorcisms, Exorcism herb scattering, Exorcising demons, Exorcising evil ghosts, Exorcising evil entities, EXC, Cleansing, Cleansing the aura, Cleansing baths, Cleansing tools,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 Talismans, Protective sachets, Charm bags, Mojo bags, Sachets, Protective charm, Protective wreaths, Protective incense, PROTECT AGAINST NEGATIVITY, Protection from negativity, Circle protection</t>
        </is>
      </c>
      <c r="E27" s="5" t="inlineStr">
        <is>
          <t>Isis,Athena, Shiva</t>
        </is>
      </c>
      <c r="F27" s="4" t="inlineStr">
        <is>
          <t>Mars</t>
        </is>
      </c>
      <c r="G27" s="4" t="inlineStr">
        <is>
          <t>Fire</t>
        </is>
      </c>
      <c r="H27" s="4" t="inlineStr">
        <is>
          <t>MASCULINE</t>
        </is>
      </c>
      <c r="I27" s="4" t="inlineStr">
        <is>
          <t>Tuesday</t>
        </is>
      </c>
      <c r="J27" s="4" t="inlineStr">
        <is>
          <t>ISIS, SHIVA</t>
        </is>
      </c>
      <c r="K27" s="5" t="inlineStr">
        <is>
          <t>BELTANE, SAMHAIN</t>
        </is>
      </c>
      <c r="L27" s="5" t="inlineStr">
        <is>
          <t>Associated with exorcism. Traditional medicine plant of the San people.</t>
        </is>
      </c>
      <c r="M27" s="5" t="inlineStr">
        <is>
          <t>A powerful exorcism and purification herb; it is burned on charcoal to cleanse your house of negativity, or when casting a magic circle to clear any residual negative energy and create pure space for your magical work.</t>
        </is>
      </c>
      <c r="N27" s="5" t="inlineStr">
        <is>
          <t>burned on charcoal to cleanse your house of negativity, or when casting a magic circle to clear any residual negative energy and create pure space for your magical work.</t>
        </is>
      </c>
      <c r="O27" s="5" t="inlineStr">
        <is>
          <t>A powerful exorcism and purification herb; it is burned on charcoal to cleanse your house of negativity, or when casting a magic circle to clear any residual negative energy and create pure space for your magical work. This is a great herb to burn when moving into a new home to remove the residual energies of previous tenants. It has powerful protective qualities and, as an amulet placed near doorways, may protect against unwanted intruders. The seed pods of Devil's Claw, named for their threatening shape, make excellent protective charms.</t>
        </is>
      </c>
      <c r="P27" s="4" t="inlineStr">
        <is>
          <t>Pine</t>
        </is>
      </c>
      <c r="Q27" s="5" t="inlineStr">
        <is>
          <t>Canary Islands (Rocky slopes)</t>
        </is>
      </c>
      <c r="R27" s="5" t="inlineStr">
        <is>
          <t>Warning: Avoid during pregnancy. May interact with blood thinners and heart medications.</t>
        </is>
      </c>
      <c r="S27" s="42" t="inlineStr">
        <is>
          <t>The Canary Island exorcist's root — burned on charcoal to drive out what has no right to be in a space. Named for Hermes, moving with the same quick, cleaning energy of that god. Circles cast with this root are cleanly made; homes cleansed with it are emptied of what lingered.</t>
        </is>
      </c>
      <c r="U27" t="inlineStr">
        <is>
          <t>None specified — this herb works primarily in protection and release.</t>
        </is>
      </c>
      <c r="V27" t="inlineStr">
        <is>
          <t>Protection and protective charms — the warding root placed at boundaries.</t>
        </is>
      </c>
      <c r="W27" t="inlineStr">
        <is>
          <t>Exorcism and purification — the primary function of this root, burned and scattered.</t>
        </is>
      </c>
      <c r="X27" t="inlineStr">
        <is>
          <t>Opens the hidden negative presence — reveals what has been lurking before it is removed.</t>
        </is>
      </c>
      <c r="Y27" t="inlineStr">
        <is>
          <t>Turns through exorcism and the making clean of a space — what was polluted now clear.</t>
        </is>
      </c>
      <c r="Z27" t="inlineStr">
        <is>
          <t>The exorcist's root in its most uncompromising function — where what inhabits a space has no intention of leaving, Devil's Claw is the herb that removes the choice from what was offered no choice to begin with.</t>
        </is>
      </c>
    </row>
    <row r="28" ht="110.25" customHeight="1" s="56">
      <c r="A28" s="2" t="inlineStr">
        <is>
          <t>DILL</t>
        </is>
      </c>
      <c r="B28" s="2" t="inlineStr">
        <is>
          <t>DILLY WEED</t>
        </is>
      </c>
      <c r="C28" s="2" t="inlineStr">
        <is>
          <t>Anethum graveolens</t>
        </is>
      </c>
      <c r="D28" s="3" t="inlineStr">
        <is>
          <t>Love, Protection, Psychic protection, Blessings, Confidence, Determination, Negating dreams, Fertility, Prosperity, Harmony, Keeping secrets, Peace, Preventing theft, Retention, Rest, Sleep, Tranquillity,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Self-confidence, Courage, Bravery, Will Power, Leadership, Leadership skills, Commanding, Personal power, Nightmare prevention, Preventing nightmares, RID OF BAD DREAMS, Nightmares, Encouraging sound sleep,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Anti-theft, Protection against theft</t>
        </is>
      </c>
      <c r="E28" s="3" t="inlineStr">
        <is>
          <t>BRIGID, HERMES, PERSEPHONE, GEMINI</t>
        </is>
      </c>
      <c r="F28" s="2" t="inlineStr">
        <is>
          <t>MERCURY</t>
        </is>
      </c>
      <c r="G28" s="2" t="inlineStr">
        <is>
          <t>FIRE</t>
        </is>
      </c>
      <c r="H28" s="2" t="inlineStr">
        <is>
          <t>MASCULINE</t>
        </is>
      </c>
      <c r="I28" s="2" t="inlineStr">
        <is>
          <t>WEDNESDAY</t>
        </is>
      </c>
      <c r="J28" s="2" t="inlineStr">
        <is>
          <t>BRIGID, PERSEPHONE</t>
        </is>
      </c>
      <c r="K28" s="3" t="inlineStr">
        <is>
          <t>OSTARA, MABON</t>
        </is>
      </c>
      <c r="L28" s="3" t="inlineStr">
        <is>
          <t>Should not be used when Mercury is in retrograde. Protection against magic/witches.</t>
        </is>
      </c>
      <c r="M28" s="3" t="inlineStr">
        <is>
          <t>Use in love, protection, and psychic protection spells. Good for workings involving blessings, confidence, determination, dreams, fertility, gain, harmony, keeping secrets, money, passion, peace, preventing theft, retention, rest, sleep, and tranquillity.</t>
        </is>
      </c>
      <c r="N28" s="3" t="inlineStr">
        <is>
          <t>Psychic protection, Blessings</t>
        </is>
      </c>
      <c r="O28" s="3" t="inlineStr">
        <is>
          <t>Use in love, protection, and psychic protection spells. Good for workings involving blessings, confidence, determination, dreams, fertility, gain, harmony, keeping secrets, money, passion, peace, preventing theft, retention, rest, sleep, and tranquillity.</t>
        </is>
      </c>
      <c r="P28" s="2" t="inlineStr">
        <is>
          <t>Sandalwood w.i.</t>
        </is>
      </c>
      <c r="Q28" s="3" t="inlineStr">
        <is>
          <t>Southeast Asia (Tropical forests)</t>
        </is>
      </c>
      <c r="R28" s="3" t="inlineStr">
        <is>
          <t>Generally safe in culinary amounts. Avoid large medicinal doses during pregnancy.</t>
        </is>
      </c>
      <c r="S28" s="42" t="inlineStr">
        <is>
          <t>The Mercury herb that should not be used when Mercury is retrograde — its negating energy too easily flipped in that period. Protects and guards in all other times, especially against the psychic intrusions that come through the dreaming mind. A warm and useful kitchen witch herb that asks only to be respected in its timing.</t>
        </is>
      </c>
      <c r="T28" s="45" t="inlineStr">
        <is>
          <t>Gemini, Cancer, Leo</t>
        </is>
      </c>
      <c r="U28" t="inlineStr">
        <is>
          <t>Love, fertility and prosperity drawn through dill's warm solar fire.</t>
        </is>
      </c>
      <c r="V28" t="inlineStr">
        <is>
          <t>Protection and psychic protection — dill used in protective sachets and dream pillows.</t>
        </is>
      </c>
      <c r="W28" t="inlineStr">
        <is>
          <t>None specified.</t>
        </is>
      </c>
      <c r="X28" t="inlineStr">
        <is>
          <t>Opens psychic protection and the negating of unwanted dreams — where the dreaming mind must be shielded.</t>
        </is>
      </c>
      <c r="Y28" t="inlineStr">
        <is>
          <t>Turns through the gentle transformation of love and domestic harmony.</t>
        </is>
      </c>
      <c r="Z28" t="inlineStr">
        <is>
          <t>The Mercury herb in its role as the protector of what is most vulnerable in the dreaming mind — where what approaches in sleep is not welcome, dill guards the threshold between the sleeping self and what waits at the edge of it.</t>
        </is>
      </c>
    </row>
    <row r="29" ht="171.75" customHeight="1" s="56">
      <c r="A29" s="4" t="inlineStr">
        <is>
          <t>DRAGON'S BLOOD</t>
        </is>
      </c>
      <c r="B29" s="4" t="inlineStr">
        <is>
          <t>POWDERED BLOOD</t>
        </is>
      </c>
      <c r="C29" s="4" t="inlineStr">
        <is>
          <t>Dracaena draco</t>
        </is>
      </c>
      <c r="D29" s="5" t="inlineStr">
        <is>
          <t>Bolstering incense, Increasing spell power, Warding, Cleansing, Offertory incense, Consecration, Warding oil, Anointing, Dragon's blood ink, Talismans, Pacts and seals, Grimoire writing, Magical power, Increasing magical power, Power amplification, Bolstering spells, Strengthening spells, Potency, Power, Magic, WISDOM IN MAGICK, defensive magic,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Purification, Purifying ritual areas, Purifying  Purifying new homes, Purifying new homes, Purifying the home, Self-purification, Purifying ritual spaces, Purification rituals, Sanctifying an area, Dedicating sacred spaces, Creating sacred spaces, Blessing objects, Consecrating altar cloths, Anointing tools, Anointing candles, Anointing altars, Anointing the body, Anointing amulets, Anointing talismans, Anointing baths, Anointing charm bags, Anointing mojo bags, Consecrating incense burners, Amulets/talismans, Amulets, Protective sachets, Charm bags, Mojo bags, Sachets</t>
        </is>
      </c>
      <c r="E29" s="5" t="inlineStr">
        <is>
          <t>JUPITER, ZEUS, THOR</t>
        </is>
      </c>
      <c r="F29" s="4" t="inlineStr">
        <is>
          <t>JUPITER</t>
        </is>
      </c>
      <c r="G29" s="4" t="inlineStr">
        <is>
          <t>FIRE</t>
        </is>
      </c>
      <c r="H29" s="4" t="inlineStr">
        <is>
          <t>MASCULINE</t>
        </is>
      </c>
      <c r="I29" s="4" t="inlineStr">
        <is>
          <t>THURSDAY</t>
        </is>
      </c>
      <c r="J29" s="4" t="inlineStr">
        <is>
          <t>ZEUS, THOR</t>
        </is>
      </c>
      <c r="K29" s="5" t="inlineStr">
        <is>
          <t>LAMMAS, MABON</t>
        </is>
      </c>
      <c r="L29" s="5" t="inlineStr">
        <is>
          <t>Usage dating back to Ancient Egyptians.</t>
        </is>
      </c>
      <c r="M29" s="5" t="inlineStr">
        <is>
          <t>consecration, warding, and anointing.</t>
        </is>
      </c>
      <c r="N29" s="5" t="inlineStr">
        <is>
          <t>used for consecration, warding, and anointing.</t>
        </is>
      </c>
      <c r="O29" s="5" t="inlineStr">
        <is>
          <t>Dragon's blood is often used as bolstering incense for spell work. It is believed that dragon's blood increases the power and efficiency of a spell when burned during casting. It features strongly in most modern warding and cleansing spells, and is used as offertory incense to various spirits and deities. Dragon's blood oil can be made from the maceration of whole resins in base oil, or from the addition of its distilled essential oil to a choice of base oil, and can be used for consecration, warding, and anointing. It is most often used for the creation of dragon's blood ink — a simple solution of ground resin with an alcohol base and a binder (usually gum arabic) — which is known for its deep red hue and is used chiefly in the creation of talismans, pacts, and seals. It may also be employed as writing ink for grimoires.</t>
        </is>
      </c>
      <c r="P29" s="4" t="inlineStr">
        <is>
          <t>Clove Bud</t>
        </is>
      </c>
      <c r="Q29" s="5" t="inlineStr">
        <is>
          <t>Europe, North Africa (Thickets, woodlands)</t>
        </is>
      </c>
      <c r="R29" s="6" t="inlineStr">
        <is>
          <t>Warning: Children below the age of eight and pregnant women must avoid this herb.</t>
        </is>
      </c>
      <c r="S29" s="42" t="inlineStr">
        <is>
          <t>The great amplifier — Dragon's Blood resin added to any working makes it stronger. Dating to ancient Egypt, traded along the oldest spice routes, used in offertory incense for serious ritual. Nothing ornamental about this red resin: it increases power, consecrates tools and wards what must be warded.</t>
        </is>
      </c>
      <c r="U29" t="inlineStr">
        <is>
          <t>None specified — Dragon's Blood amplifies whatever working it enters.</t>
        </is>
      </c>
      <c r="V29" t="inlineStr">
        <is>
          <t>Increasing spell power and warding — the resin that holds a working firm.</t>
        </is>
      </c>
      <c r="W29" t="inlineStr">
        <is>
          <t>None specified.</t>
        </is>
      </c>
      <c r="X29" t="inlineStr">
        <is>
          <t>Opens the depth of a working's power — where more is needed than what is there, Dragon's Blood opens the channel.</t>
        </is>
      </c>
      <c r="Y29" t="inlineStr">
        <is>
          <t>Turns through cleansing and the consecration of what must be made sacred before use.</t>
        </is>
      </c>
      <c r="Z29" t="inlineStr">
        <is>
          <t>The great amplifier in the context of the Over 18 working — Dragon's Blood added to any adult working increases its potency to the degree that it should be used with clear intention and complete awareness of what is being amplified.</t>
        </is>
      </c>
    </row>
    <row r="30" ht="171.75" customHeight="1" s="56">
      <c r="A30" s="2" t="inlineStr">
        <is>
          <t>DRAGON'S BLOOD RESIN</t>
        </is>
      </c>
      <c r="B30" s="2" t="inlineStr">
        <is>
          <t>BLUME</t>
        </is>
      </c>
      <c r="C30" s="2" t="inlineStr">
        <is>
          <t>Draemomorops Draco</t>
        </is>
      </c>
      <c r="D30" s="3" t="inlineStr">
        <is>
          <t>Power amplification, protection, love, banishing, and potency spells. Add to any magical working to dramatically increase its power. Burn as incense to cleanse and charge the ritual space. Used in love spells to create intense passion. Write wishes on paper and burn with dragon's blood for manifestation. Excellent for purification and banishing rituals., Magical power, Increasing magical power, Increasing spell power, Bolstering spells, Bolstering incense, Strengthening spells, Potency, Power, Magic, WISDOM IN MAGICK, defensive magic</t>
        </is>
      </c>
      <c r="E30" s="3" t="inlineStr">
        <is>
          <t>JUPITER, ZEUS, THOR</t>
        </is>
      </c>
      <c r="F30" s="2" t="inlineStr">
        <is>
          <t>JUPITER</t>
        </is>
      </c>
      <c r="G30" s="2" t="inlineStr">
        <is>
          <t>FIRE</t>
        </is>
      </c>
      <c r="H30" s="2" t="inlineStr">
        <is>
          <t>MASCULINE</t>
        </is>
      </c>
      <c r="I30" s="2" t="inlineStr">
        <is>
          <t>THURSDAY</t>
        </is>
      </c>
      <c r="J30" s="2" t="inlineStr">
        <is>
          <t>ZEUS, THOR</t>
        </is>
      </c>
      <c r="K30" s="3" t="inlineStr">
        <is>
          <t>LAMMAS, MABON</t>
        </is>
      </c>
      <c r="L30" s="3" t="inlineStr">
        <is>
          <t>Dragon's Blood Resin has been traded along ancient spice routes for over two thousand years. In medieval grimoires it was listed as essential for powerful seals and bindings. The name comes from the deep blood-red colour of the resin. It was believed to be the literal blood of dragons, giving it extraordinary magical potency.</t>
        </is>
      </c>
      <c r="M30" s="3" t="inlineStr">
        <is>
          <t>consecration, warding, and anointing.</t>
        </is>
      </c>
      <c r="N30" s="3" t="inlineStr">
        <is>
          <t>used for consecration, warding, and anointing.</t>
        </is>
      </c>
      <c r="O30" s="3" t="inlineStr">
        <is>
          <t>Dragon's blood resin is often used as bolstering incense for spell work. It is believed that dragon's blood increases the power and efficiency of a spell when burned during casting. It features strongly in most modern warding and cleansing spells, and is used as offertory incense to various spirits and deities. Dragon's blood oil can be made from the maceration of whole resins in base oil, or from the addition of its distilled essential oil to a choice of base oil, and can be used for consecration, warding, and anointing. It is most often used for the creation of dragon's blood ink — a simple solution of ground resin with an alcohol base and a binder (usually gum arabic) — which is known for its deep red hue and is used chiefly in the creation of talismans, pacts, and seals. It may also be employed as writing ink for grimoires.</t>
        </is>
      </c>
      <c r="P30" s="2" t="inlineStr">
        <is>
          <t>Clove Bud</t>
        </is>
      </c>
      <c r="Q30" s="3" t="inlineStr">
        <is>
          <t>Europe (Grasslands, pastures)</t>
        </is>
      </c>
      <c r="R30" s="6" t="inlineStr">
        <is>
          <t>Warning: Children below the age of eight and pregnant women must avoid this herb.</t>
        </is>
      </c>
      <c r="S30" s="42" t="inlineStr">
        <is>
          <t>The ancient red resin of the traded world — Dracaena trees weeping their dramatic dark-red sap on Mediterranean and Canary Island slopes, the same resin burned in Egyptian temples, Arab markets and Renaissance apothecaries. Amplifies everything it touches. Wishes written on paper and burned with it reach further.</t>
        </is>
      </c>
      <c r="U30" t="inlineStr">
        <is>
          <t>Love workings and potency drawn through Dragon's Blood's fire energy.</t>
        </is>
      </c>
      <c r="V30" t="inlineStr">
        <is>
          <t>Power amplification and protection — the resin that strengthens whatever surrounds it.</t>
        </is>
      </c>
      <c r="W30" t="inlineStr">
        <is>
          <t>Banishing — Dragon's Blood burned to drive out and release.</t>
        </is>
      </c>
      <c r="X30" t="inlineStr">
        <is>
          <t>Opens the full power of a working — nothing about Dragon's Blood is subtle. It opens what must be opened with force.</t>
        </is>
      </c>
      <c r="Y30" t="inlineStr">
        <is>
          <t>Turns through banishing and purification — the resin that clears completely before something new is built.</t>
        </is>
      </c>
      <c r="Z30" t="inlineStr">
        <is>
          <t>The ancient resin in its most potent aspect — where the working requires the full force of what Dragon's Blood can offer, wishes written and burned with it travel further than ordinary words. This is not a herb for the uncertain.</t>
        </is>
      </c>
    </row>
    <row r="31" ht="195.75" customHeight="1" s="56">
      <c r="A31" s="4" t="inlineStr">
        <is>
          <t>ELDERFLOWER</t>
        </is>
      </c>
      <c r="B31" s="4" t="inlineStr">
        <is>
          <t>ELTHORN</t>
        </is>
      </c>
      <c r="C31" s="4" t="inlineStr">
        <is>
          <t>Sambucus nigra</t>
        </is>
      </c>
      <c r="D31" s="5" t="inlineStr">
        <is>
          <t>Protection from hexes, Protection from ill-intent, Homestead protection, Bad luck warding, Sickness warding, Wand making, Stave making, Spirit-inviting music, Protective incense, Inviting spirits, Circle protection, Summoning protection, Protection (hexes/evil), Psychic protection, Psychic shielding,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Sick-room blessings, Home protection, Household protection, Healing altars, Home blessing, Ensuring joy in the home, Tranquillity in the home, Blessing guests, Blessing domestic animals, Meditation, Contemplation, Concentration, Focus, Sun God offerings, Solar spells, Protection, Protective charm, Protective charms, Protective sachets, Protective wreaths, PROTECT AGAINST NEGATIVITY, Protection from negativity</t>
        </is>
      </c>
      <c r="E31" s="5" t="inlineStr">
        <is>
          <t>ZEUS</t>
        </is>
      </c>
      <c r="F31" s="4" t="inlineStr">
        <is>
          <t>JUPITER</t>
        </is>
      </c>
      <c r="G31" s="4" t="inlineStr">
        <is>
          <t>AIR</t>
        </is>
      </c>
      <c r="H31" s="4" t="inlineStr">
        <is>
          <t>FEMININE</t>
        </is>
      </c>
      <c r="I31" s="4" t="inlineStr">
        <is>
          <t>THURSDAY</t>
        </is>
      </c>
      <c r="J31" s="4" t="inlineStr">
        <is>
          <t>ZEUS</t>
        </is>
      </c>
      <c r="K31" s="5" t="inlineStr">
        <is>
          <t>LAMMAS, MABON</t>
        </is>
      </c>
      <c r="L31" s="5" t="inlineStr">
        <is>
          <t>Magickal plant. Draught made at Samhain to commune with spirits.</t>
        </is>
      </c>
      <c r="M31" s="5" t="inlineStr">
        <is>
          <t>Protection from hexes, Protection from ill-intent, Homestead protection, Bad luck warding, Sickness warding, Wand making, Stave making, Spirit-inviting music, Protective incense, Inviting spirits</t>
        </is>
      </c>
      <c r="N31" s="5" t="inlineStr">
        <is>
          <t>incense prior to rituals, or employed to invite departed spirits or familiar spirits to attend during rites.</t>
        </is>
      </c>
      <c r="O31" s="5" t="inlineStr">
        <is>
          <t>The twigs, leaves, and root of the elder tree can be used in their dried form as a means of protection against hexes and ill intentions. Planting an elder near one's homestead or property will help keep bad luck, sickness, and evil at bay. The wood of the elder is an excellent material for the creation of wands and staves. Elder wood may also be crafted into flutes or other musical instruments, the music from which is said to be highly inviting to spirits and fair folk. The leaves of elder, when dried and powdered, may be used as protective incense prior to rituals, or employed to invite departed spirits or familiar spirits to attend during rites. Likewise, sprinkling dried elder leaves in the four cardinal directions during raising, or using them to draw a circle, is said to provide impregnable protection against malefic entities.</t>
        </is>
      </c>
      <c r="P31" s="4" t="inlineStr">
        <is>
          <t>Honeysuckle</t>
        </is>
      </c>
      <c r="Q31" s="5" t="inlineStr">
        <is>
          <t>Mediterranean (Coastal areas)</t>
        </is>
      </c>
      <c r="R31" s="6" t="inlineStr">
        <is>
          <t>Warning: Because of the toxic nature of elder, do not ingest unless using commercially prepared products.</t>
        </is>
      </c>
      <c r="S31" s="42" t="inlineStr">
        <is>
          <t>The Elder Mother's own tree — never cut without asking, never burned in the hearth. The flower gathered freely in June from a tree freely given, hung to dry for protection that outlasts iron. At Samhain the dried flowers invite ancestral spirits; at any time the protective incense guards what is sacred. This plant is asked, never commanded.</t>
        </is>
      </c>
      <c r="T31" s="45" t="inlineStr">
        <is>
          <t>Sagittarius, Aquarius</t>
        </is>
      </c>
      <c r="U31" t="inlineStr">
        <is>
          <t>Bad luck warding — elderflower drawn into protective workings against misfortune.</t>
        </is>
      </c>
      <c r="V31" t="inlineStr">
        <is>
          <t>Protection from hexes and ill-intent, homestead protection, sickness warding — the guardian flower.</t>
        </is>
      </c>
      <c r="W31" t="inlineStr">
        <is>
          <t>None specified.</t>
        </is>
      </c>
      <c r="X31" t="inlineStr">
        <is>
          <t>Opens the way for spirit communication and the invitation of ancestral presence at Samhain.</t>
        </is>
      </c>
      <c r="Y31" t="inlineStr">
        <is>
          <t>Turns through protective magic — the hex broken, the ill-intent turned, the boundary re-established.</t>
        </is>
      </c>
      <c r="Z31" t="inlineStr">
        <is>
          <t>The Elder Mother's flower in its deepest protective aspect — where the working must be guarded by something older and more authoritative than any human magic, elderflower carries the Mother's own protection. This plant does not merely protect — it presides.</t>
        </is>
      </c>
    </row>
    <row r="32" ht="123" customHeight="1" s="56">
      <c r="A32" s="2" t="inlineStr">
        <is>
          <t>EYEBRIGHT</t>
        </is>
      </c>
      <c r="B32" s="2" t="inlineStr">
        <is>
          <t>VOMITWORT</t>
        </is>
      </c>
      <c r="C32" s="2" t="inlineStr">
        <is>
          <t>Euphrasia officinalis</t>
        </is>
      </c>
      <c r="D32" s="3" t="inlineStr">
        <is>
          <t>Prophetic dreams, Seeing the unseen, Clarity, Removing deception, Rising above difficulty, Thanksgiving rituals, Joyous celebrations, Offerings of thanksgiving, Invoking dreams, Dream work, Dreams, Visions, Seeing manifestations, Truth, Honesty, Subconscious work, Digging into the subconscious, Uprooting what is hidden, Scrying, Dowsing, Treasure seeking, Lost object finding, Happiness, Joy, Contentment, Serenity, Ensuring joy in the home, PEACE &amp; HAPPINESS</t>
        </is>
      </c>
      <c r="E32" s="3" t="inlineStr">
        <is>
          <t>HELIOS, SOL, LEO</t>
        </is>
      </c>
      <c r="F32" s="2" t="inlineStr">
        <is>
          <t>SUN</t>
        </is>
      </c>
      <c r="G32" s="2" t="inlineStr">
        <is>
          <t>AIR</t>
        </is>
      </c>
      <c r="H32" s="2" t="inlineStr">
        <is>
          <t>MASCULINE</t>
        </is>
      </c>
      <c r="I32" s="2" t="inlineStr">
        <is>
          <t>SUNDAY</t>
        </is>
      </c>
      <c r="J32" s="2" t="inlineStr">
        <is>
          <t>SOL</t>
        </is>
      </c>
      <c r="K32" s="3" t="inlineStr">
        <is>
          <t>LITHA, YULE</t>
        </is>
      </c>
      <c r="L32" s="3" t="inlineStr">
        <is>
          <t>Named after Euphrosyne. Associated with the Tower Tarot card.</t>
        </is>
      </c>
      <c r="M32" s="3" t="inlineStr">
        <is>
          <t>Prophetic dreams, Seeing the unseen, Clarity, Removing deception, Rising above difficulty, Thanksgiving rituals, Joyous celebrations, Offerings of thanksgiving</t>
        </is>
      </c>
      <c r="N32" s="3" t="inlineStr">
        <is>
          <t>Thanksgiving rituals, Offerings of thanksgiving</t>
        </is>
      </c>
      <c r="O32" s="3" t="inlineStr">
        <is>
          <t>Place a few drops of infusion of eyebright on your eyelids before sleeping to have prophetic dreams, and during the day to see what is normally unseen. Use in spells to help you — or others — see situations clearly and objectively, to avoid or remove deception and metaphorical cloudiness. Use also in spells to help rise above difficult situations and to see the silver lining on dark clouds. Appropriate for all rituals and celebrations of thanksgiving, and any ritual associated with the Graces or any joyous event, especially one that marks the end of one era and the beginning of another.</t>
        </is>
      </c>
      <c r="P32" s="2" t="inlineStr">
        <is>
          <t>Orange Bitter</t>
        </is>
      </c>
      <c r="Q32" s="3" t="inlineStr">
        <is>
          <t>Arabian Peninsula, Horn of Africa (Dry areas)</t>
        </is>
      </c>
      <c r="R32" s="3" t="inlineStr">
        <is>
          <t>Warning: Do not use in the eyes directly. Internal use should be avoided during pregnancy.</t>
        </is>
      </c>
      <c r="S32" s="42" t="inlineStr">
        <is>
          <t>Named for Euphrosyne, one of the three Graces. Associated with the Tower card — the sudden illumination that follows destruction. Eyebright does not ease into revelation; it sharpens sight until what was hidden cannot hide. Removes deception, cuts through confusion, and grants the prophetic dreams that come from seeing clearly.</t>
        </is>
      </c>
      <c r="T32" s="45" t="inlineStr">
        <is>
          <t>Leo</t>
        </is>
      </c>
      <c r="U32" t="inlineStr">
        <is>
          <t>Joyous celebrations drawn — the Thanksgiving herb, the offering of gladness.</t>
        </is>
      </c>
      <c r="V32" t="inlineStr">
        <is>
          <t>Clarity held — Eyebright holding the clear sight once it has been opened.</t>
        </is>
      </c>
      <c r="W32" t="inlineStr">
        <is>
          <t>None specified.</t>
        </is>
      </c>
      <c r="X32" t="inlineStr">
        <is>
          <t>Opens prophetic dreams and the ability to see the unseen — the primary function of this herb.</t>
        </is>
      </c>
      <c r="Y32" t="inlineStr">
        <is>
          <t>Turns through the removal of deception — what was obscured is now visible, and the spell can move forward honestly.</t>
        </is>
      </c>
      <c r="Z32" t="inlineStr">
        <is>
          <t>The clarity herb in its most unsparing aspect — where the working asks for truth that cannot be softened, eyebright opens the sight wide enough to see what is genuinely there rather than what was hoped for. Used where comfortable illusion must end.</t>
        </is>
      </c>
    </row>
    <row r="33" ht="74.25" customHeight="1" s="56">
      <c r="A33" s="4" t="inlineStr">
        <is>
          <t>FENNEL (SEED)</t>
        </is>
      </c>
      <c r="B33" s="4" t="inlineStr">
        <is>
          <t>FENKEL</t>
        </is>
      </c>
      <c r="C33" s="4" t="inlineStr">
        <is>
          <t>Foeniculum vulgare</t>
        </is>
      </c>
      <c r="D33" s="5" t="inlineStr">
        <is>
          <t>Confidence, Courage, Fertility, Longevity, Love, Protection, Psychic protection, Purification, Strength, Consecration, Divination, Energy, Gain, Meditation, Virility, Summer rituals, Self-confidence, Bravery, Determination, Will Power, Leadership, Leadership skills, Commanding, Personal power, Female fertility, Fertility magic, Fertility charms, Aiding fertility, Increasing fertility, Fruitfulness, male virility, Abundant harvest, Prosperity, Wealth, Wealth/Prosperity, Attracting business, Business dealings, abundance, Financial arrangements, Aiding gain, PROSPERITY SPELLS, Increasing wealth, Money, Money spells, Attracting money, Drawing money, INCREASE MONEY, Breaking financial stagnation, Money mixtures, Protecting against poverty, Warding off poverty, Long life, Immortality, Eternal youth, Rejuvenation, Vigorous old age, Lengthening lifespan, Life,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Protective charm, Protective charms, Protective sachets,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Physical Strength, Fortitude, Vitality, Inner power, and strength, Enhancing divination, Divinatory incense, Foretelling the future, Future divination, Scrying, Dowsing, Prophecy, Beltane, Beltane rituals, Beltane celebrations, Midsummer, Midsummer celebrations, Midsummer magic, Midsummer rites, Midsummer/Litha rituals</t>
        </is>
      </c>
      <c r="E33" s="5" t="inlineStr">
        <is>
          <t>Aine</t>
        </is>
      </c>
      <c r="F33" s="4" t="inlineStr">
        <is>
          <t>MERCURY</t>
        </is>
      </c>
      <c r="G33" s="4" t="inlineStr">
        <is>
          <t>FIRE, AIR</t>
        </is>
      </c>
      <c r="H33" s="4" t="inlineStr">
        <is>
          <t>MASCULINE</t>
        </is>
      </c>
      <c r="I33" s="4" t="inlineStr">
        <is>
          <t>Wednesday</t>
        </is>
      </c>
      <c r="J33" s="4" t="inlineStr">
        <is>
          <t>ALL</t>
        </is>
      </c>
      <c r="K33" s="5" t="inlineStr">
        <is>
          <t>OSTARA, MABON</t>
        </is>
      </c>
      <c r="L33" s="5" t="inlineStr">
        <is>
          <t>Used by Saxons and Jewish mystics as an asperger and purifying herb.</t>
        </is>
      </c>
      <c r="M33" s="5" t="inlineStr">
        <is>
          <t>workings involving confidence, courage, fertility, longevity, love, protection, psychic protection, purification, and strength.</t>
        </is>
      </c>
      <c r="N33" s="5" t="inlineStr">
        <is>
          <t>used for consecration, divination, energy, gain, meditation, and virility.</t>
        </is>
      </c>
      <c r="O33" s="5" t="inlineStr">
        <is>
          <t>Use for workings involving confidence, courage, fertility, longevity, love, protection, psychic protection, purification, and strength. It can also be used for consecration, divination, energy, gain, meditation, and virility. It is especially suited for use in summer rituals.</t>
        </is>
      </c>
      <c r="P33" s="4" t="inlineStr">
        <is>
          <t>Sandalwood w.i.</t>
        </is>
      </c>
      <c r="Q33" s="5" t="inlineStr">
        <is>
          <t>East Asia (Warm temperate woodlands)</t>
        </is>
      </c>
      <c r="R33" s="5" t="inlineStr">
        <is>
          <t>Generally safe in culinary amounts. Avoid large doses during pregnancy. May cause photosensitivity.</t>
        </is>
      </c>
      <c r="S33" s="42" t="inlineStr">
        <is>
          <t>The Saxon asperger and Jewish mystic's purification herb — used in floor sweeps and ritual baths since ancient times. A fire and air herb both, useful in divination and the sharpening of Mercury's quick-moving energy. Fennel protects, purifies and strengthens the psychic field at once, making it the all-purpose summer herb of the Mediterranean tradition.</t>
        </is>
      </c>
      <c r="T33" s="45" t="inlineStr">
        <is>
          <t>Leo, Virgo, Aquarius</t>
        </is>
      </c>
      <c r="U33" t="inlineStr">
        <is>
          <t>Fertility and love drawn through fennel's warm energy.</t>
        </is>
      </c>
      <c r="V33" t="inlineStr">
        <is>
          <t>Confidence, courage, protection and psychic protection held through fennel.</t>
        </is>
      </c>
      <c r="W33" t="inlineStr">
        <is>
          <t>Purification — the great summer cleansing herb.</t>
        </is>
      </c>
      <c r="X33" t="inlineStr">
        <is>
          <t>Opens psychic protection and divination — fennel burned before reading and spiritual work.</t>
        </is>
      </c>
      <c r="Y33" t="inlineStr">
        <is>
          <t>Turns through the purification of space and the courage to begin something new.</t>
        </is>
      </c>
      <c r="Z33" t="inlineStr">
        <is>
          <t>The summer solstice herb in its most fully realised energy — where the working calls on the peak of the sun's power and the courage that comes with full visibility, fennel carries both the warmth and the exposure that midsummer requires.</t>
        </is>
      </c>
    </row>
    <row r="34" ht="159.75" customHeight="1" s="56">
      <c r="A34" s="2" t="inlineStr">
        <is>
          <t>FRANKINCENSE</t>
        </is>
      </c>
      <c r="B34" s="2" t="inlineStr">
        <is>
          <t>OLIBANUM</t>
        </is>
      </c>
      <c r="C34" s="2" t="inlineStr">
        <is>
          <t>Boswellia carterii</t>
        </is>
      </c>
      <c r="D34" s="3" t="inlineStr">
        <is>
          <t>Offerings to Sun Gods, Fumigation, Removing negativity, Exorcism, Incense blends, Smudging, Raising energy, Ritual offerings,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Banishing negative energies, Banishing smudge, Banishing pesky spirits, Banishing unwanted energies, Casting away evil spirits, Repelling negativity, Driving away negativity, Removing negative spirits, Removing residual energies, Removing negative energy, Clearing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34" s="3" t="inlineStr">
        <is>
          <t>APHRODITE, VENUS, SOL</t>
        </is>
      </c>
      <c r="F34" s="2" t="inlineStr">
        <is>
          <t>SUN</t>
        </is>
      </c>
      <c r="G34" s="2" t="inlineStr">
        <is>
          <t>FIRE</t>
        </is>
      </c>
      <c r="H34" s="2" t="inlineStr">
        <is>
          <t>MASCULINE</t>
        </is>
      </c>
      <c r="I34" s="2" t="inlineStr">
        <is>
          <t>SUNDAY</t>
        </is>
      </c>
      <c r="J34" s="2" t="inlineStr">
        <is>
          <t>APHRODITE, SOL</t>
        </is>
      </c>
      <c r="K34" s="3" t="inlineStr">
        <is>
          <t>LITHA, YULE</t>
        </is>
      </c>
      <c r="L34" s="3" t="inlineStr">
        <is>
          <t>Believed to be useful in attracting faeries or elves.</t>
        </is>
      </c>
      <c r="M34" s="3" t="inlineStr">
        <is>
          <t>fumigating sacred space in preparation for any ritual, as it burns away negativity and raises the energy of the space; it is also used for exorcism.</t>
        </is>
      </c>
      <c r="N34" s="3" t="inlineStr">
        <is>
          <t>Burning frankincense is a suitable offering to any sun god.</t>
        </is>
      </c>
      <c r="O34" s="3" t="inlineStr">
        <is>
          <t>Burning frankincense is a suitable offering to any sun god. Frankincense resin is useful for fumigating sacred space in preparation for any ritual, as it burns away negativity and raises the energy of the space; it is also used for exorcism. Frankincense resin can be burned over hot coals in a brazier — it is often crushed and mixed with other resins, particularly myrrh. Adding frankincense to any incense blend will increase the action of the other woods, herbs, and resins in the blend. To use frankincense as a smudge: once the brazier is smoking nicely, use a feather, a fan, or your hand to direct the smoke around the space, person, or object you wish to fumigate. Be careful not to inhale too much smoke, as frankincense smoke has a slightly psychoactive effect. As an offering, frankincense can be burned in a brazier over charcoals or placed directly into the ritual fire after it has been blessed and dedicated.</t>
        </is>
      </c>
      <c r="P34" s="2" t="inlineStr">
        <is>
          <t>Frankincense</t>
        </is>
      </c>
      <c r="Q34" s="3" t="inlineStr">
        <is>
          <t>Central Asia (Cultivated globally)</t>
        </is>
      </c>
      <c r="R34" s="6" t="inlineStr">
        <is>
          <t>Warning: Do not ingest.</t>
        </is>
      </c>
      <c r="S34" s="42" t="inlineStr">
        <is>
          <t>The golden tears of the Boswellia tree, hardening in desert sun. Burned in every tradition that has burned anything sacred. It rises before any other incense in any working that matters — purifying, protecting, elevating the space from the ordinary to the consecrated. The Sun Gods' own offering, the first smoke, the great beginning.</t>
        </is>
      </c>
      <c r="T34" s="45" t="inlineStr">
        <is>
          <t>Aries, Leo, Aquarius</t>
        </is>
      </c>
      <c r="U34" t="inlineStr">
        <is>
          <t>None specified — Frankincense works in consecration, not drawing.</t>
        </is>
      </c>
      <c r="V34" t="inlineStr">
        <is>
          <t>None specified.</t>
        </is>
      </c>
      <c r="W34" t="inlineStr">
        <is>
          <t>Exorcism and the driving out of negativity — Frankincense burned to clear what must be cleared.</t>
        </is>
      </c>
      <c r="X34" t="inlineStr">
        <is>
          <t>Opens the spiritual elevation of a working — where the divine must be invited in, this burns first.</t>
        </is>
      </c>
      <c r="Y34" t="inlineStr">
        <is>
          <t>Turns through purification and exorcism — the space made clean, the working made sacred.</t>
        </is>
      </c>
      <c r="Z34" t="inlineStr">
        <is>
          <t>The sacred resin in the Over 18 context — where the working being consecrated is of the most intimate kind, frankincense elevates it. What happens between people in genuine desire is as worthy of consecration as anything that happens in a temple.</t>
        </is>
      </c>
    </row>
    <row r="35" ht="61.5" customHeight="1" s="56">
      <c r="A35" s="4" t="inlineStr">
        <is>
          <t>GARDENIA FRUIT</t>
        </is>
      </c>
      <c r="B35" s="4" t="inlineStr">
        <is>
          <t>FOLK’S GLOVE</t>
        </is>
      </c>
      <c r="C35" s="4" t="inlineStr">
        <is>
          <t>Gardenia jasminoides</t>
        </is>
      </c>
      <c r="D35" s="5" t="inlineStr">
        <is>
          <t>Attracting good spirits, Peaceful vibrations, Healing altars, Sick-room blessings,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Calming stress, Calming household upheaval, FRIENDSHIP, House blessing, Blessing the home, Homestead protection, Home protection, Household protection, Home blessing, Ensuring joy in the home, Tranquillity in the home, Blessing guests, Blessing domestic animals, Meditation, Contemplation, Concentration, Focus, Sun God offerings, Solar spells</t>
        </is>
      </c>
      <c r="E35" s="5" t="inlineStr">
        <is>
          <t>HESTIA,LUNA, CANCER, SCORPIO</t>
        </is>
      </c>
      <c r="F35" s="4" t="inlineStr">
        <is>
          <t>MOON</t>
        </is>
      </c>
      <c r="G35" s="4" t="inlineStr">
        <is>
          <t>WATER</t>
        </is>
      </c>
      <c r="H35" s="4" t="inlineStr">
        <is>
          <t>FEMININE</t>
        </is>
      </c>
      <c r="I35" s="4" t="inlineStr">
        <is>
          <t>MONDAY</t>
        </is>
      </c>
      <c r="J35" s="4" t="inlineStr">
        <is>
          <t>LUNA</t>
        </is>
      </c>
      <c r="K35" s="5" t="inlineStr">
        <is>
          <t>IMBOLC, SAMHAIN</t>
        </is>
      </c>
      <c r="L35" s="5" t="inlineStr">
        <is>
          <t>Said to increase appetite and relieve pain of bronchitis.</t>
        </is>
      </c>
      <c r="M35" s="5" t="inlineStr">
        <is>
          <t>Attracting good spirits, Peaceful vibrations, Healing altars, Sick-room blessings</t>
        </is>
      </c>
      <c r="N35" s="5" t="inlineStr">
        <is>
          <t>altars to aid the healing process.</t>
        </is>
      </c>
      <c r="O35" s="5" t="inlineStr">
        <is>
          <t>Used to attract good spirits and to induce peaceful vibrations during rituals. Place fresh blossoms in sick rooms or on healing altars to aid the healing process.</t>
        </is>
      </c>
      <c r="P35" s="4" t="inlineStr">
        <is>
          <t>Melissa</t>
        </is>
      </c>
      <c r="Q35" s="5" t="inlineStr">
        <is>
          <t>Southeast Asia (Tropical forests)</t>
        </is>
      </c>
      <c r="R35" s="5" t="inlineStr">
        <is>
          <t>Generally safe for external and ritual use. The plant may cause mild skin irritation.</t>
        </is>
      </c>
      <c r="S35" s="42" t="inlineStr">
        <is>
          <t>The spirit-inviting flower — used to attract good presences into a space, placed at healing altars to bless the sick room, carrying peaceful vibrations into wherever it grows. A Moon and Water herb of quiet power, more gentle than most, working through its scent rather than its fire.</t>
        </is>
      </c>
      <c r="U35" t="inlineStr">
        <is>
          <t>Attracting good spirits and peaceful vibrations — the primary drawing function of gardenia.</t>
        </is>
      </c>
      <c r="V35" t="inlineStr">
        <is>
          <t>Healing altars and the blessing of sick rooms — holds protective peace around the vulnerable.</t>
        </is>
      </c>
      <c r="W35" t="inlineStr">
        <is>
          <t>None specified.</t>
        </is>
      </c>
      <c r="X35" t="inlineStr">
        <is>
          <t>Opens the channel for beneficent spirit presence — where good spirits must be invited in.</t>
        </is>
      </c>
      <c r="Y35" t="inlineStr">
        <is>
          <t>Turns through healing and the transformation of atmosphere from troubled to peaceful.</t>
        </is>
      </c>
      <c r="Z35" t="inlineStr">
        <is>
          <t>The spirit-inviting flower in its deepest function — where the spirits being invited are not neutral presences but specific ones with particular associations to what is being worked. The sickroom herb that knows the difference between the living and the dying.</t>
        </is>
      </c>
    </row>
    <row r="36" ht="123" customHeight="1" s="56">
      <c r="A36" s="2" t="inlineStr">
        <is>
          <t>GARLIC POWDER</t>
        </is>
      </c>
      <c r="B36" s="2" t="inlineStr">
        <is>
          <t>STINK WEED</t>
        </is>
      </c>
      <c r="C36" s="2" t="inlineStr">
        <is>
          <t>Allium sativum</t>
        </is>
      </c>
      <c r="D36" s="3" t="inlineStr">
        <is>
          <t>Exorcism, Magic, Passion, Protection, Spell-breaking, Strength, Clairvoyance, Success, Commanding, Confidence, Consecration, Courage, Divination, Healing, Longevity, Money, Overcoming opposition, Purification, Preventing nightmares, Stopping gossip, Fair weather,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Magical power, Increasing magical power, Increasing spell power, Power amplification, Bolstering spells, Bolstering incense, Strengthening spells, Potency, Power, WISDOM IN MAGICK, defensive magic, Desire, Protective charm, Protective charms, Protective sachets, Protective wreaths, Protective incense, PROTECT AGAINST NEGATIVITY, Protection from negativity, Circle protection, Reversing harmful spells, Breaking spells, Hex breaking, Removing hexes, Removing curses, Removing jinxes, Removing bad luck, Breaking hexes, Returning hexes, hex-breaking, Removing hexes and curses, Removing a jinx, Luck, Good luck, Good luck in family matters, Fortune, Casino luck, WISHES, Wish magick, Carrying wishes, Transmuting wishes, Physical Strength, Fortitude, Vitality, Inner power, and strength, Enhancing clairvoyance, Psychic development, Psychic powers, INCREASE PSYCHIC ABILITIES, Psychic awareness, Stimulating psychic senses, Disabling psychic phenomena, Psychic communication, communication and psychic abilities, Victory, victory in battle, Conquest, Courtroom success, Legal matters, Justice, Self-confidence, Bravery, Determination, Will Power, Leadership, Leadership skills, Personal power,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Enhancing divination, Divinatory incense, Foretelling the future, Future divination, Scrying, Dowsing, Prophecy, Healing magic, Healing spells, Healing sachets, Healing incenses, Healing mixtures, Healing rituals, Healing incense, Healing vibrations, healing after surgery, Aiding recovery, Aiding the ill, Improving health, Speeding recovery, Good health, health, Long life, Immortality, Eternal youth, Rejuvenation, Vigorous old age, Lengthening lifespan, Life,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Nightmare prevention, Negating dreams, RID OF BAD DREAMS, Nightmares, Sleep, Rest, Encouraging sound sleep, Relaxation, Serenity, Calm</t>
        </is>
      </c>
      <c r="E36" s="3" t="inlineStr">
        <is>
          <t>HECATE, MARS, ARIES, SCORPIO, ARES</t>
        </is>
      </c>
      <c r="F36" s="2" t="inlineStr">
        <is>
          <t>MARS</t>
        </is>
      </c>
      <c r="G36" s="2" t="inlineStr">
        <is>
          <t>FIRE</t>
        </is>
      </c>
      <c r="H36" s="2" t="inlineStr">
        <is>
          <t>MASCULINE</t>
        </is>
      </c>
      <c r="I36" s="2" t="inlineStr">
        <is>
          <t>TUESDAY</t>
        </is>
      </c>
      <c r="J36" s="2" t="inlineStr">
        <is>
          <t>HECATE, ARES</t>
        </is>
      </c>
      <c r="K36" s="3" t="inlineStr">
        <is>
          <t>BELTANE, SAMHAIN</t>
        </is>
      </c>
      <c r="L36" s="3" t="inlineStr">
        <is>
          <t>Attributed to Hecate. Protects against vampires.</t>
        </is>
      </c>
      <c r="M36" s="3" t="inlineStr">
        <is>
          <t>exorcism, magic, passion, protection, spell-breaking, and strength.</t>
        </is>
      </c>
      <c r="N36" s="3" t="inlineStr">
        <is>
          <t>It can also be used in workings for clairvoyance, success, commanding, confidence, consecration, courage, divination, healing, longevity, money, overcoming opposition, and purification.</t>
        </is>
      </c>
      <c r="O36" s="3" t="inlineStr">
        <is>
          <t>Use for exorcism, magic, passion, protection, spell-breaking, and strength. It can also be used in workings for clairvoyance, success, commanding, confidence, consecration, courage, divination, healing, longevity, money, overcoming opposition, and purification. It is said to prevent nightmares, stop gossip, and promote fair weather.</t>
        </is>
      </c>
      <c r="P36" s="2" t="inlineStr">
        <is>
          <t>Pine</t>
        </is>
      </c>
      <c r="Q36" s="3" t="inlineStr">
        <is>
          <t>North America (Meadows, prairies)</t>
        </is>
      </c>
      <c r="R36" s="3" t="inlineStr">
        <is>
          <t>Generally safe. May interact with blood-thinning medications. Avoid large doses before surgery.</t>
        </is>
      </c>
      <c r="S36" s="42" t="inlineStr">
        <is>
          <t>The herb of Hecate, protection against vampires — ancient, pungent and completely reliable. No demon or negative presence stays long in a space where garlic has been used. Attributed to Hecate who left garlic at crossroads as offerings; used by virtually every culture on earth for the same basic function: drive out what harms.</t>
        </is>
      </c>
      <c r="T36" s="45" t="inlineStr">
        <is>
          <t>Aries</t>
        </is>
      </c>
      <c r="U36" t="inlineStr">
        <is>
          <t>Passion drawn through garlic's Mars fire energy.</t>
        </is>
      </c>
      <c r="V36" t="inlineStr">
        <is>
          <t>Protection, strength and confidence held — the everyday guardian.</t>
        </is>
      </c>
      <c r="W36" t="inlineStr">
        <is>
          <t>Exorcism, spell-breaking and purification — the great exorcist's herb.</t>
        </is>
      </c>
      <c r="X36" t="inlineStr">
        <is>
          <t>Opens clairvoyance and the seeing of what must be driven out before it can be removed.</t>
        </is>
      </c>
      <c r="Y36" t="inlineStr">
        <is>
          <t>Turns through exorcism and the restoration of strength after attack.</t>
        </is>
      </c>
      <c r="Z36" t="inlineStr">
        <is>
          <t>The ancient protector in its role as the guardian of the body's boundaries — where the working is about what the body will and will not permit, garlic is the clear boundary-setter. The herb of those who know their own edges.</t>
        </is>
      </c>
    </row>
    <row r="37" ht="37.5" customHeight="1" s="56">
      <c r="A37" s="4" t="inlineStr">
        <is>
          <t>GINGER ROOT</t>
        </is>
      </c>
      <c r="B37" s="4" t="inlineStr">
        <is>
          <t>AFRICAN GINGER</t>
        </is>
      </c>
      <c r="C37" s="4" t="inlineStr">
        <is>
          <t>Zingiber officinale</t>
        </is>
      </c>
      <c r="D37" s="5" t="inlineStr">
        <is>
          <t>Love, Passion, Psychic protection, Cursing, Health, Psychic development, Sensuality, Success,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Desire,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Clairvoyance, Enhancing clairvoyance, Psychic powers, INCREASE PSYCHIC ABILITIES, Psychic awareness, Stimulating psychic senses, Disabling psychic phenomena, Psychic communication, communication and psychic abilities, Aphrodisiac, Aphrodisiac tea, Lust, Lust/Sex, Passionate love-making, LOVING &amp; LUSTFUL ENERGIES, SEX MAGIC, RAISE SEXUAL ENERGY, Sexual energy, Victory, victory in battle, Conquest, Overcoming opposition, Courtroom success, Legal matters, Justice</t>
        </is>
      </c>
      <c r="E37" s="5" t="inlineStr">
        <is>
          <t>ARES, VENUS</t>
        </is>
      </c>
      <c r="F37" s="4" t="inlineStr">
        <is>
          <t>MARS, SUN</t>
        </is>
      </c>
      <c r="G37" s="4" t="inlineStr">
        <is>
          <t>FIRE</t>
        </is>
      </c>
      <c r="H37" s="4" t="inlineStr">
        <is>
          <t>MASCULINE</t>
        </is>
      </c>
      <c r="I37" s="4" t="inlineStr">
        <is>
          <t>Sunday</t>
        </is>
      </c>
      <c r="J37" s="4" t="inlineStr">
        <is>
          <t>ARES</t>
        </is>
      </c>
      <c r="K37" s="5" t="inlineStr">
        <is>
          <t>BELTANE, LITHA</t>
        </is>
      </c>
      <c r="L37" s="5" t="inlineStr">
        <is>
          <t>Used as a preservative in the Middle Ages.</t>
        </is>
      </c>
      <c r="M37" s="5" t="inlineStr">
        <is>
          <t>Use in spell work for love, passion, psychic protection, cursing, health, psychic development, and sensuality.</t>
        </is>
      </c>
      <c r="N37" s="5" t="inlineStr">
        <is>
          <t>Psychic protection, Psychic development</t>
        </is>
      </c>
      <c r="O37" s="5" t="inlineStr">
        <is>
          <t>Use in spell work for love, passion, psychic protection, cursing, health, psychic development, and sensuality. It is also used in workings involving success.</t>
        </is>
      </c>
      <c r="P37" s="4" t="inlineStr">
        <is>
          <t>Ginger</t>
        </is>
      </c>
      <c r="Q37" s="5" t="inlineStr">
        <is>
          <t>North America (Deciduous forests)</t>
        </is>
      </c>
      <c r="R37" s="5" t="inlineStr">
        <is>
          <t>Generally safe. Avoid large medicinal doses during early pregnancy. May interact with blood thinners.</t>
        </is>
      </c>
      <c r="S37" s="42" t="inlineStr">
        <is>
          <t>The fire root from tropical forests — sharp, immediate, medicinal and magical in equal measure. Used as a preservative in the Middle Ages when its power to halt decay was understood. In the hand it quickens workings, sharpens the psychic field and brings love and passion a direct, immediate quality rather than a slow drawing.</t>
        </is>
      </c>
      <c r="T37" s="45" t="inlineStr">
        <is>
          <t>Aries</t>
        </is>
      </c>
      <c r="U37" t="inlineStr">
        <is>
          <t>Love and passion drawn with ginger's fire directness.</t>
        </is>
      </c>
      <c r="V37" t="inlineStr">
        <is>
          <t>Psychic protection and health — the warming root that strengthens the body's defences.</t>
        </is>
      </c>
      <c r="W37" t="inlineStr">
        <is>
          <t>None specified.</t>
        </is>
      </c>
      <c r="X37" t="inlineStr">
        <is>
          <t>Opens psychic development and the sharpening of the second sight — ginger burned or carried before divination.</t>
        </is>
      </c>
      <c r="Y37" t="inlineStr">
        <is>
          <t>Turns through the acceleration of a working — where a spell needs to move faster, ginger is the fire underneath it.</t>
        </is>
      </c>
      <c r="Z37" t="inlineStr">
        <is>
          <t>The fire root of Mars — direct, immediate, warming the blood and quickening the pulse. Where desire needs no coaxing but only an ally to deepen what is already stirring, ginger lends its heat without apology.</t>
        </is>
      </c>
    </row>
    <row r="38" ht="135" customHeight="1" s="56">
      <c r="A38" s="2" t="inlineStr">
        <is>
          <t>GOLDENROD</t>
        </is>
      </c>
      <c r="B38" s="2" t="inlineStr">
        <is>
          <t>GOLDROD</t>
        </is>
      </c>
      <c r="C38" s="2" t="inlineStr">
        <is>
          <t>Solidago canadensis</t>
        </is>
      </c>
      <c r="D38" s="3" t="inlineStr">
        <is>
          <t>Love rituals, Finding future love, Love sealing, Prophecy, Divination, Dowsing, Treasure seeking, Lost object finding, Inner attunement, Foretelling the future, Future rituals, Daily sachets, Love,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Attraction, Attracting a mate, Attracting a soulmate, Conjuring a lover, HELP ATTRACT OPPOSITE SEX, Enhancing divination, Divinatory incense, Future divination, Scrying, Prophetic dreams, Invoking dreams, Dream work, Dreams, Visions, Seeing the unseen, Seeing manifestations, Truth, Honesty, Removing deception, Subconscious work, Digging into the subconscious, Uprooting what is hidden</t>
        </is>
      </c>
      <c r="E38" s="3" t="inlineStr">
        <is>
          <t>APHRODITE, VENUS, TAURUS, LIBRA</t>
        </is>
      </c>
      <c r="F38" s="2" t="inlineStr">
        <is>
          <t>VENUS</t>
        </is>
      </c>
      <c r="G38" s="2" t="inlineStr">
        <is>
          <t>AIR</t>
        </is>
      </c>
      <c r="H38" s="2" t="inlineStr">
        <is>
          <t>FEMININE</t>
        </is>
      </c>
      <c r="I38" s="2" t="inlineStr">
        <is>
          <t>FRIDAY</t>
        </is>
      </c>
      <c r="J38" s="2" t="inlineStr">
        <is>
          <t>APHRODITE</t>
        </is>
      </c>
      <c r="K38" s="3" t="inlineStr">
        <is>
          <t>OSTARA, BELTANE</t>
        </is>
      </c>
      <c r="L38" s="3" t="inlineStr">
        <is>
          <t>Plant near doorstep for money/peace/love/prosperity.</t>
        </is>
      </c>
      <c r="M38" s="3" t="inlineStr">
        <is>
          <t>Love rituals, Finding future love, Love sealing, Prophecy, Divination, Dowsing, Treasure seeking, Lost object finding, Inner attunement, Foretelling the future</t>
        </is>
      </c>
      <c r="N38" s="3" t="inlineStr">
        <is>
          <t>in rituals concerning love or the quest for love.</t>
        </is>
      </c>
      <c r="O38" s="3" t="inlineStr">
        <is>
          <t>Any herb related to Venus is a good herb for love rituals. Carry flowers for a day and your future love is supposed to appear the next day. Give your lover some goldenrod tea to seal their love for you. Burn or crush leaves or flowers in rituals concerning love or the quest for love. Goldenrod is also a prophecy and divination herb. Cut a stalk of goldenrod and use it as a dowsing rod to search for treasure or lost objects — the flower will nod in the direction of what you are seeking. Drink a tea to become more attuned with your inner self so that you can foretell your own future. Burn or crush in rituals concerning the future, or carry daily in a sachet.</t>
        </is>
      </c>
      <c r="P38" s="2" t="inlineStr">
        <is>
          <t>Geranium</t>
        </is>
      </c>
      <c r="Q38" s="3" t="inlineStr">
        <is>
          <t>Europe (Fields, open land)</t>
        </is>
      </c>
      <c r="R38" s="3" t="inlineStr">
        <is>
          <t>Generally considered safe for most uses. Always use in moderation.</t>
        </is>
      </c>
      <c r="S38" s="42" t="inlineStr">
        <is>
          <t>The dowsing herb — used to find water, find lost objects and find future love. Planted near the doorstep for money and peace, used in love sealing rituals where what has been drawn must now be confirmed. A Venus and Air herb of optimistic, forward-reaching energy.</t>
        </is>
      </c>
      <c r="U38" t="inlineStr">
        <is>
          <t>Love rituals, finding future love and love sealing — the primary drawing function of goldenrod.</t>
        </is>
      </c>
      <c r="V38" t="inlineStr">
        <is>
          <t>Love sealing — holds the love that has been drawn.</t>
        </is>
      </c>
      <c r="W38" t="inlineStr">
        <is>
          <t>None specified.</t>
        </is>
      </c>
      <c r="X38" t="inlineStr">
        <is>
          <t>Opens prophecy and divination — used in dowsing and the seeking of hidden things.</t>
        </is>
      </c>
      <c r="Y38" t="inlineStr">
        <is>
          <t>Turns through the sealing of love — where attraction becomes commitment.</t>
        </is>
      </c>
      <c r="Z38" t="inlineStr">
        <is>
          <t>The dowsing herb in its most searching function — where what is being sought is not just future love but the specific truth about what is genuinely desired and what has been settled for. The prophecy herb that finds what the hand moves toward before the mind has named it.</t>
        </is>
      </c>
    </row>
    <row r="39" ht="171.75" customHeight="1" s="56">
      <c r="A39" s="4" t="inlineStr">
        <is>
          <t>GOLDENSEAL ROOT</t>
        </is>
      </c>
      <c r="B39" s="4" t="inlineStr">
        <is>
          <t>EYE BALM</t>
        </is>
      </c>
      <c r="C39" s="4" t="inlineStr">
        <is>
          <t>Hydrastis canadensis</t>
        </is>
      </c>
      <c r="D39" s="5" t="inlineStr">
        <is>
          <t>Attraction, Money, Wealth, Success, Prosperity, Business dealings, Healing, Illness spells, Increasing spell power, Attracting a mate, Attracting a soulmate, Conjuring a lover, HELP ATTRACT OPPOSITE SEX, Finding future love, Fertility, Female fertility, Fertility magic, Fertility charms, Aiding fertility, Increasing fertility, Fruitfulness, Virility, male virility, Abundant harvest, Wealth/Prosperity, Attracting business, abundance, Financial arrangements, Aiding gain, Gain, PROSPERITY SPELLS, Increasing wealth, Money spells, Attracting money, Drawing money, INCREASE MONEY, Breaking financial stagnation, Money mixtures, Protecting against poverty, Warding off poverty, Victory, victory in battle, Conquest, Overcoming opposition, Courtroom success, Legal matters, Justice, Healing magic, Healing spells, Healing sachets, Healing incenses, Healing mixtures, Healing rituals, Healing incense, Healing vibrations, healing after surgery, Aiding recovery, Aiding the ill, Improving health, Speeding recovery, Good health, health, Magical power, Increasing magical power, Power amplification, Bolstering spells, Bolstering incense, Strengthening spells, Potency, Power, Magic, WISDOM IN MAGICK, defensive magic</t>
        </is>
      </c>
      <c r="E39" s="5" t="inlineStr">
        <is>
          <t>Not specified</t>
        </is>
      </c>
      <c r="F39" s="4" t="inlineStr">
        <is>
          <t>VENUS</t>
        </is>
      </c>
      <c r="G39" s="4" t="inlineStr">
        <is>
          <t>FIRE</t>
        </is>
      </c>
      <c r="H39" s="4" t="inlineStr">
        <is>
          <t>Feminine</t>
        </is>
      </c>
      <c r="I39" s="4" t="inlineStr">
        <is>
          <t>Friday</t>
        </is>
      </c>
      <c r="J39" s="4" t="inlineStr">
        <is>
          <t>ALL</t>
        </is>
      </c>
      <c r="K39" s="5" t="inlineStr">
        <is>
          <t>OSTARA, BELTANE</t>
        </is>
      </c>
      <c r="L39" s="5" t="inlineStr">
        <is>
          <t>Valued by native people of the US for medicinal and dye purposes.</t>
        </is>
      </c>
      <c r="M39" s="5" t="inlineStr">
        <is>
          <t>Attraction, Money, Wealth, Success, Prosperity, Business dealings, Healing, Illness spells, Increasing spell power</t>
        </is>
      </c>
      <c r="N39" s="5" t="inlineStr">
        <is>
          <t>Used in prosperity rituals and healing ceremonies. Placed on altars to attract abundance; burned as incense during money workings.</t>
        </is>
      </c>
      <c r="O39" s="5" t="inlineStr">
        <is>
          <t>It is an herb of attraction, used in spells, rituals, and candle magic (sprinkle at the base of a green or gold candle) to attract money, wealth, success, and prosperity, and before embarking on business dealings and financial matters. Goldenseal is also one of the healing herbs and can be used alone or in combination with other healing herbs in spells and rituals for illnesses and health problems. It can be used in just about any charm or spell to increase the power of that spell.</t>
        </is>
      </c>
      <c r="P39" s="4" t="inlineStr">
        <is>
          <t>Ylang Ylang</t>
        </is>
      </c>
      <c r="Q39" s="5" t="inlineStr">
        <is>
          <t>Europe (Heaths, bogs)</t>
        </is>
      </c>
      <c r="R39" s="6" t="inlineStr">
        <is>
          <t>Warning: Should be avoided during pregnancy. May raise blood pressure. Do not use long-term.</t>
        </is>
      </c>
      <c r="S39" s="42" t="inlineStr">
        <is>
          <t>The eye balm of Native American tradition — valued for medicinal and dye purposes, carrying the energy of Venus and Fire in a form that draws material success. An herb of business dealings and the increase of spell power, bringing practical prosperity rather than abstract abundance.</t>
        </is>
      </c>
      <c r="U39" t="inlineStr">
        <is>
          <t>Attraction and prosperity drawn — goldenseal in money workings and success spells.</t>
        </is>
      </c>
      <c r="V39" t="inlineStr">
        <is>
          <t>Healing and the increasing of spell power — holds the working at its full strength.</t>
        </is>
      </c>
      <c r="W39" t="inlineStr">
        <is>
          <t>None specified.</t>
        </is>
      </c>
      <c r="X39" t="inlineStr">
        <is>
          <t>Opens the deeper current of prosperity — where wealth and success must be seen and understood before they can arrive.</t>
        </is>
      </c>
      <c r="Y39" t="inlineStr">
        <is>
          <t>Turns through success and the healing of what was blocked from thriving.</t>
        </is>
      </c>
      <c r="Z39" t="inlineStr">
        <is>
          <t>The Venus fire herb in its most direct material function — where the working requires the energy of successful dealing and genuine increase, goldenseal is the root that draws what is owed. Used where what has been withheld must now be claimed.</t>
        </is>
      </c>
    </row>
    <row r="40" ht="86.25" customHeight="1" s="56">
      <c r="A40" s="2" t="inlineStr">
        <is>
          <t>HEARTSEASE</t>
        </is>
      </c>
      <c r="B40" s="2" t="inlineStr">
        <is>
          <t>WILD PANSEY</t>
        </is>
      </c>
      <c r="C40" s="2" t="inlineStr">
        <is>
          <t>Viola tricolor</t>
        </is>
      </c>
      <c r="D40" s="3" t="inlineStr">
        <is>
          <t>Midsummer celebrations, Love charms, Heart magic, Beauty magic, Beltane, Beltane rituals, Beltane celebrations, Summer rituals, Midsummer, Midsummer magic, Midsummer rites, Midsummer/Litha rituals, Love, Love magick, Love drawing, Attracting love, Love-attracting rituals, Inviting love, Inducing love,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40" s="3" t="inlineStr">
        <is>
          <t>VENUS, CRONUS, CAPRICORN, AQUARIUS</t>
        </is>
      </c>
      <c r="F40" s="2" t="inlineStr">
        <is>
          <t>SATURN</t>
        </is>
      </c>
      <c r="G40" s="2" t="inlineStr">
        <is>
          <t>EARTH</t>
        </is>
      </c>
      <c r="H40" s="2" t="inlineStr">
        <is>
          <t>FEMININE</t>
        </is>
      </c>
      <c r="I40" s="2" t="inlineStr">
        <is>
          <t>SATURDAY</t>
        </is>
      </c>
      <c r="J40" s="2" t="inlineStr">
        <is>
          <t>ALL, VENUS</t>
        </is>
      </c>
      <c r="K40" s="3" t="inlineStr">
        <is>
          <t>SAMHAIN, YULE</t>
        </is>
      </c>
      <c r="L40" s="3" t="inlineStr">
        <is>
          <t>Infusion said to mend a broken heart.</t>
        </is>
      </c>
      <c r="M40" s="3" t="inlineStr">
        <is>
          <t>Midsummer celebrations, Love charms, Heart magic, Beauty magic</t>
        </is>
      </c>
      <c r="N40" s="3" t="inlineStr">
        <is>
          <t>Used in love magic and Midsummer celebrations. Placed on altars dedicated to heart chakra work and emotional healing rituals.</t>
        </is>
      </c>
      <c r="O40" s="3" t="inlineStr">
        <is>
          <t>Like vervain, this magic herb is often incorporated into Midsummer celebrations. It has many associations with the heart and is traditionally used in love charms. In terms of how this herb works — on the heart and skin — this is a sun plant, but in terms of its use in love and its small but lush beauty, it is all Venus.</t>
        </is>
      </c>
      <c r="P40" s="2" t="inlineStr">
        <is>
          <t>Patchouli</t>
        </is>
      </c>
      <c r="Q40" s="3" t="inlineStr">
        <is>
          <t>East Asia (Sunny woodlands)</t>
        </is>
      </c>
      <c r="R40" s="3" t="inlineStr">
        <is>
          <t>Generally considered safe for most uses. Always use in moderation.</t>
        </is>
      </c>
      <c r="S40" s="42" t="inlineStr">
        <is>
          <t>The infusion that mends broken hearts — the wild pansy growing in east Asian woodlands where Saturn rules the slow, patient work of emotional healing. Used in love charms and Midsummer celebrations, in heart magic and beauty workings. The herb that understands that love sometimes breaks and sometimes mends, and works in both directions.</t>
        </is>
      </c>
      <c r="U40" t="inlineStr">
        <is>
          <t>Love charms and beauty magic drawn — the heart herb.</t>
        </is>
      </c>
      <c r="V40" t="inlineStr">
        <is>
          <t>None specified.</t>
        </is>
      </c>
      <c r="W40" t="inlineStr">
        <is>
          <t>None specified.</t>
        </is>
      </c>
      <c r="X40" t="inlineStr">
        <is>
          <t>Opens the truth of the heart — Midsummer's full light turned on what has been felt but not acknowledged.</t>
        </is>
      </c>
      <c r="Y40" t="inlineStr">
        <is>
          <t>Turns through the mending of what was broken — the heart herb's long, patient healing.</t>
        </is>
      </c>
      <c r="Z40" t="inlineStr">
        <is>
          <t>The wild pansy of the broken heart in its most knowing aspect — where the working asks for the full acknowledgement of what love means when it includes loss, heartsease holds both the charm and the knowing that the charm may not last.</t>
        </is>
      </c>
    </row>
    <row r="41" ht="61.5" customHeight="1" s="56">
      <c r="A41" s="4" t="inlineStr">
        <is>
          <t>HEATHER</t>
        </is>
      </c>
      <c r="B41" s="4" t="inlineStr">
        <is>
          <t>ROSE MALLOW</t>
        </is>
      </c>
      <c r="C41" s="4" t="inlineStr">
        <is>
          <t>Calluna vulgaris</t>
        </is>
      </c>
      <c r="D41" s="5" t="inlineStr">
        <is>
          <t>Opening fairy portals, Enhancing beauty, Shapeshifting, Protection from shifters, Assisting transformation, Fairy portals, fairy magic, Fairy blessings, Breaking habits, Breaking bad habits, Ending negative self-talk, Letting go of relationships, Ending guilt, Release, Renewal, New beginnings, New beginning spells, Fresh starts, Transformation, Change, rebirth, Breakthrough, Awakening, Growth, New ideas, Transformation/Evolution</t>
        </is>
      </c>
      <c r="E41" s="5" t="inlineStr">
        <is>
          <t>LILITH, VENUS, TAURUS, LIBRA</t>
        </is>
      </c>
      <c r="F41" s="4" t="inlineStr">
        <is>
          <t>VENUS</t>
        </is>
      </c>
      <c r="G41" s="4" t="inlineStr">
        <is>
          <t>WATER</t>
        </is>
      </c>
      <c r="H41" s="4" t="inlineStr">
        <is>
          <t>FEMININE</t>
        </is>
      </c>
      <c r="I41" s="4" t="inlineStr">
        <is>
          <t>FRIDAY</t>
        </is>
      </c>
      <c r="J41" s="4" t="inlineStr">
        <is>
          <t>ALL</t>
        </is>
      </c>
      <c r="K41" s="5" t="inlineStr">
        <is>
          <t>OSTARA, BELTANE</t>
        </is>
      </c>
      <c r="L41" s="5" t="inlineStr">
        <is>
          <t>Sacred plant of Lilith.</t>
        </is>
      </c>
      <c r="M41" s="5" t="inlineStr">
        <is>
          <t>Opening fairy portals, Enhancing beauty, Shapeshifting, Protection from shifters, Assisting transformation</t>
        </is>
      </c>
      <c r="N41" s="5" t="inlineStr">
        <is>
          <t>Used in rituals for opening fairy portals and Midsummer ceremonies. Burned as incense to attract good spirits and blessings.</t>
        </is>
      </c>
      <c r="O41" s="5" t="inlineStr">
        <is>
          <t>Heather is said to open portals between this world and the fairy world. Heather has the best effect in magic spells that enhance physical beauty. It is also important in shapeshifting, being both protective against shifters and helpful to the witch taking on other forms.</t>
        </is>
      </c>
      <c r="P41" s="4" t="inlineStr">
        <is>
          <t>Ylang Ylang</t>
        </is>
      </c>
      <c r="Q41" s="5" t="inlineStr">
        <is>
          <t>Europe, North Africa (Waste ground)</t>
        </is>
      </c>
      <c r="R41" s="5" t="inlineStr">
        <is>
          <t>Generally considered safe for most uses. Always use in moderation.</t>
        </is>
      </c>
      <c r="S41" s="42" t="inlineStr">
        <is>
          <t>The sacred plant of Lilith, the shapeshifter's herb, the fairy portal opener. Growing on waste ground and moorland where the ordinary world gets thin. Used to enhance beauty through the Otherworld's beauty, to assist transformation at the deeper levels where identity itself shifts. Handle with awareness — Lilith's plant does not do gentle work.</t>
        </is>
      </c>
      <c r="U41" t="inlineStr">
        <is>
          <t>Enhancing beauty — heather drawn into beauty and glamour workings.</t>
        </is>
      </c>
      <c r="V41" t="inlineStr">
        <is>
          <t>Protection from shifters — holds the boundary against unwanted shapeshifting.</t>
        </is>
      </c>
      <c r="W41" t="inlineStr">
        <is>
          <t>Assisting transformation — where genuine change of form or nature is the working.</t>
        </is>
      </c>
      <c r="X41" t="inlineStr">
        <is>
          <t>Opens fairy portals and the Otherworld — the herb used where the veil between worlds must thin.</t>
        </is>
      </c>
      <c r="Y41" t="inlineStr">
        <is>
          <t>Turns through shapeshifting and transformation — the spell that changes what must be changed at the root.</t>
        </is>
      </c>
      <c r="Z41" t="inlineStr">
        <is>
          <t>The shapeshifting herb of Lilith in its most fully inhabited function — where the transformation being worked is not cosmetic but genuine, heather opens the way into a different form of being. Used where what must change must change at the root.</t>
        </is>
      </c>
    </row>
    <row r="42" ht="98.25" customHeight="1" s="56">
      <c r="A42" s="2" t="inlineStr">
        <is>
          <t>HIBISCUS</t>
        </is>
      </c>
      <c r="B42" s="2" t="inlineStr">
        <is>
          <t>SOUR TREE</t>
        </is>
      </c>
      <c r="C42" s="2" t="inlineStr">
        <is>
          <t>Hibiscus syriacus</t>
        </is>
      </c>
      <c r="D42" s="3" t="inlineStr">
        <is>
          <t>Inviting love, Promoting fidelity, Passionate love-making, Love, Love magick, Love drawing, Attracting love, Love-attracting rituals,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Fidelity, Faithfulness, Loyalty, Ensuring a lover returns love, Aphrodisiac, Aphrodisiac tea, Sensuality, Lust, Lust/Sex, LOVING &amp; LUSTFUL ENERGIES, SEX MAGIC, RAISE SEXUAL ENERGY, Sexual energy</t>
        </is>
      </c>
      <c r="E42" s="3" t="inlineStr">
        <is>
          <t>APHRODITE, FREYA, KALI, VENUS, TAURUS</t>
        </is>
      </c>
      <c r="F42" s="2" t="inlineStr">
        <is>
          <t>VENUS</t>
        </is>
      </c>
      <c r="G42" s="2" t="inlineStr">
        <is>
          <t>WATER</t>
        </is>
      </c>
      <c r="H42" s="2" t="inlineStr">
        <is>
          <t>FEMININE</t>
        </is>
      </c>
      <c r="I42" s="2" t="inlineStr">
        <is>
          <t>FRIDAY</t>
        </is>
      </c>
      <c r="J42" s="2" t="inlineStr">
        <is>
          <t>APHRODITE</t>
        </is>
      </c>
      <c r="K42" s="3" t="inlineStr">
        <is>
          <t>OSTARA, BELTANE</t>
        </is>
      </c>
      <c r="L42" s="3" t="inlineStr">
        <is>
          <t>Sacred symbol in India (Kali, Ganesh).</t>
        </is>
      </c>
      <c r="M42" s="3" t="inlineStr">
        <is>
          <t>The flowers of the hibiscus may be burned as a type of incense, and are said to invite love, promote fidelity, and encourage passionate lovemaking.</t>
        </is>
      </c>
      <c r="N42" s="3" t="inlineStr">
        <is>
          <t>Used in love rituals and divination ceremonies. Burned as incense or steeped as tea to heighten psychic awareness during ritual.</t>
        </is>
      </c>
      <c r="O42" s="3" t="inlineStr">
        <is>
          <t>The flowers of the hibiscus may be burned as a type of incense, and are said to invite love, promote fidelity, and encourage passionate lovemaking.</t>
        </is>
      </c>
      <c r="P42" s="2" t="inlineStr">
        <is>
          <t>Ylang Ylang</t>
        </is>
      </c>
      <c r="Q42" s="3" t="inlineStr">
        <is>
          <t>Southern Europe, Middle East (Dry hillsides)</t>
        </is>
      </c>
      <c r="R42" s="3" t="inlineStr">
        <is>
          <t>Generally considered safe for most uses. May lower blood pressure — use with care if hypotensive.</t>
        </is>
      </c>
      <c r="S42" s="42" t="inlineStr">
        <is>
          <t>The sacred flower of Kali and Ganesh — the tropical water herb of passionate love and fidelity. Used in Indian tradition as an offering to the divine, carrying the energy of invitation: to love, to fidelity, to the heat of desire made sacred. The deep red blooms speak of Venus and devotion both.</t>
        </is>
      </c>
      <c r="U42" t="inlineStr">
        <is>
          <t>Inviting love, promoting fidelity and passionate love-making — hibiscus is the love invitation herb.</t>
        </is>
      </c>
      <c r="V42" t="inlineStr">
        <is>
          <t>Encouraging passionate love between established partners.</t>
        </is>
      </c>
      <c r="W42" t="inlineStr">
        <is>
          <t>None specified.</t>
        </is>
      </c>
      <c r="X42" t="inlineStr">
        <is>
          <t>Opens love rituals and the divination of matters of the heart — where the truth of feeling must be seen.</t>
        </is>
      </c>
      <c r="Y42" t="inlineStr">
        <is>
          <t>Turns through the deepening of love — from initial attraction toward something lasting and passionate.</t>
        </is>
      </c>
      <c r="Z42" t="inlineStr">
        <is>
          <t>Sacred to Kali, the deep red flower of passionate love-making and the fidelity that follows genuine desire. The tropical blossom that knows the difference between the surface of love and its depths. Used where the working asks for the full opening of the heart's most physical expression.</t>
        </is>
      </c>
    </row>
    <row r="43" ht="195.75" customHeight="1" s="56">
      <c r="A43" s="4" t="inlineStr">
        <is>
          <t>HOREHOUND</t>
        </is>
      </c>
      <c r="B43" s="4" t="inlineStr">
        <is>
          <t>EYE OF THE STAR</t>
        </is>
      </c>
      <c r="C43" s="4" t="inlineStr">
        <is>
          <t>Marrubium vulgare</t>
        </is>
      </c>
      <c r="D43" s="5" t="inlineStr">
        <is>
          <t>Protection, Mental powers, Exorcism, Healing, Guarding against sorcery, Guarding against fascination, Exorcism herb scattering, Healing vibrations, Blessing the home, Blessing guests, Concentration, Focus, Creativity in magic, Mental clarity, Intuition, Protective charm, Protective charms, Protective sachets, Protective wreaths, Protective incense, PROTECT AGAINST NEGATIVITY, Protection from negativity, Circle protection, Wisdom, Knowledge, Intelligence, Sharpening the wits, Sharpening the brain, MEM, Memory, Illumination, Enlightenment,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after surgery, Aiding recovery, Aiding the ill, Improving health, Speeding recovery, Good health, health, Protection (hexes/evil), Psychic protection, Psychic shielding, Protection from hexes, Protection from conjure, Protection from evil, Protection from evil spirits, Protection from hauntings, Ju-ju / gris-gris protection,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Homestead protection, Sick-room blessings, Home protection, Household protection, Healing altars, Home blessing, Ensuring joy in the home, Tranquillity in the home, Blessing domestic animals, Meditation, Contemplation, Sun God offerings, Solar spells</t>
        </is>
      </c>
      <c r="E43" s="5" t="inlineStr">
        <is>
          <t>HORUS, SCORPIO</t>
        </is>
      </c>
      <c r="F43" s="4" t="inlineStr">
        <is>
          <t>MERCURY</t>
        </is>
      </c>
      <c r="G43" s="4" t="inlineStr">
        <is>
          <t>AIR</t>
        </is>
      </c>
      <c r="H43" s="4" t="inlineStr">
        <is>
          <t>MASCULINE</t>
        </is>
      </c>
      <c r="I43" s="4" t="inlineStr">
        <is>
          <t>Wednesday</t>
        </is>
      </c>
      <c r="J43" s="4" t="inlineStr">
        <is>
          <t>ALL</t>
        </is>
      </c>
      <c r="K43" s="5" t="inlineStr">
        <is>
          <t>OSTARA, MABON</t>
        </is>
      </c>
      <c r="L43" s="5" t="inlineStr">
        <is>
          <t>Said to keep off wild animals. Used in floor sweeps.</t>
        </is>
      </c>
      <c r="M43" s="5" t="inlineStr">
        <is>
          <t>Protection, mental powers, exorcism, and healing. Drunk as an infusion, it will clear your mind and strengthen mental powers.</t>
        </is>
      </c>
      <c r="N43" s="5" t="inlineStr">
        <is>
          <t>for ritual work, horehound increases your concentration and focus.</t>
        </is>
      </c>
      <c r="O43" s="5" t="inlineStr">
        <is>
          <t>Protection, mental powers, exorcism, and healing. Use in protective sachets and carry to guard against sorcery and fascination. Scatter as an exorcism herb. Horehound, when mixed with ash leaves and placed in a bowl of water, releases healing vibrations and should be placed in a sickroom. Horehound is an excellent herb to use in blessing the home. As a general herb for ritual work, horehound increases your concentration and focus. It increases the mental skills needed to keep distraction at bay and the ability to integrate the mind and body into the realm of the spiritual. Horehound can give you the freedom to weave your creativity into your magic. Drunk as an infusion, it will clear your mind and strengthen mental powers.</t>
        </is>
      </c>
      <c r="P43" s="4" t="inlineStr">
        <is>
          <t>Sandalwood w.i.</t>
        </is>
      </c>
      <c r="Q43" s="5" t="inlineStr">
        <is>
          <t>Southeast Asia (Tropical humid areas)</t>
        </is>
      </c>
      <c r="R43" s="5" t="inlineStr">
        <is>
          <t>Warning: Avoid during pregnancy. Large doses may cause irregular heartbeat. Do not use medicinally long-term.</t>
        </is>
      </c>
      <c r="S43" s="42" t="inlineStr">
        <is>
          <t>The floor sweep herb — scattered to keep off wild animals and swept through homes to clear sorcery and fascination. Mercury and Air, working on the mind to clear what has been planted there without consent. Drunk as an infusion it clears and strengthens mental powers; burned it drives out exorcism herbs at their work.</t>
        </is>
      </c>
      <c r="T43" s="45" t="inlineStr">
        <is>
          <t>Scorpio</t>
        </is>
      </c>
      <c r="U43" t="inlineStr">
        <is>
          <t>None specified — Horehound works primarily in holding and releasing.</t>
        </is>
      </c>
      <c r="V43" t="inlineStr">
        <is>
          <t>Protection, mental powers and healing — the herb that strengthens the mind and guards it.</t>
        </is>
      </c>
      <c r="W43" t="inlineStr">
        <is>
          <t>Exorcism — Horehound burned in exorcism herb blends.</t>
        </is>
      </c>
      <c r="X43" t="inlineStr">
        <is>
          <t>Opens the deeper truth of protection — where what is guarding against sorcery must be seen and named.</t>
        </is>
      </c>
      <c r="Y43" t="inlineStr">
        <is>
          <t>Turns through exorcism and the healing of what was mentally damaged by outside influence.</t>
        </is>
      </c>
      <c r="Z43" t="inlineStr">
        <is>
          <t>The sorcery-guarding herb in its most demanding aspect — where the working requires that the mind be completely clear and completely protected at the same time, horehound is the herb that allows both without compromise.</t>
        </is>
      </c>
    </row>
    <row r="44" ht="183.75" customHeight="1" s="56">
      <c r="A44" s="2" t="inlineStr">
        <is>
          <t>HYSSOP</t>
        </is>
      </c>
      <c r="B44" s="2" t="inlineStr">
        <is>
          <t>ISOPO</t>
        </is>
      </c>
      <c r="C44" s="2" t="inlineStr">
        <is>
          <t>Hyssopus officinalis</t>
        </is>
      </c>
      <c r="D44" s="3" t="inlineStr">
        <is>
          <t>Purification, Self-defence, Protection, Sweeping sacred spaces, Cleansing objects, Home protection, Mind protection, Body protection, Dragon energy, Incense burning,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body and spirit,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Household protection, Healing altars, Home blessing, Ensuring joy in the home, Tranquillity in the home, Blessing guests, Blessing domestic animals, Meditation, Contemplation, Concentration, Focus, Sun God offerings, Solar spells</t>
        </is>
      </c>
      <c r="E44" s="3" t="inlineStr">
        <is>
          <t>JUPITER, ZEUS, CANCER, SAGITTARIUS, PISCES</t>
        </is>
      </c>
      <c r="F44" s="2" t="inlineStr">
        <is>
          <t>JUPITER</t>
        </is>
      </c>
      <c r="G44" s="2" t="inlineStr">
        <is>
          <t>FIRE</t>
        </is>
      </c>
      <c r="H44" s="2" t="inlineStr">
        <is>
          <t>MASCULINE</t>
        </is>
      </c>
      <c r="I44" s="2" t="inlineStr">
        <is>
          <t>THURSDAY</t>
        </is>
      </c>
      <c r="J44" s="2" t="inlineStr">
        <is>
          <t>ZEUS</t>
        </is>
      </c>
      <c r="K44" s="3" t="inlineStr">
        <is>
          <t>LAMMAS, MABON</t>
        </is>
      </c>
      <c r="L44" s="3" t="inlineStr">
        <is>
          <t>Used as air freshener in Renaissance Europe.</t>
        </is>
      </c>
      <c r="M44" s="3" t="inlineStr">
        <is>
          <t>Purification, Self-defence, Protection, Sweeping sacred spaces, Cleansing objects, Home protection, Mind protection, Body protection, Dragon energy, Incense burning</t>
        </is>
      </c>
      <c r="N44" s="3" t="inlineStr">
        <is>
          <t>burning the plant as incense or in a fire.</t>
        </is>
      </c>
      <c r="O44" s="3" t="inlineStr">
        <is>
          <t>Add it into a sachet or water to infuse or sprinkle on people in need of purification. It is also good for use in magical self-defence — carry some in your pocket, or spread it around the perimeter of your property to add a layer of magical protection. Hyssop is a purifying herb, used to sweep sacred spaces. Infused with water, it is sprinkled lightly over objects to cleanse them. The plant cleanses and protects homes from harmful energies when hung at windows or doors, or scattered. It is used in many protection rituals for both the mind and the body. Hyssop is considered to contain dragon energy, and this can be bestowed by burning the plant as incense or in a fire.</t>
        </is>
      </c>
      <c r="P44" s="2" t="inlineStr">
        <is>
          <t>Clove Bud</t>
        </is>
      </c>
      <c r="Q44" s="3" t="inlineStr">
        <is>
          <t>Northern Hemisphere (Heaths, mountains)</t>
        </is>
      </c>
      <c r="R44" s="3" t="inlineStr">
        <is>
          <t>Warning: Avoid during pregnancy. Do not use in large quantities — hyssop oil is toxic if ingested.</t>
        </is>
      </c>
      <c r="S44" s="42" t="inlineStr">
        <is>
          <t>The Renaissance air freshener, the biblical purification herb — sprinkled in the Temple at Jerusalem, used in the Mass, burned in homes for centuries to keep the air holy. A Jupiter and Fire herb that combines the great sky energy with the purifying flame. Self-defence and spiritual cleansing at once.</t>
        </is>
      </c>
      <c r="T44" s="45" t="inlineStr">
        <is>
          <t>Cancer</t>
        </is>
      </c>
      <c r="U44" t="inlineStr">
        <is>
          <t>None specified — Hyssop works primarily in protection and purification.</t>
        </is>
      </c>
      <c r="V44" t="inlineStr">
        <is>
          <t>Protection of home, mind and body — hyssop held in protective sachets and burned at entrances.</t>
        </is>
      </c>
      <c r="W44" t="inlineStr">
        <is>
          <t>Purification — the primary function, the herb that makes a space spiritually clean.</t>
        </is>
      </c>
      <c r="X44" t="inlineStr">
        <is>
          <t>Opens the deeper sacred quality of a space — where what is ordinary must become a place fit for working.</t>
        </is>
      </c>
      <c r="Y44" t="inlineStr">
        <is>
          <t>Turns through purification and the sweeping of sacred spaces — the working begins in cleanliness.</t>
        </is>
      </c>
      <c r="Z44" t="inlineStr">
        <is>
          <t>The self-defence herb in its most complete expression — where the working requires protection from what the self has brought upon itself as much as from what came from outside, hyssop purifies without making exceptions.</t>
        </is>
      </c>
    </row>
    <row r="45" ht="74.25" customHeight="1" s="56">
      <c r="A45" s="4" t="inlineStr">
        <is>
          <t>JASMINE</t>
        </is>
      </c>
      <c r="B45" s="4" t="inlineStr">
        <is>
          <t>MOONLIGHT ON THE GROOVE</t>
        </is>
      </c>
      <c r="C45" s="4" t="inlineStr">
        <is>
          <t>Jasminum sambac</t>
        </is>
      </c>
      <c r="D45" s="5" t="inlineStr">
        <is>
          <t>Snakebite magic, Divination, Charging crystals, Spiritual love, Attracting a soulmate, Wealth, Money, Sleep, Prophetic dreams, New ideas, Enhancing divination, Divinatory incense, Foretelling the future, Future divination, Scrying, Dowsing, Prophecy, Love, Love magick, Love drawing, Attracting love, Love-attracting rituals, Inviting love, Inducing love, Love charms, Love enchantment, Finding love, Romantic love ceremonies, PROMOTE LOVE &amp; AFFECTION, LOVE &amp; PEACE,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Attraction, Attracting a mate, Conjuring a lover, HELP ATTRACT OPPOSITE SEX, Finding future love, Fertility, Female fertility, Fertility magic, Fertility charms, Aiding fertility, Increasing fertility, Fruitfulness, Virility, male virility, Abundant harvest, Prosperity,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Nightmare prevention, Preventing nightmares, Negating dreams, RID OF BAD DREAMS, Nightmares, Rest, Encouraging sound sleep, Invoking dreams, Dream work, Dreams, Visions, Seeing the unseen, Seeing manifestations, Truth, Honesty, Removing deception, Subconscious work, Digging into the subconscious, Uprooting what is hidden, Treasure seeking, Lost object finding, Breaking habits, Breaking bad habits, Ending negative self-talk, Letting go of relationships, Ending guilt, Release, Renewal, New beginnings, New beginning spells, Fresh starts, Transformation, Change, rebirth, Breakthrough, Awakening, Growth, Assisting transformation, Transformation/Evolution</t>
        </is>
      </c>
      <c r="E45" s="5" t="inlineStr">
        <is>
          <t>HESTIA, LUNA, SELENE, CANCER, SCORPIO, PISCES</t>
        </is>
      </c>
      <c r="F45" s="4" t="inlineStr">
        <is>
          <t>MOON</t>
        </is>
      </c>
      <c r="G45" s="4" t="inlineStr">
        <is>
          <t>WATER</t>
        </is>
      </c>
      <c r="H45" s="4" t="inlineStr">
        <is>
          <t>FEMININE</t>
        </is>
      </c>
      <c r="I45" s="4" t="inlineStr">
        <is>
          <t>MONDAY</t>
        </is>
      </c>
      <c r="J45" s="4" t="inlineStr">
        <is>
          <t>LUNA, SELENE</t>
        </is>
      </c>
      <c r="K45" s="5" t="inlineStr">
        <is>
          <t>IMBOLC, SAMHAIN</t>
        </is>
      </c>
      <c r="L45" s="5" t="inlineStr">
        <is>
          <t>None provided.</t>
        </is>
      </c>
      <c r="M45" s="5" t="inlineStr">
        <is>
          <t>Snakebite magic, Divination, Charging crystals, Spiritual love, Attracting a soulmate, Wealth, Money, Sleep, Prophetic dreams, New ideas</t>
        </is>
      </c>
      <c r="N45" s="5" t="inlineStr">
        <is>
          <t>burn the flowers to draw wealth and money.</t>
        </is>
      </c>
      <c r="O45" s="5" t="inlineStr">
        <is>
          <t>Uses include snakebite and divination; good for charging quartz crystals. Use in sachets and spells to draw spiritual love and attract a soul mate. Carry or burn the flowers to draw wealth and money. Use in dream pillows to induce sleep, or burn in the bedroom to bring prophetic dreams. Helps to promote new, innovative ideas.</t>
        </is>
      </c>
      <c r="P45" s="4" t="inlineStr">
        <is>
          <t>Melissa</t>
        </is>
      </c>
      <c r="Q45" s="5" t="inlineStr">
        <is>
          <t>Europe, Asia (Meadows, pastures)</t>
        </is>
      </c>
      <c r="R45" s="5" t="inlineStr">
        <is>
          <t>Generally considered safe for external and ritual use. Jasmine oil should not be ingested.</t>
        </is>
      </c>
      <c r="S45" s="42" t="inlineStr">
        <is>
          <t>Moonlight on the water — its very Ye Olde Name speaks it. The Moon herb that charges crystals, sharpens divination and draws spiritual love and soulmates. Used in snakebite magic in some traditions, suggesting its power at the threshold between life and the underworld, between this world and the dreaming one.</t>
        </is>
      </c>
      <c r="T45" s="45" t="inlineStr">
        <is>
          <t>Cancer</t>
        </is>
      </c>
      <c r="U45" t="inlineStr">
        <is>
          <t>Spiritual love and attracting a soulmate drawn through jasmine's lunar beauty.</t>
        </is>
      </c>
      <c r="V45" t="inlineStr">
        <is>
          <t>None specified.</t>
        </is>
      </c>
      <c r="W45" t="inlineStr">
        <is>
          <t>None specified.</t>
        </is>
      </c>
      <c r="X45" t="inlineStr">
        <is>
          <t>Opens divination and the dreaming mind — jasmine burned before prophetic dream work.</t>
        </is>
      </c>
      <c r="Y45" t="inlineStr">
        <is>
          <t>Turns through the new — new ideas, new beginnings, new loves. The fresh energy jasmine carries into whatever it touches.</t>
        </is>
      </c>
      <c r="Z45" t="inlineStr">
        <is>
          <t>The moonlit flower in its role as the opener of the night's deeper dreaming — where the working asks for the spiritual love that precedes and exceeds physical expression, jasmine is the scent at the threshold of the dream that knows what the dreamer most wants.</t>
        </is>
      </c>
    </row>
    <row r="46" ht="61.5" customHeight="1" s="56">
      <c r="A46" s="2" t="inlineStr">
        <is>
          <t>JUNIPER BERRIES</t>
        </is>
      </c>
      <c r="B46" s="2" t="inlineStr">
        <is>
          <t>GIN BERRY</t>
        </is>
      </c>
      <c r="C46" s="2" t="inlineStr">
        <is>
          <t>Juniperus communis</t>
        </is>
      </c>
      <c r="D46" s="3" t="inlineStr">
        <is>
          <t>Anti-theft, Love, Exorcism, Health, Purification, Protection, Potency, Psychic powers, Attracting love, Preventing theft, Protection against theft, Love magick, Love drawing,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Magical power, Increasing magical power, Increasing spell power, Power amplification, Bolstering spells, Bolstering incense, Strengthening spells, Power, Magic, WISDOM IN MAGICK, defensive magic, Clairvoyance, Enhancing clairvoyance, Psychic development, INCREASE PSYCHIC ABILITIES, Psychic awareness, Stimulating psychic senses, Disabling psychic phenomena, Psychic communication, communication and psychic abilities</t>
        </is>
      </c>
      <c r="E46" s="3" t="inlineStr">
        <is>
          <t>JUPITER, ZEUS</t>
        </is>
      </c>
      <c r="F46" s="2" t="inlineStr">
        <is>
          <t>SUN</t>
        </is>
      </c>
      <c r="G46" s="2" t="inlineStr">
        <is>
          <t>FIRE</t>
        </is>
      </c>
      <c r="H46" s="2" t="inlineStr">
        <is>
          <t>MASCULINE</t>
        </is>
      </c>
      <c r="I46" s="2" t="inlineStr">
        <is>
          <t>Sunday</t>
        </is>
      </c>
      <c r="J46" s="2" t="inlineStr">
        <is>
          <t>ZEUS</t>
        </is>
      </c>
      <c r="K46" s="3" t="inlineStr">
        <is>
          <t>LAMMAS</t>
        </is>
      </c>
      <c r="L46" s="3" t="inlineStr">
        <is>
          <t>Earliest recorded medicinal use in Egyptian papyrus.</t>
        </is>
      </c>
      <c r="M46" s="3" t="inlineStr">
        <is>
          <t>Anti-theft, love, exorcism, and health workings. The herb enhances psychic powers and attracts love.</t>
        </is>
      </c>
      <c r="N46" s="3" t="inlineStr">
        <is>
          <t>burned, is a purifying and protective herb.</t>
        </is>
      </c>
      <c r="O46" s="3" t="inlineStr">
        <is>
          <t>Anti-theft, love, exorcism, and health workings. Juniper, when burned, is a purifying and protective herb. Men can use the berries to increase potency. The herb enhances psychic powers and attracts love.</t>
        </is>
      </c>
      <c r="P46" s="2" t="inlineStr">
        <is>
          <t>Juniper</t>
        </is>
      </c>
      <c r="Q46" s="3" t="inlineStr">
        <is>
          <t>Mediterranean (Sunny dry hillsides)</t>
        </is>
      </c>
      <c r="R46" s="6" t="inlineStr">
        <is>
          <t>Warning: Pregnant women and people with weak kidneys should not use juniper berries.</t>
        </is>
      </c>
      <c r="S46" s="42" t="inlineStr">
        <is>
          <t>One of the oldest medicinal plants in the Egyptian papyrus — the gin berry, the purification berry, the Sun berry used in exorcism since the earliest written record. Grows on dry Mediterranean hillsides where the sun is fierce and the air smells of resin. Anti-theft, potency, psychic sharpening — a compact berry of considerable power.</t>
        </is>
      </c>
      <c r="T46" s="45" t="inlineStr">
        <is>
          <t>Aries, Sagittarius</t>
        </is>
      </c>
      <c r="U46" t="inlineStr">
        <is>
          <t>Love and the drawing of love through juniper's sun energy.</t>
        </is>
      </c>
      <c r="V46" t="inlineStr">
        <is>
          <t>Health and protection — juniper in protective sachets and health workings.</t>
        </is>
      </c>
      <c r="W46" t="inlineStr">
        <is>
          <t>Exorcism and purification — burned to clear space.</t>
        </is>
      </c>
      <c r="X46" t="inlineStr">
        <is>
          <t>Opens psychic powers — sharpens the second sight when burned or carried.</t>
        </is>
      </c>
      <c r="Y46" t="inlineStr">
        <is>
          <t>Turns through exorcism and purification — the spell that clears what was polluted.</t>
        </is>
      </c>
      <c r="Z46" t="inlineStr">
        <is>
          <t>The purification berry in its most thorough function — where the clearing required is of what has been held in the body as well as the space, juniper moves through both. The oldest exorcism berry in the European tradition.</t>
        </is>
      </c>
    </row>
    <row r="47" ht="159.75" customHeight="1" s="56">
      <c r="A47" s="4" t="inlineStr">
        <is>
          <t>LADIES MANTLE</t>
        </is>
      </c>
      <c r="B47" s="4" t="inlineStr">
        <is>
          <t>LION’S FOOT</t>
        </is>
      </c>
      <c r="C47" s="4" t="inlineStr">
        <is>
          <t>Alchemilla vulgaris</t>
        </is>
      </c>
      <c r="D47" s="5" t="inlineStr">
        <is>
          <t>Increasing magical power, Aphrodisiac, Love potions, Love spells, Amulets, Attracting love, Fertility magic, Protection, Finding love, Magical power, Increasing spell power, Power amplification, Bolstering spells, Bolstering incense, Strengthening spells, Potency, Power, Magic, WISDOM IN MAGICK, defensive magic, Aphrodisiac tea, Sensuality, Lust, Lust/Sex, Passionate love-making, LOVING &amp; LUSTFUL ENERGIES, SEX MAGIC, RAISE SEXUAL ENERGY, Sexual energy,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Talismans, Protective sachets, Charm bags, Mojo bags, Sachets, Love, Love magick, Love drawing, Love-attracting rituals, Inviting love, Inducing love, Love charms, Love enchantment,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wreaths, Protective incense, PROTECT AGAINST NEGATIVITY, Protection from negativity, Circle protection</t>
        </is>
      </c>
      <c r="E47" s="5" t="inlineStr">
        <is>
          <t>EARTH AND WATER GODDESSES</t>
        </is>
      </c>
      <c r="F47" s="4" t="inlineStr">
        <is>
          <t>VENUS</t>
        </is>
      </c>
      <c r="G47" s="4" t="inlineStr">
        <is>
          <t>WATER</t>
        </is>
      </c>
      <c r="H47" s="4" t="inlineStr">
        <is>
          <t>FEMININE</t>
        </is>
      </c>
      <c r="I47" s="4" t="inlineStr">
        <is>
          <t>Friday</t>
        </is>
      </c>
      <c r="J47" s="4" t="inlineStr">
        <is>
          <t>ALL</t>
        </is>
      </c>
      <c r="K47" s="5" t="inlineStr">
        <is>
          <t>OSTARA, BELTANE</t>
        </is>
      </c>
      <c r="L47" s="5" t="inlineStr">
        <is>
          <t>Patron herb of Alchemists. Associated with Faery lore and the Goddess.</t>
        </is>
      </c>
      <c r="M47" s="5" t="inlineStr">
        <is>
          <t>Originally an herb of Freya, this herb is used in fertility magic and for protection.</t>
        </is>
      </c>
      <c r="N47" s="5" t="inlineStr">
        <is>
          <t>Increasing magical power, Aphrodisiac, Love potions, Love spells, Amulets</t>
        </is>
      </c>
      <c r="O47" s="5" t="inlineStr">
        <is>
          <t>Lady's Mantle increases the working power of any type of magic. This herb is an aphrodisiac; you can use it in any love potion. Collect the pollen from the flowers, or the roots may be dried and powdered (or, less potently, the leaves dried and powdered) for magical use. Lady's Mantle is used in love spells, potions, and amulets. Carry to attract love. Originally an herb of Freya, this herb is used in fertility magic and for protection. Ritual use: place a single flower in your hair or weave into a crown to find love.</t>
        </is>
      </c>
      <c r="P47" s="4" t="inlineStr">
        <is>
          <t>Ylang Ylang</t>
        </is>
      </c>
      <c r="Q47" s="5" t="inlineStr">
        <is>
          <t>Mediterranean (Woodland edges)</t>
        </is>
      </c>
      <c r="R47" s="5" t="inlineStr">
        <is>
          <t>Generally considered safe for most uses. Avoid excessive internal use during pregnancy.</t>
        </is>
      </c>
      <c r="S47" s="42" t="inlineStr">
        <is>
          <t>The alchemist's herb — the Faery lore patron plant, associated with the hidden feminine wisdom that the alchemists were reaching for in their work. Used in fertility magic and love potions, in the increasing of magical power through Venus's deep water energy. The dew caught in its folded leaves was considered the purest form of the heavenly water.</t>
        </is>
      </c>
      <c r="U47" t="inlineStr">
        <is>
          <t>Love potions, love spells and attracting love — ladies mantle drawn into Venus love work.</t>
        </is>
      </c>
      <c r="V47" t="inlineStr">
        <is>
          <t>Increasing magical power and protection — the herb that amplifies what is already working.</t>
        </is>
      </c>
      <c r="W47" t="inlineStr">
        <is>
          <t>None specified.</t>
        </is>
      </c>
      <c r="X47" t="inlineStr">
        <is>
          <t>Opens the deeper magical power available through Venus and Faery connection.</t>
        </is>
      </c>
      <c r="Y47" t="inlineStr">
        <is>
          <t>Turns through the magical power being increased — what was at one level now moving to another.</t>
        </is>
      </c>
      <c r="Z47" t="inlineStr">
        <is>
          <t>The alchemist's herb of the sacred feminine — patron of those who work the deeper mysteries of desire and fertility together. The dew caught in its folded leaves was the purest aphrodisiac the alchemists knew. Where love must deepen into sacred union, this herb stands at the threshold.</t>
        </is>
      </c>
    </row>
    <row r="48" ht="98.25" customHeight="1" s="56">
      <c r="A48" s="2" t="inlineStr">
        <is>
          <t>LAVENDER FLOWERS</t>
        </is>
      </c>
      <c r="B48" s="2" t="inlineStr">
        <is>
          <t>ELF LEAF</t>
        </is>
      </c>
      <c r="C48" s="2" t="inlineStr">
        <is>
          <t>Lavandula spp.</t>
        </is>
      </c>
      <c r="D48" s="3" t="inlineStr">
        <is>
          <t>Clairvoyance, Cleansing, Consecration, Happiness, Healing, Love, Midsummer magic, Money, Passion, Peace, Peace of mind, Protection, Psychic protection, Purification, Tranquillity, Blessings, Chastity, Divination, Dreams, Energy, Gentleness, Good luck, Grieving, Harmony, Keeping secrets, Magic, Meditation, Memory, Psychic development, Retention, Ritual, Sleep, Stability, Virility, Weddings, Enhancing clairvoyance, Psychic powers, INCREASE PSYCHIC ABILITIES, Psychic awareness, Stimulating psychic senses, Disabling psychic phenomena, Psychic communication, communication and psychic abilities,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Joy, Joyous celebrations, Contentment, Serenity, Ensuring joy in the home, PEACE &amp; HAPPINESS,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Calming, Soothing, Calm, Calmness, Relaxation, Calming energies, Calming the mind, Calming stormy situations, AID MEDITATION,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Contemplation, Concentration, Focus, Sun God offerings, Solar spells, Beltane, Beltane rituals, Beltane celebrations, Summer rituals, Midsummer, Midsummer celebrations, Midsummer rites, Midsummer/Litha rituals, Fertility, Female fertility, Fertility magic, Fertility charms, Aiding fertility, Increasing fertility, Fruitfulness,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Protective charm, Protective charms,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Enhancing divination, Divinatory incense, Foretelling the future, Future divination, Scrying, Dowsing, Prophecy, Prophetic dreams, Invoking dreams, Dream work, Visions, Seeing the unseen, Seeing manifestations, Truth, Honesty, Removing deception, Subconscious work, Digging into the subconscious, Uprooting what is hidden, Treasure seeking, Lost object finding,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Magical power, Increasing magical power, Increasing spell power, Power amplification, Bolstering spells, Bolstering incense, Strengthening spells, Potency, Power, WISDOM IN MAGICK, defensive magic, Wisdom, Knowledge, Intelligence, Intuition, Mental clarity, Sharpening the wits, Sharpening the brain, Mental powers, MEM, Illumination, Enlightenment, Nightmare prevention, Preventing nightmares, Negating dreams, RID OF BAD DREAMS, Nightmares, Rest, Encouraging sound sleep, Hand-fastings, Sacred union rites</t>
        </is>
      </c>
      <c r="E48" s="3" t="inlineStr">
        <is>
          <t>HECATE, SATURN</t>
        </is>
      </c>
      <c r="F48" s="2" t="inlineStr">
        <is>
          <t>MERCURY</t>
        </is>
      </c>
      <c r="G48" s="2" t="inlineStr">
        <is>
          <t>AIR</t>
        </is>
      </c>
      <c r="H48" s="2" t="inlineStr">
        <is>
          <t>FEMININE</t>
        </is>
      </c>
      <c r="I48" s="2" t="inlineStr">
        <is>
          <t>Wednesday</t>
        </is>
      </c>
      <c r="J48" s="2" t="inlineStr">
        <is>
          <t>HECATE</t>
        </is>
      </c>
      <c r="K48" s="3" t="inlineStr">
        <is>
          <t>OSTARA, SAMHAIN</t>
        </is>
      </c>
      <c r="L48" s="3" t="inlineStr">
        <is>
          <t>Attributed to Hecate, Saturn, and snake goddesses.</t>
        </is>
      </c>
      <c r="M48" s="3" t="inlineStr">
        <is>
          <t>Use in workings of clairvoyance, cleansing, consecration, happiness, healing, love, Midsummer magic, money, passion, peace, peace of mind, protection, psychic protection, and purification. Other magical uses: tranquillity, blessings, chastity, divination, dreams, energy, gentleness, good luck, grieving, harmony, keeping secrets, increasing the dura</t>
        </is>
      </c>
      <c r="N48" s="3" t="inlineStr">
        <is>
          <t>Use in workings of clairvoyance, cleansing, consecration, happiness, healing, love, Midsummer magic, money, passion, peace, peace of mind, protection, psychic protection, and purification. Other magical uses: tranquillity, blessings, chastity, divination, dreams, energy, gentleness, good luck, grieving, harmony, keeping secrets, increasing the dura</t>
        </is>
      </c>
      <c r="O48" s="3" t="inlineStr">
        <is>
          <t>Use in workings of clairvoyance, cleansing, consecration, happiness, healing, love, Midsummer magic, money, passion, peace, peace of mind, protection, psychic protection, and purification. Other magical uses: tranquillity, blessings, chastity, divination, dreams, energy, gentleness, good luck, grieving, harmony, keeping secrets, increasing the duration of a spell, meditation, memory, psychic development, retention, ritual, sleep, stability, virility, and weddings.</t>
        </is>
      </c>
      <c r="P48" s="2" t="inlineStr">
        <is>
          <t>Lavender</t>
        </is>
      </c>
      <c r="Q48" s="3" t="inlineStr">
        <is>
          <t>South America (Subtropical shrublands)</t>
        </is>
      </c>
      <c r="R48" s="3" t="inlineStr">
        <is>
          <t>Generally considered safe. Avoid ingesting the essential oil. May cause skin irritation in sensitive individuals.</t>
        </is>
      </c>
      <c r="S48" s="42" t="inlineStr">
        <is>
          <t>The Elf Leaf attributed to Hecate, Saturn and the snake goddesses — a herb of contradictions that resolves them all. South American in origin but utterly European in association now. Clears, consecrates, draws love, heals, sharpens clairvoyance and induces sleep in the same handful. The most useful herb in any working.</t>
        </is>
      </c>
      <c r="T48" s="45" t="inlineStr">
        <is>
          <t>Gemini, Leo</t>
        </is>
      </c>
      <c r="U48" t="inlineStr">
        <is>
          <t>Happiness, love, passion, peace, good luck and harmony drawn through lavender's gentle balance.</t>
        </is>
      </c>
      <c r="V48" t="inlineStr">
        <is>
          <t>Healing, protection and psychic protection — lavender held in protective and healing sachets.</t>
        </is>
      </c>
      <c r="W48" t="inlineStr">
        <is>
          <t>Purification — burned, strewn, used in cleansing baths.</t>
        </is>
      </c>
      <c r="X48" t="inlineStr">
        <is>
          <t>Opens clairvoyance and the quiet of divination — burned before any reading or psychic work.</t>
        </is>
      </c>
      <c r="Y48" t="inlineStr">
        <is>
          <t>Turns through cleansing and healing — what was turbulent made peaceful, what was ill made well.</t>
        </is>
      </c>
      <c r="Z48" t="inlineStr">
        <is>
          <t>The sacred union herb in the older ceremonies — lavender carried into the marriage bed as a blessing. Where desire and consecration meet in the same working, lavender holds them both.</t>
        </is>
      </c>
    </row>
    <row r="49" ht="195.75" customHeight="1" s="56">
      <c r="A49" s="4" t="inlineStr">
        <is>
          <t>LEMON BALM</t>
        </is>
      </c>
      <c r="B49" s="4" t="inlineStr">
        <is>
          <t>BEE BALM</t>
        </is>
      </c>
      <c r="C49" s="4" t="inlineStr">
        <is>
          <t>Melissa officinalis</t>
        </is>
      </c>
      <c r="D49" s="5" t="inlineStr">
        <is>
          <t>Love, Healing, Clairvoyance, Prosperity, Contacting planes, Spirit offerings, Happiness, Fertility,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Stimulating psychic senses, Disabling psychic phenomena, Psychic communication, communication and psychic abilities,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Joy, Joyous celebrations, Contentment</t>
        </is>
      </c>
      <c r="E49" s="5" t="inlineStr">
        <is>
          <t>Jupiter, Diana, Cybele, Ceres</t>
        </is>
      </c>
      <c r="F49" s="4" t="inlineStr">
        <is>
          <t>Moon, Neptune</t>
        </is>
      </c>
      <c r="G49" s="4" t="inlineStr">
        <is>
          <t>Water</t>
        </is>
      </c>
      <c r="H49" s="4" t="inlineStr">
        <is>
          <t>FEMININE</t>
        </is>
      </c>
      <c r="I49" s="4" t="inlineStr">
        <is>
          <t>Not specified</t>
        </is>
      </c>
      <c r="J49" s="4" t="inlineStr">
        <is>
          <t>DIANA, CYBELE, CERES</t>
        </is>
      </c>
      <c r="K49" s="5" t="inlineStr">
        <is>
          <t>LITHA</t>
        </is>
      </c>
      <c r="L49" s="5" t="inlineStr">
        <is>
          <t>Not specified</t>
        </is>
      </c>
      <c r="M49" s="5" t="inlineStr">
        <is>
          <t>Love, success, healing, and psychic work. Used to attract love and uplift spirits; strengthens the mind and eases anxiety in ritual.</t>
        </is>
      </c>
      <c r="N49" s="5" t="inlineStr">
        <is>
          <t>burned as offertory incense to matriarchal goddesses.</t>
        </is>
      </c>
      <c r="O49" s="5" t="inlineStr">
        <is>
          <t>Lemon balm is usually employed as a tea for the creation of love potions and philtres, or dried and burned as offertory incense to matriarchal goddesses. Incense made from lemon balm is also used by shamans and mediums to evoke a stronger connection to the spirit world, or to call upon ghosts and other otherworldly entities. It can sometimes be employed for spell works that evoke fertility, progress, fortune, or growth. Use lemon balm as a healing and restorative smudge or draught after break-ups and other painful experiences, to help ease the transition of painful emotions and to welcome more constructive, positive ones.</t>
        </is>
      </c>
      <c r="P49" s="4" t="inlineStr">
        <is>
          <t>Lemon</t>
        </is>
      </c>
      <c r="Q49" s="5" t="inlineStr">
        <is>
          <t>Southeast Asia (Tropical regions)</t>
        </is>
      </c>
      <c r="R49" s="6" t="inlineStr">
        <is>
          <t>Warning: Pregnant and breastfeeding women should avoid it. May interact with thyroid medications.</t>
        </is>
      </c>
      <c r="S49" s="42" t="inlineStr">
        <is>
          <t>The Moon and Neptune herb of uplift — used to attract love and lift the spirit, to strengthen the mind and ease anxiety in ritual. The bee balm that draws sweetness to a working. Its scent alone is medicine for the mind.</t>
        </is>
      </c>
      <c r="T49" s="45" t="inlineStr">
        <is>
          <t>Cancer</t>
        </is>
      </c>
      <c r="U49" t="inlineStr">
        <is>
          <t>Love drawn and spirits lifted — lemon balm in love and happiness workings.</t>
        </is>
      </c>
      <c r="V49" t="inlineStr">
        <is>
          <t>Healing and the strengthening of mind — lemon balm held in healing sachets.</t>
        </is>
      </c>
      <c r="W49" t="inlineStr">
        <is>
          <t>None specified.</t>
        </is>
      </c>
      <c r="X49" t="inlineStr">
        <is>
          <t>Opens psychic work and the dreaming mind — used where the veil between ordinary thought and deeper perception must thin.</t>
        </is>
      </c>
      <c r="Y49" t="inlineStr">
        <is>
          <t>Turns through success and the healing of anxiety — where what was blocked in the mind is now gently released.</t>
        </is>
      </c>
      <c r="Z49" t="inlineStr">
        <is>
          <t>The lunar uplift herb in its role as the healer of what love has left behind — where the working is about recovering the capacity to feel what has been closed down by experience, lemon balm tends the place where the heart learned to protect itself.</t>
        </is>
      </c>
    </row>
    <row r="50" ht="171.75" customHeight="1" s="56">
      <c r="A50" s="2" t="inlineStr">
        <is>
          <t>LEMON VERBENA</t>
        </is>
      </c>
      <c r="B50" s="2" t="inlineStr">
        <is>
          <t>HERB LOUISE</t>
        </is>
      </c>
      <c r="C50" s="2" t="inlineStr">
        <is>
          <t>Aloysia citrodora</t>
        </is>
      </c>
      <c r="D50" s="3" t="inlineStr">
        <is>
          <t>Breaking bad habits, Purifying body and mind, Cleansing space, Removing negative energy, Inner child connection, Creativity, Earth festivals, Love philtres, Sacred union rites, Astral travel, Prophetic dreams, Breaking habits, Ending negative self-talk, Letting go of relationships, Ending guilt, Release, Renewal, New beginnings, New beginning spells, Fresh starts, Transformation, Change, rebirth, Breakthrough, Awakening, Growth, New ideas, Assisting transformation, Transformation/Evolution, Banishing, Banishing negative energies, Banishing smudge, Banishing pesky spirits, Banishing unwanted energies, Casting away evil spirits, Repelling negativity, Driving away negativity, Removing negative spirits, Removing residual energies, Clearing negativity, Removing negativity, Keeping away negative forces, Exorcism, Exorcisms, Exorcism herb scattering, Exorcising demons, Exorcising evil ghosts, Exorcising evil entities, EXC, Cleansing, Cleansing the aura, Cleansing baths, Cleansing tools, Cleansing the home, Pre-ritual cleansing, Removing dark energies, Clearing aura attachments, Cleansing atmospheres, Cleansing objects, Cleansing body and spirit, Sweeping sacred spaces, Cleansing ritual areas, Cleansing negativity, Ritual baths, Ritual bath, Cleansing before ritual, Imbolc/Ostara, Imbolc, Imbolc rites, Ostara, Ostara rites, Spring rituals, Spring festivals, Spring Equinox rites, Spring/Imbolc/Ostara/Beltane, Spring tonic, Weddings, Hand-fastings, Love, Love magick, Love drawing, Attracting love, Love-attracting rituals, Inviting love, Inducing love, Love charms, Love enchantment, Finding love, Romantic love ceremonies, PROMOTE LOVE &amp; AFFECTION, LOVE &amp; PEACE, Spiritual love, Love rituals, Star magick, Moon magic, Astral projection,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Invoking dreams, Dream work, Dreams, Visions, Seeing the unseen, Seeing manifestations, Truth, Honesty, Removing deception, Subconscious work, Digging into the subconscious, Uprooting what is hidden, Scrying, Dowsing, Treasure seeking, Lost object finding</t>
        </is>
      </c>
      <c r="E50" s="3" t="inlineStr">
        <is>
          <t>HERMES, MERCURY, GEMINI, VIRGO</t>
        </is>
      </c>
      <c r="F50" s="2" t="inlineStr">
        <is>
          <t>MERCURY</t>
        </is>
      </c>
      <c r="G50" s="2" t="inlineStr">
        <is>
          <t>AIR</t>
        </is>
      </c>
      <c r="H50" s="2" t="inlineStr">
        <is>
          <t>MASCULINE</t>
        </is>
      </c>
      <c r="I50" s="2" t="inlineStr">
        <is>
          <t>WEDNESDAY</t>
        </is>
      </c>
      <c r="J50" s="2" t="inlineStr">
        <is>
          <t>AMATERASU, ARADIA, CYBELE, CERES, DIANA, JANA</t>
        </is>
      </c>
      <c r="K50" s="3" t="inlineStr">
        <is>
          <t>LITHA</t>
        </is>
      </c>
      <c r="L50" s="3" t="inlineStr">
        <is>
          <t>Traditional luck herb. Ability to convert bad luck to good.</t>
        </is>
      </c>
      <c r="M50" s="3" t="inlineStr">
        <is>
          <t>creative endeavours and for festivals that celebrate the gifts of Mother Earth.</t>
        </is>
      </c>
      <c r="N50" s="3" t="inlineStr">
        <is>
          <t>Lemon verbena is known and used in spells to break bad habits, purify the body and mind, and cleanse your space and remove negative energy or malevolent spells due to its camphor content.</t>
        </is>
      </c>
      <c r="O50" s="3" t="inlineStr">
        <is>
          <t>Lemon verbena is known and used in spells to break bad habits, purify the body and mind, and cleanse your space and remove negative energy or malevolent spells due to its camphor content. Its purifying effects as an herb are mild and you are best advised to use it with a mixture of purifying herbs, oils, and resins such as myrrh, rue, sandalwood, gardenia, sage, and frankincense. Lemon verbena is well suited to connecting with the inner child. It opens the mind to experiencing familiar things in a new light. It can be used for creative endeavours and for festivals that celebrate the gifts of Mother Earth. It may be included in love philtres and potions and for rites of sacred union. It may also be used for astral travel and prophetic dreams.</t>
        </is>
      </c>
      <c r="P50" s="2" t="inlineStr">
        <is>
          <t>Lemon</t>
        </is>
      </c>
      <c r="Q50" s="3" t="inlineStr">
        <is>
          <t>Europe (Temperate deciduous forests)</t>
        </is>
      </c>
      <c r="R50" s="3" t="inlineStr">
        <is>
          <t>Generally safe for culinary and ritual use. May cause photosensitivity with prolonged skin contact.</t>
        </is>
      </c>
      <c r="S50" s="42" t="inlineStr">
        <is>
          <t>The traditional luck herb that turns bad luck to good — grown in European deciduous forests, used in astral travel, sacred union rites and the breaking of bad habits. A Mercury herb for all the quicksilver work of the mind: what must change quickly, what must be purified now, what inner child material must be met.</t>
        </is>
      </c>
      <c r="T50" s="45" t="inlineStr">
        <is>
          <t>Leo</t>
        </is>
      </c>
      <c r="U50" t="inlineStr">
        <is>
          <t>Love philtres drawn through lemon verbena's Venus association.</t>
        </is>
      </c>
      <c r="V50" t="inlineStr">
        <is>
          <t>None specified.</t>
        </is>
      </c>
      <c r="W50" t="inlineStr">
        <is>
          <t>Breaking bad habits and purifying body and mind — lemon verbena's primary release function.</t>
        </is>
      </c>
      <c r="X50" t="inlineStr">
        <is>
          <t>Opens prophetic dreams and astral travel — where the spirit must leave the body and find what it is looking for.</t>
        </is>
      </c>
      <c r="Y50" t="inlineStr">
        <is>
          <t>Turns through cleansing and the removal of negative energy — the luck turned from bad to good.</t>
        </is>
      </c>
      <c r="Z50" t="inlineStr">
        <is>
          <t>The herb of the sacred union rite — used in ceremonies where two are joined not just in word but in the full meaning of the crossing. The quick Mercury herb that clears the way for what must be entered into with complete willingness.</t>
        </is>
      </c>
    </row>
    <row r="51" ht="98.25" customHeight="1" s="56">
      <c r="A51" s="4" t="inlineStr">
        <is>
          <t>LEMONGRASS</t>
        </is>
      </c>
      <c r="B51" s="4" t="inlineStr">
        <is>
          <t>SWEET RUSH</t>
        </is>
      </c>
      <c r="C51" s="4" t="inlineStr">
        <is>
          <t>Cymbopogon citratus</t>
        </is>
      </c>
      <c r="D51" s="5" t="inlineStr">
        <is>
          <t>Offerings to forest spirits, Offerings to gods, Warding off illness, Warding off hexes, Smudging, Pre-ritual cleansing,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Warding off evil,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Removing dark energies, Clearing aura attachments, Cleansing atmospheres, Cleansing objects, Cleansing body and spirit, Sweeping sacred spaces, Cleansing ritual areas, Cleansing negativity, Ritual baths, Ritual bath, Cleansing before ritual, Purifying body and mind</t>
        </is>
      </c>
      <c r="E51" s="5" t="inlineStr">
        <is>
          <t>Not specified</t>
        </is>
      </c>
      <c r="F51" s="4" t="inlineStr">
        <is>
          <t>Not specified</t>
        </is>
      </c>
      <c r="G51" s="4" t="inlineStr">
        <is>
          <t>Air</t>
        </is>
      </c>
      <c r="H51" s="4" t="inlineStr">
        <is>
          <t>Masculine</t>
        </is>
      </c>
      <c r="I51" s="4" t="inlineStr">
        <is>
          <t>Not specified</t>
        </is>
      </c>
      <c r="J51" s="4" t="inlineStr">
        <is>
          <t>AMATERASU</t>
        </is>
      </c>
      <c r="K51" s="5" t="inlineStr">
        <is>
          <t>LITHA</t>
        </is>
      </c>
      <c r="L51" s="5" t="inlineStr">
        <is>
          <t>In Hoodoo used to ward off evil and bring good luck.</t>
        </is>
      </c>
      <c r="M51" s="5" t="inlineStr">
        <is>
          <t>Offerings to forest spirits, Offerings to gods, Warding off illness, Warding off hexes, Smudging, Pre-ritual cleansing</t>
        </is>
      </c>
      <c r="N51" s="5" t="inlineStr">
        <is>
          <t>burned by shamans as an offering to forest spirits or as an offering to gods.</t>
        </is>
      </c>
      <c r="O51" s="5" t="inlineStr">
        <is>
          <t>Dried lemongrass leaves are burned by shamans as an offering to forest spirits or as an offering to gods. Dried lemongrass may also be used as an incense wafted around to help ward off illness or hexes, and can double as a smudging herb to cleanse one's person prior to initiating any ritualistic activity.</t>
        </is>
      </c>
      <c r="P51" s="4" t="inlineStr">
        <is>
          <t>Lemon Grass</t>
        </is>
      </c>
      <c r="Q51" s="5" t="inlineStr">
        <is>
          <t>Middle East, Mediterranean (Cultivated)</t>
        </is>
      </c>
      <c r="R51" s="6" t="inlineStr">
        <is>
          <t>Warning: People with hypoglycemia or hypotension should use with care.</t>
        </is>
      </c>
      <c r="S51" s="42" t="inlineStr">
        <is>
          <t>The Hoodoo ward herb — used to ward off evil and bring good luck, burned in pre-ritual cleansing to clear what would interfere with the working. Offered to forest spirits and the gods before beginning serious work. The clearing breath before the first word is spoken.</t>
        </is>
      </c>
      <c r="T51" s="45" t="inlineStr">
        <is>
          <t>Leo</t>
        </is>
      </c>
      <c r="U51" t="inlineStr">
        <is>
          <t>None specified — lemongrass works primarily in protection and clearing.</t>
        </is>
      </c>
      <c r="V51" t="inlineStr">
        <is>
          <t>Warding off illness and hexes — the protective burning herb.</t>
        </is>
      </c>
      <c r="W51" t="inlineStr">
        <is>
          <t>None specified.</t>
        </is>
      </c>
      <c r="X51" t="inlineStr">
        <is>
          <t>Opens the way for offerings to forest spirits — the clearing smoke that invites divine presence.</t>
        </is>
      </c>
      <c r="Y51" t="inlineStr">
        <is>
          <t>Turns through pre-ritual cleansing — what was ordinary now prepared for what is sacred.</t>
        </is>
      </c>
      <c r="Z51" t="inlineStr">
        <is>
          <t>The pre-ritual clearing herb in its Over 18 function — where what must be cleared before the working can begin includes whatever was carried in from outside the sacred space. The herb that asks for genuine presence before anything else is offered.</t>
        </is>
      </c>
    </row>
    <row r="52" ht="195.75" customHeight="1" s="56">
      <c r="A52" s="2" t="inlineStr">
        <is>
          <t>LINDEN</t>
        </is>
      </c>
      <c r="B52" s="2" t="inlineStr">
        <is>
          <t>LIME TREE</t>
        </is>
      </c>
      <c r="C52" s="2" t="inlineStr">
        <is>
          <t>Tilia europaea</t>
        </is>
      </c>
      <c r="D52" s="3" t="inlineStr">
        <is>
          <t>Love, creativity, enlightenment, healing, enchantments, prosperity, peace, luck, protection, binding spells, contacting other planes,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52" s="3" t="inlineStr">
        <is>
          <t>APHRODITE, ARIARHOD</t>
        </is>
      </c>
      <c r="F52" s="2" t="inlineStr">
        <is>
          <t>JUPITER</t>
        </is>
      </c>
      <c r="G52" s="2" t="inlineStr">
        <is>
          <t>AIR</t>
        </is>
      </c>
      <c r="H52" s="2" t="inlineStr">
        <is>
          <t>FEMININE</t>
        </is>
      </c>
      <c r="I52" s="2" t="inlineStr">
        <is>
          <t>Thursday</t>
        </is>
      </c>
      <c r="J52" s="2" t="inlineStr">
        <is>
          <t>APHRODITE</t>
        </is>
      </c>
      <c r="K52" s="3" t="inlineStr">
        <is>
          <t>LAMMAS, MABON</t>
        </is>
      </c>
      <c r="L52" s="3" t="inlineStr">
        <is>
          <t>In European folklore, the linden tree was sacred and considered a place of communal gathering and justice. In Germanic tradition it was the tree of Freya and associated with love and fidelity. Couples would meet beneath linden trees to settle disputes. The tree was believed to ward off evil and lightning.</t>
        </is>
      </c>
      <c r="M52" s="3" t="inlineStr">
        <is>
          <t>creative endeavours, enlightenment, love attraction, healing, and enchantments.</t>
        </is>
      </c>
      <c r="N52" s="3" t="inlineStr">
        <is>
          <t>Used in rituals for love attraction and creative inspiration. Burned as incense during meditation and enlightenment ceremonies.</t>
        </is>
      </c>
      <c r="O52" s="3" t="inlineStr">
        <is>
          <t>Linden wood is laden with the power of attraction that underlies not only love, infatuation, and harmony, but also the very fabric of the material cosmos in forces such as magnetism, adhesion, and gravity. Linden is excellent for carving and capable of supporting fine details. It is especially suited to star magic, spells of creation and transmutation, illumination, love, attraction, healing, enhancement of beauty and peace, and acts of enchantment. Wands made from linden are used for creative endeavours, enlightenment, love attraction, healing, and enchantments. It is said to be protective and useful in magic to do with love and luck. The bark of the linden carried prevents intoxication, while the leaves and flowers are used in love spells. Hang branches over an entry door for protection or grow in the garden to entice elemental spirits.</t>
        </is>
      </c>
      <c r="P52" s="2" t="inlineStr">
        <is>
          <t>Honeysuckle</t>
        </is>
      </c>
      <c r="Q52" s="3" t="inlineStr">
        <is>
          <t>Mediterranean (Open ground)</t>
        </is>
      </c>
      <c r="R52" s="3" t="inlineStr">
        <is>
          <t>Warning: Excessive use of linden tea may cause heart damage. Use in moderation.</t>
        </is>
      </c>
      <c r="S52" s="42" t="inlineStr">
        <is>
          <t>The sacred tree of European folklore — the linden was considered the most sacred tree in many Central European traditions, planted at the centre of villages, used for the meeting of elders under its canopy. A Jupiter and Air herb of love, enlightenment, prosperity and the binding of spells. Where peace is needed between people, linden is used.</t>
        </is>
      </c>
      <c r="T52" s="45" t="inlineStr">
        <is>
          <t>Taurus</t>
        </is>
      </c>
      <c r="U52" t="inlineStr">
        <is>
          <t>Love, prosperity and peace drawn — the village tree's long association with community harmony.</t>
        </is>
      </c>
      <c r="V52" t="inlineStr">
        <is>
          <t>Healing and protection — linden in healing sachets and binding spells.</t>
        </is>
      </c>
      <c r="W52" t="inlineStr">
        <is>
          <t>None specified.</t>
        </is>
      </c>
      <c r="X52" t="inlineStr">
        <is>
          <t>Opens the way to enlightenment and the contacting of other planes — where deep knowledge is being sought.</t>
        </is>
      </c>
      <c r="Y52" t="inlineStr">
        <is>
          <t>Turns through the healing and creative energy that linden channels — the old sacred tree offering its long wisdom.</t>
        </is>
      </c>
      <c r="Z52" t="inlineStr">
        <is>
          <t>The sacred village tree in its most complete community function — where the working is about what is owed between people who have made commitments to each other, linden is the witness that was there when the promise was made.</t>
        </is>
      </c>
    </row>
    <row r="53" ht="208.5" customHeight="1" s="56">
      <c r="A53" s="4" t="inlineStr">
        <is>
          <t>LINSEED</t>
        </is>
      </c>
      <c r="B53" s="4" t="inlineStr">
        <is>
          <t>FLAX</t>
        </is>
      </c>
      <c r="C53" s="4" t="inlineStr">
        <is>
          <t>Linum usitatissimum</t>
        </is>
      </c>
      <c r="D53" s="5" t="inlineStr">
        <is>
          <t>Increasing wealth, Protecting against poverty, Protection (hexes/evil), Attracting money, Warding off poverty, Preventing evil from entering, Healing rituals, Healing mixtures, Money spells, Prosperity rituals, Protection while asleep,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Money, Drawing money, INCREASE MONEY, Breaking financial stagnation, Money mixtures,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Healing, Healing magic, Healing spells, Healing sachets, Healing incenses, Healing incense, Healing vibrations, healing after surgery, Aiding recovery, Aiding the ill, Improving health, Speeding recovery, Good health, health</t>
        </is>
      </c>
      <c r="E53" s="5" t="inlineStr">
        <is>
          <t>FRIGGA, HERMES, PERSEPHONE, GEMINI, VIRGO</t>
        </is>
      </c>
      <c r="F53" s="4" t="inlineStr">
        <is>
          <t>MERCURY</t>
        </is>
      </c>
      <c r="G53" s="4" t="inlineStr">
        <is>
          <t>FIRE</t>
        </is>
      </c>
      <c r="H53" s="4" t="inlineStr">
        <is>
          <t>MASCULINE</t>
        </is>
      </c>
      <c r="I53" s="4" t="inlineStr">
        <is>
          <t>WEDNESDAY</t>
        </is>
      </c>
      <c r="J53" s="4" t="inlineStr">
        <is>
          <t>PERSEPHONE</t>
        </is>
      </c>
      <c r="K53" s="5" t="inlineStr">
        <is>
          <t>OSTARA, MABON</t>
        </is>
      </c>
      <c r="L53" s="5" t="inlineStr">
        <is>
          <t>Used in rituals to Hulda, a Teutonic Goddess.</t>
        </is>
      </c>
      <c r="M53" s="5" t="inlineStr">
        <is>
          <t>Increasing wealth, Protecting against poverty, Protection against s, cery, Attracting money, Warding off poverty, Preventing evil from entering, Healing rituals, Healing mixtures, Money spells</t>
        </is>
      </c>
      <c r="N53" s="5" t="inlineStr">
        <is>
          <t>altar while performing healing rituals and add them to healing mixtures.</t>
        </is>
      </c>
      <c r="O53" s="5" t="inlineStr">
        <is>
          <t>Flax seeds are often used as a symbol for money in charms, such as putting flax seeds in one's wallet to increase wealth, or in one's shoe to protect against poverty. The blue flax flowers are used to protect against sorcery. Flax seeds were used to attract money by placing the seeds in a jar with a few coins. A mixture of flax seeds and red pepper kept in a box in the home has been said to prevent evil from entering. Sprinkle flax seeds on the altar while performing healing rituals and add them to healing mixtures. Use in money spells. Place a few seeds in your wallet, purse, or pocket to attract money. For protection while asleep, mix equal parts of flax seed and mustard seed and keep the mixture next to the bed.</t>
        </is>
      </c>
      <c r="P53" s="4" t="inlineStr">
        <is>
          <t>Sandalwood w.i.</t>
        </is>
      </c>
      <c r="Q53" s="5" t="inlineStr">
        <is>
          <t>Europe, Asia (Damp meadows)</t>
        </is>
      </c>
      <c r="R53" s="5" t="inlineStr">
        <is>
          <t>Generally safe in moderate amounts. Drink plenty of water when using internally. Avoid if bowel obstruction suspected.</t>
        </is>
      </c>
      <c r="S53" s="42" t="inlineStr">
        <is>
          <t>The Teutonic Goddess Hulda's herb — used in rituals to the Germanic deity who governed flax spinning, winter and the hidden underworld. A fire and Mercury herb of increasing wealth and the protection of what is built. Used in money spells where the growth of prosperity must be steady and long-term.</t>
        </is>
      </c>
      <c r="U53" t="inlineStr">
        <is>
          <t>Attracting money and prosperity rituals drawn through linseed's Mercury energy.</t>
        </is>
      </c>
      <c r="V53" t="inlineStr">
        <is>
          <t>Protecting against poverty and warding off poverty — the herb that guards what has been earned.</t>
        </is>
      </c>
      <c r="W53" t="inlineStr">
        <is>
          <t>None specified.</t>
        </is>
      </c>
      <c r="X53" t="inlineStr">
        <is>
          <t>Opens the deeper pattern of wealth — where what is blocking financial growth must be seen.</t>
        </is>
      </c>
      <c r="Y53" t="inlineStr">
        <is>
          <t>Turns through healing ritual after financial difficulty — the slow, patient restoration of what was depleted.</t>
        </is>
      </c>
      <c r="Z53" t="inlineStr">
        <is>
          <t>The Hulda herb in its most direct prosperity function — where the working must draw what is needed from below, as roots draw from the earth, linseed carries the persistent underground energy that does not stop until what was needed has arrived.</t>
        </is>
      </c>
    </row>
    <row r="54" ht="171.75" customHeight="1" s="56">
      <c r="A54" s="2" t="inlineStr">
        <is>
          <t>MARIGOLD</t>
        </is>
      </c>
      <c r="B54" s="2" t="inlineStr">
        <is>
          <t>BRIDEWORT</t>
        </is>
      </c>
      <c r="C54" s="2" t="inlineStr">
        <is>
          <t>Calendula officinalis</t>
        </is>
      </c>
      <c r="D54" s="3" t="inlineStr">
        <is>
          <t>Increasing potency of amulets, Increasing potency of talismans, Prophetic dreams, Protection (fire elementals), Legal matters, Courtroom success, Improving charisma, Improving charm, Gaining dominant roles, Gaining powerful roles, Invoking dreams, Dream work, Dreams, Visions, Seeing the unseen, Seeing manifestations, Truth, Honesty, Removing deception, Subconscious work, Digging into the subconscious, Uprooting what is hidden, Scrying, Dowsing, Treasure seeking, Lost object finding, Success, Victory, victory in battle, Conquest, Overcoming opposition, Justice</t>
        </is>
      </c>
      <c r="E54" s="3" t="inlineStr">
        <is>
          <t>Xochiquetzal, Mary</t>
        </is>
      </c>
      <c r="F54" s="2" t="inlineStr">
        <is>
          <t>SUN</t>
        </is>
      </c>
      <c r="G54" s="2" t="inlineStr">
        <is>
          <t>FIRE</t>
        </is>
      </c>
      <c r="H54" s="2" t="inlineStr">
        <is>
          <t>MASCULINE</t>
        </is>
      </c>
      <c r="I54" s="2" t="inlineStr">
        <is>
          <t>Sunday</t>
        </is>
      </c>
      <c r="J54" s="2" t="inlineStr">
        <is>
          <t>ALL</t>
        </is>
      </c>
      <c r="K54" s="3" t="inlineStr">
        <is>
          <t>LITHA, YULE</t>
        </is>
      </c>
      <c r="L54" s="3" t="inlineStr">
        <is>
          <t>Powerful protective herb. Garlands hung on doorways to prevent evil.</t>
        </is>
      </c>
      <c r="M54" s="3" t="inlineStr">
        <is>
          <t>Increasing potency of amulets, Increasing potency of talismans, Prophetic dreams, Protection (fire elementals), Legal matters, Courtroom success, Improving charisma, Improving charm, Gaining dominant roles, Gaining powerful roles</t>
        </is>
      </c>
      <c r="N54" s="3" t="inlineStr">
        <is>
          <t>Used in Samhain and Day of the Dead rituals to honour ancestors. Placed on altars as offerings; used to consecrate sacred tools.</t>
        </is>
      </c>
      <c r="O54" s="3" t="inlineStr">
        <is>
          <t>Calendula may help to increase the potency of amulets or talismans if employed in consecration, while its petals made into a sachet and placed beneath a pillow are said to bring about prophetic dreams. The seeds of the calendula are typically associated with protective properties sympathetic to fire elementals. When carried in a mojo bag or medicine pouch, it is said to help in all legal matters, especially if carried into a courtroom during a hearing. Bathing in water infused with calendula is said to help improve one's charisma and charm, and it may have been employed to this effect by leaders or individuals who wished to obtain dominant or powerful roles in their respective fields.</t>
        </is>
      </c>
      <c r="P54" s="2" t="inlineStr">
        <is>
          <t>Cedarwood</t>
        </is>
      </c>
      <c r="Q54" s="3" t="inlineStr">
        <is>
          <t>Europe (Woodland edges, gardens)</t>
        </is>
      </c>
      <c r="R54" s="6" t="inlineStr">
        <is>
          <t>Warning: Individuals can have allergic reactions. Pregnant women should avoid internal use.</t>
        </is>
      </c>
      <c r="S54" s="42" t="inlineStr">
        <is>
          <t>The powerful protective herb hung in doorway garlands to prevent entry of negative forces — its golden flowers echo the Sun and carry its guardian energy into the home. Sacred to the legal and justice traditions as much as the magical one — used in courtroom spells for success, carried to improve charisma and gain dominant roles.</t>
        </is>
      </c>
      <c r="T54" s="45" t="inlineStr">
        <is>
          <t>Leo</t>
        </is>
      </c>
      <c r="U54" t="inlineStr">
        <is>
          <t>Courtroom success drawn through marigold's solar fire energy.</t>
        </is>
      </c>
      <c r="V54" t="inlineStr">
        <is>
          <t>Protection — fire elemental protection, the gold guardian at the gate.</t>
        </is>
      </c>
      <c r="W54" t="inlineStr">
        <is>
          <t>None specified.</t>
        </is>
      </c>
      <c r="X54" t="inlineStr">
        <is>
          <t>Opens prophetic dreams — marigold placed on the pillow or burned as incense before sleep.</t>
        </is>
      </c>
      <c r="Y54" t="inlineStr">
        <is>
          <t>Turns through the winning of what was contested — the legal matter resolved, the challenge met.</t>
        </is>
      </c>
      <c r="Z54" t="inlineStr">
        <is>
          <t>The legal and potency herb in its most assertive aspect — where the working requires that the full force of what is being claimed must be backed by everything that can be called upon, marigold increases the potency of everything it enters.</t>
        </is>
      </c>
    </row>
    <row r="55" ht="195.75" customHeight="1" s="56">
      <c r="A55" s="4" t="inlineStr">
        <is>
          <t>MEADOW SWEET</t>
        </is>
      </c>
      <c r="B55" s="4" t="inlineStr">
        <is>
          <t>GRAVELROOT</t>
        </is>
      </c>
      <c r="C55" s="4" t="inlineStr">
        <is>
          <t>Filipendula ulmaria</t>
        </is>
      </c>
      <c r="D55" s="5" t="inlineStr">
        <is>
          <t>Love, divination, peace, happiness, and Midsummer rituals. Strew across floors for joy and peace in the home. Use in Midsummer/Litha incense blends. Carry to attract love and promote cheerfulness. Place on the altar during divination to encourage truthful visions. One of the three sacred herbs of the Druids.,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55" s="5" t="inlineStr">
        <is>
          <t>BLODEUWEDD, AINE,GWENA, MORGANA, MAB, TITIANA, FREYA, APHRODITE</t>
        </is>
      </c>
      <c r="F55" s="4" t="inlineStr">
        <is>
          <t>VENUS</t>
        </is>
      </c>
      <c r="G55" s="4" t="inlineStr">
        <is>
          <t>WATER</t>
        </is>
      </c>
      <c r="H55" s="4" t="inlineStr">
        <is>
          <t>FEMININE</t>
        </is>
      </c>
      <c r="I55" s="4" t="inlineStr">
        <is>
          <t>Friday</t>
        </is>
      </c>
      <c r="J55" s="4" t="inlineStr">
        <is>
          <t>TITANIA, APHRODITE</t>
        </is>
      </c>
      <c r="K55" s="5" t="inlineStr">
        <is>
          <t>LAMMAS</t>
        </is>
      </c>
      <c r="L55" s="5" t="inlineStr">
        <is>
          <t>Meadowsweet was one of the three most sacred herbs to the ancient Druids, alongside Vervain and Water Mint. It was used to garland Midsummer altars and woven into bridal wreaths — hence its folk name Bridewort. In Welsh mythology, the wizard Gwydion created the flower maiden Blodeuwedd partly from meadowsweet blossoms.</t>
        </is>
      </c>
      <c r="M55" s="5" t="inlineStr">
        <is>
          <t>love, peace, and happiness.</t>
        </is>
      </c>
      <c r="N55" s="5" t="inlineStr">
        <is>
          <t>altar when making love charms and conducting love spells to increase their potency.</t>
        </is>
      </c>
      <c r="O55" s="5" t="inlineStr">
        <is>
          <t>Protection against evil influences; promotes love, balance, and harmony. Place meadowsweet on the altar when making love charms and conducting love spells to increase their potency. Wear at Lammas to join with the Goddess of courage and protection, and use to attune to the fairy realm. Meadowsweet is used for love, peace, and happiness. The fresh plant is used as an altar decoration for love magic, and the dried herb can be used in various love potions. The scent of meadowsweet cheers the heart. The plant can be used in magic to discover thieves. The flowers can be used in bridal bouquets. Meadowsweet tea can be drunk to heighten the energy and merriment of the occasion.</t>
        </is>
      </c>
      <c r="P55" s="4" t="inlineStr">
        <is>
          <t>Ylang Ylang</t>
        </is>
      </c>
      <c r="Q55" s="5" t="inlineStr">
        <is>
          <t>Europe, Asia (Dry waste ground)</t>
        </is>
      </c>
      <c r="R55" s="5" t="inlineStr">
        <is>
          <t>Warning: Contains salicylates — avoid if allergic to aspirin. Do not give to children with fever.</t>
        </is>
      </c>
      <c r="S55" s="42" t="inlineStr">
        <is>
          <t>One of the three most sacred herbs to the ancient Druids — Meadowsweet, Vervain and Water Mint. The summer herb strewn across floors for joy and peace, used in Midsummer incense, carried to attract love. Sacred to the Druids who placed it in ritual and funerary contexts both, understanding that joy and the honoring of death are not opposites.</t>
        </is>
      </c>
      <c r="U55" t="inlineStr">
        <is>
          <t>Love, peace and happiness drawn — meadowsweet in love and harmony workings.</t>
        </is>
      </c>
      <c r="V55" t="inlineStr">
        <is>
          <t>None specified.</t>
        </is>
      </c>
      <c r="W55" t="inlineStr">
        <is>
          <t>None specified.</t>
        </is>
      </c>
      <c r="X55" t="inlineStr">
        <is>
          <t>Opens divination — placed on the altar during a reading to encourage truthful visions.</t>
        </is>
      </c>
      <c r="Y55" t="inlineStr">
        <is>
          <t>Turns through the summer abundance of Litha — the full joy of Midsummer feeding back into the earth.</t>
        </is>
      </c>
      <c r="Z55" t="inlineStr">
        <is>
          <t>One of the three sacred Druidic herbs in its most ancient function — where the working invokes the tradition before the tradition was written down, meadow sweet carries the authority of the ritual that has never needed to explain itself.</t>
        </is>
      </c>
    </row>
    <row r="56" ht="74.25" customHeight="1" s="56">
      <c r="A56" s="2" t="inlineStr">
        <is>
          <t>HONESTY</t>
        </is>
      </c>
      <c r="B56" s="2" t="inlineStr">
        <is>
          <t>MOONWORT</t>
        </is>
      </c>
      <c r="C56" s="2" t="inlineStr">
        <is>
          <t>Lunaria annua</t>
        </is>
      </c>
      <c r="D56" s="3" t="inlineStr">
        <is>
          <t>Moon magic, fairy magic, money, transformation, and prophetic dreams. The silver seed pods are used in money spells and prosperity workings. Hang the dried plants in the home to attract fairy blessings. Use in full moon rituals and Esbat workings. Place under the pillow for prophetic dreams about love and the future., Love, Love magick, Love drawing, Attracting love, Love-attracting rituals, Inviting love, Inducing love, Love charms, Love enchantment, Finding love, Romantic love ceremonies, PROMOTE LOVE &amp; AFFECTION, LOVE &amp; PEACE, Spiritual love, Love rituals, Star magick,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Fairy portals, Opening fairy portals, Fairy blessings</t>
        </is>
      </c>
      <c r="E56" s="3" t="inlineStr">
        <is>
          <t>GEMINI, VIRGO, AQUARIUS, VENUS</t>
        </is>
      </c>
      <c r="F56" s="2" t="inlineStr">
        <is>
          <t>MOON</t>
        </is>
      </c>
      <c r="G56" s="2" t="inlineStr">
        <is>
          <t>WATER</t>
        </is>
      </c>
      <c r="H56" s="2" t="inlineStr">
        <is>
          <t>FEMININE</t>
        </is>
      </c>
      <c r="I56" s="2" t="inlineStr">
        <is>
          <t>Monday</t>
        </is>
      </c>
      <c r="J56" s="2" t="inlineStr">
        <is>
          <t>ALL</t>
        </is>
      </c>
      <c r="K56" s="3" t="inlineStr">
        <is>
          <t>IMBOLC, SAMHAIN</t>
        </is>
      </c>
      <c r="L56" s="3" t="inlineStr">
        <is>
          <t>Moonwort was said by Gerard's Herbal to be so powerful it could remove the shoes from horses standing in it at night. It was believed to open locks and breaks chains — a plant of liberation and lunar magic. Alchemists prized it as an ingredient in the philosopher's stone. The silver discs of Lunaria were said to be solidified moonlight.</t>
        </is>
      </c>
      <c r="M56" s="3" t="inlineStr">
        <is>
          <t>Moon magic, fairy magic, money, transformation, and prophetic dreams. The silver seed pods are used in money spells and prosperity workings. Hang the dried plants in the home to attract fairy blessings. Use in full moon rituals and Esbat workings. Place under the pillow for prophetic dreams about love and the future.</t>
        </is>
      </c>
      <c r="N56" s="3" t="inlineStr">
        <is>
          <t>and prophetic dreams. The silver seed pods are used in money spells and prosperity workings. Hang the dried plants in the home to attract fairy blessings. Use in full moon rituals and Esbat workings. Place under the pillow for prophetic dreams about love and the future.</t>
        </is>
      </c>
      <c r="O56" s="3" t="inlineStr">
        <is>
          <t>Moonwort is used in spells concerning love. Moonwort placed in boxes and bags is said to produce silver. It has long been used in money spells of all types. It is also said to be useful in opening locks (by placing it in the keyhole) and breaking chains (by simply touching them).</t>
        </is>
      </c>
      <c r="P56" s="2" t="inlineStr">
        <is>
          <t>Melissa</t>
        </is>
      </c>
      <c r="Q56" s="3" t="inlineStr">
        <is>
          <t>Europe, Asia (Fields, waste ground)</t>
        </is>
      </c>
      <c r="R56" s="3" t="inlineStr">
        <is>
          <t>Generally safe for ritual use. Seeds and pods are non-toxic. Always use in moderation.</t>
        </is>
      </c>
      <c r="S56" s="42" t="inlineStr">
        <is>
          <t>The Moonwort of fairy blessings and prophetic dreams — silver seed pods carried in money spells since Gerard's Herbal first wrote that it was powerful enough to unshoe horses and unlock padlocks. Used in full moon Esbat workings, placed under the pillow for prophetic dreams about love and the future.</t>
        </is>
      </c>
      <c r="U56" t="inlineStr">
        <is>
          <t>Prophetic dreams and the drawing of fairy blessings — honesty's lunar silver energy.</t>
        </is>
      </c>
      <c r="V56" t="inlineStr">
        <is>
          <t>None specified.</t>
        </is>
      </c>
      <c r="W56" t="inlineStr">
        <is>
          <t>Transformation — the herb that changes the nature of what it touches.</t>
        </is>
      </c>
      <c r="X56" t="inlineStr">
        <is>
          <t>Opens fairy magic and the moon-lit path of prophetic dreaming.</t>
        </is>
      </c>
      <c r="Y56" t="inlineStr">
        <is>
          <t>Turns through transformation — what was one thing becoming another, the old becoming the new.</t>
        </is>
      </c>
      <c r="Z56" t="inlineStr">
        <is>
          <t>The Moonwort in its most completely lunar function — where the working asks for the full honesty of what the moon knows and what the dreaming mind has been processing in the dark, honesty is the herb that will not let what is true remain hidden.</t>
        </is>
      </c>
    </row>
    <row r="57" ht="195.75" customHeight="1" s="56">
      <c r="A57" s="4" t="inlineStr">
        <is>
          <t>MULLEIN</t>
        </is>
      </c>
      <c r="B57" s="4" t="inlineStr">
        <is>
          <t>GRAVE YARD DUST</t>
        </is>
      </c>
      <c r="C57" s="4" t="inlineStr">
        <is>
          <t>Verbascum thapsus</t>
        </is>
      </c>
      <c r="D57" s="5" t="inlineStr">
        <is>
          <t>Warding, Protection, Casting away evil spirits, Necromancy, Calling spirits, Binding spirits, Seeing manifestations, Nether-realm travel, Communing with the departed, Communing with otherworldly entities, Prophetic dreams, Astral travel, Preventing nightmares, Encouraging sound sleep,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Protective charm, Protective charms, Protective sachets, Protective wreaths, Protective incense, PROTECT AGAINST NEGATIVITY, Protection from negativity, Circle protection, Banishing, Banishing negative energies, Banishing smudge, Banishing pesky spirits, Banishing unwanted energies,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Contacting planes, Contacting other planes, Communion with spirits, Spirit work, Walking between worlds, SISM, contacting a specific person, Samhain/ancestral altars, Ancestral altars, Ancestor rituals, Rituals for the dead, Honouring the dead, ancestral magic, ancestral memory, Samhain rituals, death rites, Death and rebirth rites, Peaceful transition for the dead, ancestors, Crone magic, Seeing past lives, Reincarnation, Reincarnation knowledge, Past lives, Mabon/Samhain, Mabon rituals, Samhain, Love, Love magick, Love drawing, Attracting love, Love-attracting rituals, Inviting love, Inducing love, Love charms, Love enchantment, Finding love, Romantic love ceremonies, PROMOTE LOVE &amp; AFFECTION, LOVE &amp; PEACE, Spiritual love, Love rituals, Star magick, Moon magic, Astral projection,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Summoning spirits, Conjuring spirits, Conjuring beneficial spirits, Otherworld travel, Shamanic work, shamanic journeying,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Invoking dreams, Dream work, Dreams, Visions, Seeing the unseen, Truth, Honesty, Removing deception, Subconscious work, Digging into the subconscious, Uprooting what is hidden, Scrying, Dowsing, Treasure seeking, Lost object finding, Nightmare prevention, Negating dreams, RID OF BAD DREAMS, Nightmares, Sleep, Rest</t>
        </is>
      </c>
      <c r="E57" s="5" t="inlineStr">
        <is>
          <t>Not specified</t>
        </is>
      </c>
      <c r="F57" s="4" t="inlineStr">
        <is>
          <t>Not specified</t>
        </is>
      </c>
      <c r="G57" s="4" t="inlineStr">
        <is>
          <t>Not specified</t>
        </is>
      </c>
      <c r="H57" s="4" t="inlineStr">
        <is>
          <t>FEMININE</t>
        </is>
      </c>
      <c r="I57" s="4" t="inlineStr">
        <is>
          <t>Not specified</t>
        </is>
      </c>
      <c r="J57" s="4" t="inlineStr">
        <is>
          <t>ALL</t>
        </is>
      </c>
      <c r="K57" s="5" t="inlineStr">
        <is>
          <t>ALL SABBATS</t>
        </is>
      </c>
      <c r="L57" s="5" t="inlineStr">
        <is>
          <t>Seeds employed as fish poison by tribal cultures.</t>
        </is>
      </c>
      <c r="M57" s="5" t="inlineStr">
        <is>
          <t>Warding, Protection, Casting away evil spirits, Necromancy, Calling spirits, Binding spirits, Seeing manifestations, Nether-realm travel, Communing with the departed, Communing with otherworldly entities</t>
        </is>
      </c>
      <c r="N57" s="5" t="inlineStr">
        <is>
          <t>incense or sewn into an herbal pouch and placed beneath a pillow, keep nightmares at bay and encourage sound sleep.</t>
        </is>
      </c>
      <c r="O57" s="5" t="inlineStr">
        <is>
          <t>Mullein is a very notorious herb employed for warding and protection. It is used by many ceremonial magicians as a protection herb, to cast away any type of evil spirit or entity by the sight or scent of the plant alone. When its stems are employed as lighting materials, it serves a necromantic purpose, allowing the magician to see and commune with the dead and departed, as well as to call spirits and bind them to the magician's will. When made into a decoction and drunk, or dried and smoked, mullein can also be employed to allow one to see manifestations or to travel into the nether-realms and commune with the departed or with otherworldly entities safely. Mullein tea is also believed by witches and shamans to encourage prophetic dreams and astral travel, while its dried leaves and flowers, when used as incense or sewn into an herbal pouch and placed beneath a pillow, keep nightmares at bay and encourage sound sleep.</t>
        </is>
      </c>
      <c r="P57" s="4" t="n"/>
      <c r="Q57" s="5" t="inlineStr">
        <is>
          <t>Northeast Africa, Arabian Peninsula (Arid areas)</t>
        </is>
      </c>
      <c r="R57" s="6" t="inlineStr">
        <is>
          <t>Warning: Care should be taken when employing the seed of the plant — it is toxic.</t>
        </is>
      </c>
      <c r="S57" s="42" t="inlineStr">
        <is>
          <t>The graveyard dust herb — its very Ye Olde Name speaks its function. Used in necromancy and calling spirits, in binding what should not be free, in seeing the manifestations of those who have passed. Growing in arid northeast African hills, it knows the dry country between the living and the dead.</t>
        </is>
      </c>
      <c r="T57" s="45" t="inlineStr">
        <is>
          <t>Aquarius</t>
        </is>
      </c>
      <c r="U57" t="inlineStr">
        <is>
          <t>Calling spirits — mullein drawn into spirit communication workings.</t>
        </is>
      </c>
      <c r="V57" t="inlineStr">
        <is>
          <t>Warding, protection and binding spirits — holds what must be held.</t>
        </is>
      </c>
      <c r="W57" t="inlineStr">
        <is>
          <t>None specified.</t>
        </is>
      </c>
      <c r="X57" t="inlineStr">
        <is>
          <t>Opens the way to necromancy and communing with the departed — the graveyard herb.</t>
        </is>
      </c>
      <c r="Y57" t="inlineStr">
        <is>
          <t>Turns through the cycle of warding and calling — the border between the worlds made permeable or sealed according to need.</t>
        </is>
      </c>
      <c r="Z57" t="inlineStr">
        <is>
          <t>The graveyard dust herb in its necromantic function — where the working must cross the boundary between the living and the dead with genuine intention, mullein is the herb that holds the door open long enough for what needs to pass through to pass through.</t>
        </is>
      </c>
    </row>
    <row r="58" ht="61.5" customHeight="1" s="56">
      <c r="A58" s="2" t="inlineStr">
        <is>
          <t>MUSTARD SEED WHITE</t>
        </is>
      </c>
      <c r="B58" s="2" t="inlineStr">
        <is>
          <t>EYE OF NEWT</t>
        </is>
      </c>
      <c r="C58" s="2" t="inlineStr">
        <is>
          <t>Brassica Alba</t>
        </is>
      </c>
      <c r="D58" s="3" t="inlineStr">
        <is>
          <t>Fertility, Healing, Love, Protection, Communication, Attracting good spirits, Exorcism, Prosperity, Good luck, Sensuality, Spell-breaking, Strength, Curses, Protection (hexes/evil),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Aphrodisiac, Aphrodisiac tea, Lust, Lust/Sex, Passionate love-making, LOVING &amp; LUSTFUL ENERGIES, SEX MAGIC, RAISE SEXUAL ENERGY, Sexual energy, Physical Strength, Fortitude, Vitality, Inner power, and strength,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t>
        </is>
      </c>
      <c r="E58" s="3" t="inlineStr">
        <is>
          <t>HERNE, GREEN MAN</t>
        </is>
      </c>
      <c r="F58" s="2" t="inlineStr">
        <is>
          <t>MARS</t>
        </is>
      </c>
      <c r="G58" s="2" t="inlineStr">
        <is>
          <t>FIRE</t>
        </is>
      </c>
      <c r="H58" s="2" t="inlineStr">
        <is>
          <t>MASCULINE</t>
        </is>
      </c>
      <c r="I58" s="2" t="inlineStr">
        <is>
          <t>Tuesday</t>
        </is>
      </c>
      <c r="J58" s="2" t="inlineStr">
        <is>
          <t>ALL</t>
        </is>
      </c>
      <c r="K58" s="3" t="inlineStr">
        <is>
          <t>BELTANE, SAMHAIN</t>
        </is>
      </c>
      <c r="L58" s="3" t="inlineStr">
        <is>
          <t>Discovery attributed to Asclepius.</t>
        </is>
      </c>
      <c r="M58" s="3" t="inlineStr">
        <is>
          <t>fertility, health, love, passion, and protection spells.</t>
        </is>
      </c>
      <c r="N58" s="3" t="inlineStr">
        <is>
          <t>Attracting good spirits</t>
        </is>
      </c>
      <c r="O58" s="3" t="inlineStr">
        <is>
          <t>Use for fertility, health, love, passion, and protection spells. It can also be employed in workings involving commanding, exorcism, gain, good luck, sensuality, spell-breaking, strength, success, and virility. Can also be used for curses and hexes, but care should be taken as this invokes the threefold rule.</t>
        </is>
      </c>
      <c r="P58" s="2" t="inlineStr">
        <is>
          <t>Pine</t>
        </is>
      </c>
      <c r="Q58" s="3" t="inlineStr">
        <is>
          <t>Global temperate regions (Damp soil)</t>
        </is>
      </c>
      <c r="R58" s="3" t="inlineStr">
        <is>
          <t>Warning: Can cause skin and mucous membrane irritation. Do not apply to broken skin. Keep away from eyes.</t>
        </is>
      </c>
      <c r="S58" s="42" t="inlineStr">
        <is>
          <t>The Eye of Newt, attributed to Asclepius — the healing god's herb used in fertility, love and exorcism at once. A Mars and Fire herb of considerable directness. Sprinkled on thresholds and around the bed, it protects; added to working it amplifies the projection of spell energy outward.</t>
        </is>
      </c>
      <c r="T58" s="45" t="inlineStr">
        <is>
          <t>Aries</t>
        </is>
      </c>
      <c r="U58" t="inlineStr">
        <is>
          <t>Fertility, love, attracting good spirits and prosperity drawn — the warm magic of mustard seed.</t>
        </is>
      </c>
      <c r="V58" t="inlineStr">
        <is>
          <t>Healing and protection — mustard seed in healing and protective sachets.</t>
        </is>
      </c>
      <c r="W58" t="inlineStr">
        <is>
          <t>Exorcism and spell-breaking — the sharp projective force of mustard seed driving out what must leave.</t>
        </is>
      </c>
      <c r="X58" t="inlineStr">
        <is>
          <t>Opens the way for good spirits to enter — where beneficent presences are being invited.</t>
        </is>
      </c>
      <c r="Y58" t="inlineStr">
        <is>
          <t>Turns through exorcism and the healing that follows removal of what was harmful.</t>
        </is>
      </c>
      <c r="Z58" t="inlineStr">
        <is>
          <t>The Eye of Newt — the Mars herb of fertility and the sharpening of desire. Sprinkled at thresholds and used in workings where what has been dormant between two people must be awakened. A direct and honest herb with no subtlety about its purposes.</t>
        </is>
      </c>
    </row>
    <row r="59" ht="245.25" customHeight="1" s="56">
      <c r="A59" s="4" t="inlineStr">
        <is>
          <t>MYRRH GUM</t>
        </is>
      </c>
      <c r="B59" s="4" t="inlineStr">
        <is>
          <t>KARAN</t>
        </is>
      </c>
      <c r="C59" s="4" t="inlineStr">
        <is>
          <t>Commiphora myrrha</t>
        </is>
      </c>
      <c r="D59" s="5" t="inlineStr">
        <is>
          <t>Purification, Lifting vibrations, Contemplation, Meditation, Peace, Increasing power of incense, Healing incenses, Healing sachets, Consecration, Blessing objects, Protection, Guarding against evil, Understanding sorrow, Comforting grief, Hex breaking, Banishing pesky spirits, Banishing unwanted energies, Protection of the home, Purifying ritual areas, Purifying  Purifying new homes, Purifying new homes, Purifying the home, Self-purification, Purifying ritual spaces, Purification rituals, Sanctifying an area, Dedicating sacred spaces, Creating sacred spaces,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Concentration, Focus, Sun God offerings, Solar spells, Healing, Healing magic, Healing spells, Healing mixtures, Healing rituals, Healing incense, Healing vibrations, healing after surgery, Aiding recovery, Aiding the ill, Improving health, Speeding recovery, Good health, health, Protective charm, Protective charms, Protective wreaths, Protective incense, PROTECT AGAINST NEGATIVITY, Protection from negativity, Circle protection, Protection (hexes/evil), Psychic protection, Psychic shielding, Protection from hexes, Protection from conjure, Protection from evil, Protection from evil spirits, Protection from hauntings, Ju-ju / gris-gris protection, Guarding against sorcery,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Spell-breaking, Reversing harmful spells, Breaking spells, Removing hexes, Removing curses, Removing jinxes, Removing bad luck, Breaking hexes, Returning hexes, hex-breaking, Removing hexes and curses, Removing a jinx, Luck, Good luck, Good luck in family matters, Fortune, Casino luck, WISHES, Wish magick, Carrying wishes, Transmuting wishes, Banishing, Banishing negative energies, Banishing smudge,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59" s="5" t="inlineStr">
        <is>
          <t>ISIS, ADONIS,RA, MARIAN</t>
        </is>
      </c>
      <c r="F59" s="4" t="inlineStr">
        <is>
          <t>MOON</t>
        </is>
      </c>
      <c r="G59" s="4" t="inlineStr">
        <is>
          <t>WATER</t>
        </is>
      </c>
      <c r="H59" s="4" t="inlineStr">
        <is>
          <t>FEMININE</t>
        </is>
      </c>
      <c r="I59" s="4" t="inlineStr">
        <is>
          <t>Monday</t>
        </is>
      </c>
      <c r="J59" s="4" t="inlineStr">
        <is>
          <t>ISIS, RA</t>
        </is>
      </c>
      <c r="K59" s="5" t="inlineStr">
        <is>
          <t>IMBOLC, SAMHAIN</t>
        </is>
      </c>
      <c r="L59" s="5" t="inlineStr">
        <is>
          <t>Helps raise magickal energies.</t>
        </is>
      </c>
      <c r="M59" s="5" t="inlineStr">
        <is>
          <t>Myrrh brings comfort to those who have lost a loved one, whose troubled hearts need the healing strength of understanding the mystery of death.</t>
        </is>
      </c>
      <c r="N59" s="5" t="inlineStr">
        <is>
          <t>Burned as incense, myrrh purifies the area, lifts the vibrations, aids contemplation and meditation, and creates peace.</t>
        </is>
      </c>
      <c r="O59" s="5" t="inlineStr">
        <is>
          <t>Burned as incense, myrrh purifies the area, lifts the vibrations, aids contemplation and meditation, and creates peace. However, it is seldom burned alone — usually in conjunction with frankincense or other resins. Myrrh increases the power of any incense to which it is added. Myrrh is also included in healing incenses and sachets, and its smoke is used to consecrate, purify, and bless objects such as amulets, talismans, charms, and magical tools. It also aids meditation and contemplation and is used in healing mixtures. Guards against evil, brings peace, and assists in understanding personal sorrow. Myrrh brings comfort to those who have lost a loved one, whose troubled hearts need the healing strength of understanding the mystery of death. Myrrh can be used to purify, protect, and break hexes. If you are having trouble with unwanted magical energies sent to you, anoint your house both first thing in the morning and last thing at night with myrrh for protection.</t>
        </is>
      </c>
      <c r="P59" s="4" t="inlineStr">
        <is>
          <t>Melissa</t>
        </is>
      </c>
      <c r="Q59" s="5" t="inlineStr">
        <is>
          <t>Indonesia (Tropical rainforests)</t>
        </is>
      </c>
      <c r="R59" s="5" t="inlineStr">
        <is>
          <t>Warning: Avoid during pregnancy. May interact with diabetes medications. Do not ingest large quantities.</t>
        </is>
      </c>
      <c r="S59" s="42" t="inlineStr">
        <is>
          <t>One of the most ancient magical resins — older in use than frankincense, carried by the Magi, burned in every temple tradition across the ancient world. Lifts the vibration of everything around it, increases the power of other incenses, brings comfort to those in grief and understanding to those facing death. Sacred resin of the Moon.</t>
        </is>
      </c>
      <c r="T59" s="45" t="inlineStr">
        <is>
          <t>Aries, Aquarius</t>
        </is>
      </c>
      <c r="U59" t="inlineStr">
        <is>
          <t>Peace drawn through myrrh's gentle lifting energy.</t>
        </is>
      </c>
      <c r="V59" t="inlineStr">
        <is>
          <t>Meditation, healing and protection — myrrh in the deep sacred work of contemplation.</t>
        </is>
      </c>
      <c r="W59" t="inlineStr">
        <is>
          <t>Purification, comforting grief and banishing unwanted energies — the great releaser.</t>
        </is>
      </c>
      <c r="X59" t="inlineStr">
        <is>
          <t>Opens meditation and the deeper contemplation — where what is hidden in the self must be met.</t>
        </is>
      </c>
      <c r="Y59" t="inlineStr">
        <is>
          <t>Turns through purification and the healing of grief — what was heavy made lighter, what was bound released.</t>
        </is>
      </c>
      <c r="Z59" t="inlineStr">
        <is>
          <t>The ancient funerary resin in its most complete function — where the working acknowledges that what is being released is genuinely ending, not merely pausing, myrrh carries the comfort and the authority of what has accompanied the dead since before history began.</t>
        </is>
      </c>
    </row>
    <row r="60" ht="245.25" customHeight="1" s="56">
      <c r="A60" s="2" t="inlineStr">
        <is>
          <t>MYRRH GUM POWDER</t>
        </is>
      </c>
      <c r="B60" s="2" t="inlineStr">
        <is>
          <t>BOLA POWDER</t>
        </is>
      </c>
      <c r="C60" s="2" t="inlineStr">
        <is>
          <t>Commiphora myrrha</t>
        </is>
      </c>
      <c r="D60" s="3" t="inlineStr">
        <is>
          <t>Purification, protection, healing, meditation, and funerary rites. One of the most ancient and sacred of all magical resins. Burn to consecrate ritual space and sacred tools. Use in healing incense and protection blends. Add to anointing oils for spiritual work. Combine with frankincense for the classic sacred temple blend.,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t>
        </is>
      </c>
      <c r="E60" s="3" t="inlineStr">
        <is>
          <t>ISIS, ADONIS,RA, MARIAN</t>
        </is>
      </c>
      <c r="F60" s="2" t="inlineStr">
        <is>
          <t>MOON</t>
        </is>
      </c>
      <c r="G60" s="2" t="inlineStr">
        <is>
          <t>WATER</t>
        </is>
      </c>
      <c r="H60" s="2" t="inlineStr">
        <is>
          <t>FEMININE</t>
        </is>
      </c>
      <c r="I60" s="2" t="inlineStr">
        <is>
          <t>Monday</t>
        </is>
      </c>
      <c r="J60" s="2" t="inlineStr">
        <is>
          <t>ISIS, RA</t>
        </is>
      </c>
      <c r="K60" s="3" t="inlineStr">
        <is>
          <t>IMBOLC, SAMHAIN</t>
        </is>
      </c>
      <c r="L60" s="3" t="inlineStr">
        <is>
          <t>Myrrh was one of the gifts of the Magi and was used by the ancient Egyptians in the embalming process, believing it would preserve the spirit as well as the body. Mary Magdalene anointed Jesus with myrrh-based oils. In ancient trade, myrrh was worth more than gold by weight. Its bitter tears were said to be the weeping of trees that loved the gods.</t>
        </is>
      </c>
      <c r="M60" s="3" t="inlineStr">
        <is>
          <t>Myrrh brings comfort to those who have lost a loved one, whose troubled hearts need the healing strength of understanding the mystery of death.</t>
        </is>
      </c>
      <c r="N60" s="3" t="inlineStr">
        <is>
          <t>Burned as incense, myrrh purifies the area, lifts the vibrations, aids contemplation and meditation, and creates peace.</t>
        </is>
      </c>
      <c r="O60" s="3" t="inlineStr">
        <is>
          <t>Burned as incense, myrrh purifies the area, lifts the vibrations, aids contemplation and meditation, and creates peace. However, it is seldom burned alone — usually in conjunction with frankincense or other resins. Myrrh increases the power of any incense to which it is added. Myrrh is also included in healing incenses and sachets, and its smoke is used to consecrate, purify, and bless objects such as amulets, talismans, charms, and magical tools. It also aids meditation and contemplation and is used in healing mixtures. Guards against evil, brings peace, and assists in understanding personal sorrow. Myrrh brings comfort to those who have lost a loved one, whose troubled hearts need the healing strength of understanding the mystery of death. Myrrh can be used to purify, protect, and break hexes. Anoint your house first thing in the morning and last thing at night with myrrh for protection against pesky or unwanted magical energies.</t>
        </is>
      </c>
      <c r="P60" s="2" t="inlineStr">
        <is>
          <t>Melissa</t>
        </is>
      </c>
      <c r="Q60" s="3" t="inlineStr">
        <is>
          <t>Europe, North America (Deciduous tree bark)</t>
        </is>
      </c>
      <c r="R60" s="3" t="inlineStr">
        <is>
          <t>Warning: Avoid during pregnancy. May interact with diabetes medications. Do not ingest large quantities.</t>
        </is>
      </c>
      <c r="S60" s="42" t="inlineStr">
        <is>
          <t>The powdered form of one of the most ancient sacred resins — easier to burn than the tears, carrying the same deep funerary and sacred energy. Used in protection blends, healing incenses, anointing oils for spiritual work. The classic sacred temple blend when combined with frankincense.</t>
        </is>
      </c>
      <c r="T60" s="45" t="inlineStr">
        <is>
          <t>Aries, Aquarius</t>
        </is>
      </c>
      <c r="U60" t="inlineStr">
        <is>
          <t>None specified — myrrh works primarily in sacred and protective functions.</t>
        </is>
      </c>
      <c r="V60" t="inlineStr">
        <is>
          <t>Protection and healing — myrrh powder in healing and protective preparations.</t>
        </is>
      </c>
      <c r="W60" t="inlineStr">
        <is>
          <t>Purification — burned and used in purification workings.</t>
        </is>
      </c>
      <c r="X60" t="inlineStr">
        <is>
          <t>Opens meditation and spiritual awareness — the anointing oil for sacred work.</t>
        </is>
      </c>
      <c r="Y60" t="inlineStr">
        <is>
          <t>Turns through purification and the healing of what was spiritually damaged.</t>
        </is>
      </c>
      <c r="Z60" t="inlineStr">
        <is>
          <t>The powdered sacred resin in its most immediate purification function — where the working requires that the space be made completely clean before something significant is entered into, myrrh powder is the last thing burned before the working begins.</t>
        </is>
      </c>
    </row>
    <row r="61" ht="208.5" customHeight="1" s="56">
      <c r="A61" s="4" t="inlineStr">
        <is>
          <t>NETTLE</t>
        </is>
      </c>
      <c r="B61" s="4" t="inlineStr">
        <is>
          <t>STINGING NETTLE</t>
        </is>
      </c>
      <c r="C61" s="4" t="inlineStr">
        <is>
          <t>Urtica dioica</t>
        </is>
      </c>
      <c r="D61" s="5" t="inlineStr">
        <is>
          <t>Protection, healing, lust, courage, and exorcism. Stuff a poppet with nettles to break curses and return them to the sender. Throw into a fire to avert danger. Carry in a charm bag for courage and to ward off fear. Sprinkle around the home to drive out negative presences. Use in healing spells for building strength and vitality., Protective charm, Protective charms, Protective sachets, Protective wreaths, Protective incense, PROTECT AGAINST NEGATIVITY, Protection from negativity, Circle protection</t>
        </is>
      </c>
      <c r="E61" s="5" t="inlineStr">
        <is>
          <t>GEMINI, VIRGO, AQUARIUS, VENUS</t>
        </is>
      </c>
      <c r="F61" s="4" t="inlineStr">
        <is>
          <t>MERCURY</t>
        </is>
      </c>
      <c r="G61" s="4" t="inlineStr">
        <is>
          <t>FIRE</t>
        </is>
      </c>
      <c r="H61" s="4" t="inlineStr">
        <is>
          <t>MASCULINE</t>
        </is>
      </c>
      <c r="I61" s="4" t="inlineStr">
        <is>
          <t>WEDNESDAY</t>
        </is>
      </c>
      <c r="J61" s="4" t="inlineStr">
        <is>
          <t>ALL, ARES</t>
        </is>
      </c>
      <c r="K61" s="5" t="inlineStr">
        <is>
          <t>OSTARA, MABON</t>
        </is>
      </c>
      <c r="L61" s="5" t="inlineStr">
        <is>
          <t>The stinging nettle has been used in magic for thousands of years — its sting itself was used in folk medicine, deliberately applied to arthritic joints to stimulate healing. In Norse tradition, nettle cloth was woven to make garments of protection. The fairy tale of the Seven Swans features a heroine who must weave shirts from nettles to break an enchantment.</t>
        </is>
      </c>
      <c r="M61" s="5" t="inlineStr">
        <is>
          <t>Protection, healing, lust, courage, and exorcism. Stuff a poppet with nettles to break curses and return them to the sender. Throw into a fire to avert danger. Carry in a charm bag for courage and to ward off fear. Sprinkle around the home to drive out negative presences. Use in healing spells for building strength and vitality.</t>
        </is>
      </c>
      <c r="N61" s="5" t="inlineStr">
        <is>
          <t>for purification baths and used as holy water for the charging and blessing of ritual tools.</t>
        </is>
      </c>
      <c r="O61" s="5" t="inlineStr">
        <is>
          <t>When burned as a smudge or incense, nettle helps to dispel sickness, drive away demonic entities, and deter ghosts. Dried and powdered leaves or roots were sprinkled around the perimeters of a house to protect it from all sorts of malignant forces. Fresh garlands of stinging nettles were hung above sickbeds to help hasten recovery and drive away illness, while brews made from the leaves and roots were employed for purification baths and used as holy water for the charging and blessing of ritual tools. When combined with yarrow, it was used as a smudge to cast away negative forces and to dispel deep-seated fears. When made into cloth or paper, it was considered the best type of parchment for grimoires and amulets which required the use of words of power.</t>
        </is>
      </c>
      <c r="P61" s="4" t="inlineStr">
        <is>
          <t>Sandalwood w.i.</t>
        </is>
      </c>
      <c r="Q61" s="5" t="inlineStr">
        <is>
          <t>Northeast Africa (Arid dry hills)</t>
        </is>
      </c>
      <c r="R61" s="6" t="inlineStr">
        <is>
          <t>Warning: Do not use if pregnant, have hypertension, diabetes or serious kidney disease.</t>
        </is>
      </c>
      <c r="S61" s="42" t="inlineStr">
        <is>
          <t>The stinging nettle that has been used in magic for thousands of years — stuffed into poppets to break curses and return them to sender, thrown into fire to avert danger, sprinkled around the home to drive out negative presences. Its sting is its magic: the herb that protects by the same mechanism that harms.</t>
        </is>
      </c>
      <c r="T61" s="45" t="inlineStr">
        <is>
          <t>Aries, Scorpio</t>
        </is>
      </c>
      <c r="U61" t="inlineStr">
        <is>
          <t>None specified — Nettle works primarily in protection and release.</t>
        </is>
      </c>
      <c r="V61" t="inlineStr">
        <is>
          <t>Protection, healing and courage — nettle carried for courage, used in healing for strength.</t>
        </is>
      </c>
      <c r="W61" t="inlineStr">
        <is>
          <t>Exorcism — the driving out of what has no right to be present.</t>
        </is>
      </c>
      <c r="X61" t="inlineStr">
        <is>
          <t>Opens the protection channel — where what is attacking must be seen before it can be sent back.</t>
        </is>
      </c>
      <c r="Y61" t="inlineStr">
        <is>
          <t>Turns through healing and the building of strength after what has been endured.</t>
        </is>
      </c>
      <c r="Z61" t="inlineStr">
        <is>
          <t>The stinging heat of Mars in physical form — lust and courage from the same stem. Where passion has stalled and the working needs something that stings the body back into awareness of what it wants, nettle carries that charge.</t>
        </is>
      </c>
    </row>
    <row r="62" ht="49.5" customHeight="1" s="56">
      <c r="A62" s="2" t="inlineStr">
        <is>
          <t>NUTMEG POWDER</t>
        </is>
      </c>
      <c r="B62" s="2" t="inlineStr">
        <is>
          <t>NUX MOSHATA</t>
        </is>
      </c>
      <c r="C62" s="2" t="inlineStr">
        <is>
          <t>Myristica fragrans</t>
        </is>
      </c>
      <c r="D62" s="3" t="inlineStr">
        <is>
          <t>Enhancing clairvoyance, Enhancing divination, Drawing money, Invoking dreams, Aiding fertility, Aiding gain, Love, Meditation, Passion, Prosperity, Clairvoyance, Psychic development, Psychic powers, INCREASE PSYCHIC ABILITIES, Psychic awareness, Stimulating psychic senses, Disabling psychic phenomena, Psychic communication, communication and psychic abilities, Divination, Divinatory incense, Foretelling the future, Future divination, Scrying, Dowsing, Prophecy, Fertility, Female fertility, Fertility magic, Fertility charms, Increasing fertility, Fruitfulness, Virility, male virility, Abundant harvest, Wealth, Wealth/Prosperity, Attracting business, Business dealings, abundance, Financial arrangements, Gain, PROSPERITY SPELLS, Increasing wealth, Money, Money spells, Attracting money, INCREASE MONEY, Breaking financial stagnation, Money mixtures, Protecting against poverty, Warding off poverty, Prophetic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Desire</t>
        </is>
      </c>
      <c r="E62" s="3" t="inlineStr">
        <is>
          <t>ARES, MARS, ARIES, SCORPIO</t>
        </is>
      </c>
      <c r="F62" s="2" t="inlineStr">
        <is>
          <t>MARS</t>
        </is>
      </c>
      <c r="G62" s="2" t="inlineStr">
        <is>
          <t>FIRE</t>
        </is>
      </c>
      <c r="H62" s="2" t="inlineStr">
        <is>
          <t>MASCULINE</t>
        </is>
      </c>
      <c r="I62" s="2" t="inlineStr">
        <is>
          <t>TUESDAY</t>
        </is>
      </c>
      <c r="J62" s="2" t="inlineStr">
        <is>
          <t>ARES</t>
        </is>
      </c>
      <c r="K62" s="3" t="inlineStr">
        <is>
          <t>BELTANE, SAMHAIN</t>
        </is>
      </c>
      <c r="L62" s="3" t="inlineStr">
        <is>
          <t>Associated with Samhain and Yule. Creole folk used in love charms.</t>
        </is>
      </c>
      <c r="M62" s="3" t="inlineStr">
        <is>
          <t>It is used in matters pertaining to love, meditation, passion, and prosperity.</t>
        </is>
      </c>
      <c r="N62" s="3" t="inlineStr">
        <is>
          <t>Meditation</t>
        </is>
      </c>
      <c r="O62" s="3" t="inlineStr">
        <is>
          <t>Nutmeg is mainly used to enhance clairvoyance and divination. It is also used in spells for drawing money, invoking dreams, aiding fertility, and gain. It is used in matters pertaining to love, meditation, passion, and prosperity.</t>
        </is>
      </c>
      <c r="P62" s="2" t="inlineStr">
        <is>
          <t>Pine</t>
        </is>
      </c>
      <c r="Q62" s="3" t="inlineStr">
        <is>
          <t>Europe, Mediterranean (Rocky slopes)</t>
        </is>
      </c>
      <c r="R62" s="3" t="inlineStr">
        <is>
          <t>Warning: Toxic in large quantities — can cause hallucinations, nausea, and seizures. Use small amounts only.</t>
        </is>
      </c>
      <c r="S62" s="42" t="inlineStr">
        <is>
          <t>The Samhain and Yule spice used in love conjure by Creole folk tradition — the clairvoyance and divination sharpener, the dream invoker. A Mars herb despite its warmth — direct, projective and useful in any working where the psychic faculties must be increased quickly.</t>
        </is>
      </c>
      <c r="T62" s="45" t="inlineStr">
        <is>
          <t>Sagittarius</t>
        </is>
      </c>
      <c r="U62" t="inlineStr">
        <is>
          <t>Drawing money, fertility, love, passion and prosperity — nutmeg's warm Mars energy.</t>
        </is>
      </c>
      <c r="V62" t="inlineStr">
        <is>
          <t>Meditation — the quiet holding of the working mind.</t>
        </is>
      </c>
      <c r="W62" t="inlineStr">
        <is>
          <t>None specified.</t>
        </is>
      </c>
      <c r="X62" t="inlineStr">
        <is>
          <t>Opens clairvoyance and divination — nutmeg the sharpener of the inner sight.</t>
        </is>
      </c>
      <c r="Y62" t="inlineStr">
        <is>
          <t>Turns through the acceleration of clairvoyance — where the vision must come clearly and soon.</t>
        </is>
      </c>
      <c r="Z62" t="inlineStr">
        <is>
          <t>The Mars spice in its most direct clairvoyance function — where the working asks for the inner sight to be opened quickly and clearly, nutmeg does not hesitate. The Samhain and Yule spice that knows what is coming before the new year has named it.</t>
        </is>
      </c>
    </row>
    <row r="63" ht="195.75" customHeight="1" s="56">
      <c r="A63" s="4" t="inlineStr">
        <is>
          <t>OAK MOSS</t>
        </is>
      </c>
      <c r="B63" s="4" t="inlineStr">
        <is>
          <t>OLD MAN’S BEARD</t>
        </is>
      </c>
      <c r="C63" s="4" t="inlineStr">
        <is>
          <t>Evernia prunastri</t>
        </is>
      </c>
      <c r="D63" s="5" t="inlineStr">
        <is>
          <t>Money, luck, strength, and Druidic ritual work. Place in money sachets and wallets to attract and retain wealth. Used in spells for business success and financial stability. Add to incense for connection to ancient forest magic and the Green Man. Excellent for grounding spells and earth magic rituals.,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t>
        </is>
      </c>
      <c r="E63" s="5" t="inlineStr">
        <is>
          <t>HECATE, CRONE, HADES, PLUTO</t>
        </is>
      </c>
      <c r="F63" s="4" t="inlineStr">
        <is>
          <t>JUPITER</t>
        </is>
      </c>
      <c r="G63" s="4" t="inlineStr">
        <is>
          <t>EARTH</t>
        </is>
      </c>
      <c r="H63" s="4" t="inlineStr">
        <is>
          <t>FEMININE</t>
        </is>
      </c>
      <c r="I63" s="4" t="inlineStr">
        <is>
          <t>Thursday</t>
        </is>
      </c>
      <c r="J63" s="4" t="inlineStr">
        <is>
          <t>HECATE, PLUTO</t>
        </is>
      </c>
      <c r="K63" s="5" t="inlineStr">
        <is>
          <t>LAMMAS, MABON</t>
        </is>
      </c>
      <c r="L63" s="5" t="inlineStr">
        <is>
          <t>Oak Moss was sacred to the Druids as an extension of the sacred oak tree. Druids gathering mistletoe would also collect oak moss from the same trees, considering it an extension of the oak's power. In perfumery oak moss is a classic base note — its earthy, ancient smell is considered the scent of deep forest magic.</t>
        </is>
      </c>
      <c r="M63" s="5" t="inlineStr">
        <is>
          <t>Luck, money, protection, and strength. Oak moss may be used as an ingredient or substitute for magic spells and formulas related to Jupiter matters such as growth, legal matters, luck, meditation, money, prosperity, settling legal matters, and spirituality.</t>
        </is>
      </c>
      <c r="N63" s="5" t="inlineStr">
        <is>
          <t>Oak moss may be used as an ingredient or substitute for magic spells and formulas related to Jupiter matters such as growth, legal matters, luck, meditation, money, prosperity, settling legal matters, and spirituality.</t>
        </is>
      </c>
      <c r="O63" s="5" t="inlineStr">
        <is>
          <t>Luck, money, protection, and strength. Oak moss may be used as an ingredient or substitute for magic spells and formulas related to Jupiter matters such as growth, legal matters, luck, meditation, money, prosperity, settling legal matters, and spirituality. It is a good addition to potpourri, helping to fix the scents and add a forest-like smell. It is especially suited for work involving the Crone or other permutations of death and birth, and it helps us connect to elemental earth energy. Use in prosperity spells, gnome magic, and spells to Mother Earth. Use in itch bottles for home and business.</t>
        </is>
      </c>
      <c r="P63" s="4" t="inlineStr">
        <is>
          <t>Honeysuckle</t>
        </is>
      </c>
      <c r="Q63" s="5" t="inlineStr">
        <is>
          <t>Mediterranean (Rocky hillsides)</t>
        </is>
      </c>
      <c r="R63" s="6" t="inlineStr">
        <is>
          <t>Warning: Do not ingest.</t>
        </is>
      </c>
      <c r="S63" s="42" t="inlineStr">
        <is>
          <t>Old Man's Beard — the lichen sacred to the Druids as an extension of the sacred oak itself. Placed in money sachets and wallets, used in incense for connection to the Green Man and ancient forest magic. Where the deep Druidic earth energy is needed — the Jupiter moss that grips the oak bark and carries its memory.</t>
        </is>
      </c>
      <c r="T63" s="45" t="inlineStr">
        <is>
          <t>Sagittarius</t>
        </is>
      </c>
      <c r="U63" t="inlineStr">
        <is>
          <t>Money, luck and Druidic prosperity drawn through oak moss's deep earth energy.</t>
        </is>
      </c>
      <c r="V63" t="inlineStr">
        <is>
          <t>Strength — oak moss in grounding and strength-building workings.</t>
        </is>
      </c>
      <c r="W63" t="inlineStr">
        <is>
          <t>None specified.</t>
        </is>
      </c>
      <c r="X63" t="inlineStr">
        <is>
          <t>Opens meditation and the deep knowing of ancient forest magic — where the Green Man's presence is being called.</t>
        </is>
      </c>
      <c r="Y63" t="inlineStr">
        <is>
          <t>Turns through grounding and the building of financial stability from the roots up.</t>
        </is>
      </c>
      <c r="Z63" t="inlineStr">
        <is>
          <t>The Druidic lichen in its most ancient authority — where the working requires the deep time energy of what has grown on the sacred oak for longer than any living practitioner has practised, oak moss carries that continuity without ceremony.</t>
        </is>
      </c>
    </row>
    <row r="64" ht="147" customHeight="1" s="56">
      <c r="A64" s="2" t="inlineStr">
        <is>
          <t>OAKBARK RED</t>
        </is>
      </c>
      <c r="B64" s="2" t="inlineStr">
        <is>
          <t>JOVE’S NUTS</t>
        </is>
      </c>
      <c r="C64" s="2" t="inlineStr">
        <is>
          <t>Quercus Robur</t>
        </is>
      </c>
      <c r="D64" s="3" t="inlineStr">
        <is>
          <t>Truth, Steadfast knowledge, Protection, Vitality, Long life, Healing, Grounding, Focus, Observation, Intuition, Bravery, Presence, Leadership skills, Prosperity, Strength, Psychic development, Rest, Sleep, Prophetic dreams, Invoking dreams, Dream work, Dreams, Visions, Seeing the unseen, Seeing manifestations, Honesty, Removing deception, Subconscious work, Digging into the subconscious, Uprooting what is hidden, Scrying, Dowsing, Treasure seeking, Lost object finding, Protective charm, Protective charms, Protective sachets, Protective wreaths, Protective incense, PROTECT AGAINST NEGATIVITY, Protection from negativity, Circle protection, Physical Strength, Fortitude, Inner power, and strength, Longevity, Immortality, Eternal youth, Rejuvenation, Vigorous old age, Lengthening lifespan, Life,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Sun God offerings, Solar spells, Wisdom, Knowledge, Intelligence, Mental clarity, Sharpening the wits, Sharpening the brain, Mental powers, MEM, Memory, Illumination, Enlightenment, Confidence, Self-confidence, Courage, Determination, Will Power, Leadership, Commanding, Personal power,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Clairvoyance, Enhancing clairvoyance, Psychic powers, INCREASE PSYCHIC ABILITIES, Psychic awareness, Stimulating psychic senses, Disabling psychic phenomena, Psychic communication, communication and psychic abilities, Nightmare prevention, Preventing nightmares, Negating dreams, RID OF BAD DREAMS, Nightmares, Encouraging sound sleep</t>
        </is>
      </c>
      <c r="E64" s="3" t="inlineStr">
        <is>
          <t>CERNUNNOS, FREYA, HELIOS, HERNE, DAGDA</t>
        </is>
      </c>
      <c r="F64" s="2" t="inlineStr">
        <is>
          <t>JUPITER</t>
        </is>
      </c>
      <c r="G64" s="2" t="inlineStr">
        <is>
          <t>EARTH</t>
        </is>
      </c>
      <c r="H64" s="2" t="inlineStr">
        <is>
          <t>MASCULINE</t>
        </is>
      </c>
      <c r="I64" s="2" t="inlineStr">
        <is>
          <t>Thursday</t>
        </is>
      </c>
      <c r="J64" s="2" t="inlineStr">
        <is>
          <t>CYBELE, GAIA, JUPITER, PAN, THOR, ZEUS</t>
        </is>
      </c>
      <c r="K64" s="3" t="inlineStr">
        <is>
          <t>LAMMAS, MABON</t>
        </is>
      </c>
      <c r="L64" s="3" t="inlineStr">
        <is>
          <t>Sacred tree of Celtic Astrology. Closely aligned with the elements.</t>
        </is>
      </c>
      <c r="M64" s="3" t="inlineStr">
        <is>
          <t>protection, psychic development, rest, and sleep.</t>
        </is>
      </c>
      <c r="N64" s="3" t="inlineStr">
        <is>
          <t>Psychic development</t>
        </is>
      </c>
      <c r="O64" s="3" t="inlineStr">
        <is>
          <t>Truth, steadfast knowledge, and protection. Oak wands bring vitality and long life. Utilised as a healing wood and very well grounded considering its strong connection to the earth, this wood helps centre the mind, allowing it to focus on the task at hand and ignore distractions. Oak helps promote both observation and intuition. Oak magic inspires bravery, presence, leadership skills, prosperity, and strength. Use for protection, psychic development, rest, and sleep.</t>
        </is>
      </c>
      <c r="P64" s="2" t="inlineStr">
        <is>
          <t>Clove Bud</t>
        </is>
      </c>
      <c r="Q64" s="3" t="inlineStr">
        <is>
          <t>Mediterranean (Cultivated gardens)</t>
        </is>
      </c>
      <c r="R64" s="6" t="inlineStr">
        <is>
          <t>Warning: Do not ingest.</t>
        </is>
      </c>
      <c r="S64" s="42" t="inlineStr">
        <is>
          <t>The Celtic sacred tree's bark — Jove's Nuts, the bark of the king of the forest. Closely aligned with lightning, thunder and the great Jupiter force of truth and protection. Used in psychic development and the building of steadfast knowledge — the oak's patience distilled into its bark.</t>
        </is>
      </c>
      <c r="T64" s="45" t="inlineStr">
        <is>
          <t>Sagittarius</t>
        </is>
      </c>
      <c r="U64" t="inlineStr">
        <is>
          <t>Prosperity drawn through the oak's association with abundance and Jupiter.</t>
        </is>
      </c>
      <c r="V64" t="inlineStr">
        <is>
          <t>Truth, steadfast knowledge, protection and healing — the oak's primary magical function.</t>
        </is>
      </c>
      <c r="W64" t="inlineStr">
        <is>
          <t>None specified.</t>
        </is>
      </c>
      <c r="X64" t="inlineStr">
        <is>
          <t>Opens truth and intuition — where the deep knowing of oak is being called into the working.</t>
        </is>
      </c>
      <c r="Y64" t="inlineStr">
        <is>
          <t>Turns through healing and the building of what must last — the oak's long patience informing the spell.</t>
        </is>
      </c>
      <c r="Z64" t="inlineStr">
        <is>
          <t>The sacred tree's bark in its most steadfast function — where the working must hold under pressure that would break something lighter, red oak bark is the magical material that does not bend unless the whole tree bends with it.</t>
        </is>
      </c>
    </row>
    <row r="65" ht="110.25" customHeight="1" s="56">
      <c r="A65" s="4" t="inlineStr">
        <is>
          <t>OAKLEAF</t>
        </is>
      </c>
      <c r="B65" s="4" t="inlineStr">
        <is>
          <t>DEVIL’S ANGER</t>
        </is>
      </c>
      <c r="C65" s="4" t="inlineStr">
        <is>
          <t>Quercus robur leaves</t>
        </is>
      </c>
      <c r="D65" s="5" t="inlineStr">
        <is>
          <t>Purification, Cleansing body and spirit, Aiding recovery, Protection from evil, Keeping illness away,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Sweeping sacred spaces, Cleansing ritual areas, Cleansing negativity, Ritual baths, Ritual bath, Cleansing before ritual, Purifying body and mind, Healing, Healing magic, Healing spells, Healing sachets, Healing incenses, Healing mixtures, Healing rituals, Healing incense, Healing vibrations, healing after surgery, Aiding the ill, Improving health, Speeding recovery, Good health, health, Protection (hexes/evil), Psychic protection, Psychic shielding, Protection from hexes, Protection from conjure,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sickness away, Curing fevers, Dispelling melancholy, Preventing illness, Protection against disease</t>
        </is>
      </c>
      <c r="E65" s="5" t="inlineStr">
        <is>
          <t>CERNUNNOS, FREYA, HELIOS, HERNE, DAGDA</t>
        </is>
      </c>
      <c r="F65" s="4" t="inlineStr">
        <is>
          <t>JUPITER</t>
        </is>
      </c>
      <c r="G65" s="4" t="inlineStr">
        <is>
          <t>EARTH</t>
        </is>
      </c>
      <c r="H65" s="4" t="inlineStr">
        <is>
          <t>MASCULINE</t>
        </is>
      </c>
      <c r="I65" s="4" t="inlineStr">
        <is>
          <t>Thursday</t>
        </is>
      </c>
      <c r="J65" s="4" t="inlineStr">
        <is>
          <t>CYBELE, GAIA, JUPITER, PAN, THOR, ZEUS</t>
        </is>
      </c>
      <c r="K65" s="5" t="inlineStr">
        <is>
          <t>LAMMAS, MABON</t>
        </is>
      </c>
      <c r="L65" s="5" t="inlineStr">
        <is>
          <t>Sacred to Herne and Dagda. King of the Forest.</t>
        </is>
      </c>
      <c r="M65" s="5" t="inlineStr">
        <is>
          <t>Purification, Cleansing body and spirit, Aiding recovery, Protection from evil, Keeping illness away</t>
        </is>
      </c>
      <c r="N65" s="5" t="inlineStr">
        <is>
          <t>burned in the house of sick friends to aid recovery.</t>
        </is>
      </c>
      <c r="O65" s="5" t="inlineStr">
        <is>
          <t>Gather the leaves by night. They are a symbol of purification used in the bath to cleanse the body and spirit, and burned in the house of sick friends to aid recovery. Carrying a leaf of oak close to the heart will protect you from evil, purify, and keep illness away.</t>
        </is>
      </c>
      <c r="P65" s="4" t="inlineStr">
        <is>
          <t>Clove Bud</t>
        </is>
      </c>
      <c r="Q65" s="5" t="inlineStr">
        <is>
          <t>Europe, North Africa (Damp marshy areas)</t>
        </is>
      </c>
      <c r="R65" s="6" t="inlineStr">
        <is>
          <t>Warning: Do not ingest.</t>
        </is>
      </c>
      <c r="S65" s="42" t="inlineStr">
        <is>
          <t>The leaf of the king of forests — sacred to Herne, sacred to Dagda, sacred to every Druidic tradition that has existed. The Devil's Anger herb that purifies and protects in equal measure. Where what is evil must be kept out and what is ill must be aided toward recovery, the oak leaf is used.</t>
        </is>
      </c>
      <c r="T65" s="45" t="inlineStr">
        <is>
          <t>Sagittarius</t>
        </is>
      </c>
      <c r="U65" t="inlineStr">
        <is>
          <t>None specified — oakleaf works primarily in protection and purification.</t>
        </is>
      </c>
      <c r="V65" t="inlineStr">
        <is>
          <t>Protection from evil and keeping illness away — the oak leaf guardian.</t>
        </is>
      </c>
      <c r="W65" t="inlineStr">
        <is>
          <t>Purification — the cleansing of body and spirit that the oak leaf assists.</t>
        </is>
      </c>
      <c r="X65" t="inlineStr">
        <is>
          <t>Opens the purification channel — where what must be cleansed must first be seen clearly.</t>
        </is>
      </c>
      <c r="Y65" t="inlineStr">
        <is>
          <t>Turns through purification and the aiding of recovery — the oak's healing force applied to what needs mending.</t>
        </is>
      </c>
      <c r="Z65" t="inlineStr">
        <is>
          <t>The Devil's Anger herb in its most thorough purification function — where the clearing required includes whatever has been carried in the body's own energy field as well as the space, oakleaf works through both without distinguishing between them.</t>
        </is>
      </c>
    </row>
    <row r="66" ht="98.25" customHeight="1" s="56">
      <c r="A66" s="2" t="inlineStr">
        <is>
          <t>SWEET MYRRH</t>
        </is>
      </c>
      <c r="B66" s="2" t="inlineStr">
        <is>
          <t>OPOPONAX</t>
        </is>
      </c>
      <c r="C66" s="2" t="inlineStr">
        <is>
          <t>Commiphora erythraea</t>
        </is>
      </c>
      <c r="D66" s="3" t="inlineStr">
        <is>
          <t>Purification, Lifting vibrations, Contemplation, Meditation, Peace, Increasing power of incense, Healing incenses, Healing sachets, Consecration, Blessing objects, Protection, Guarding against evil, Wisdom, Magical power, Purifying ritual areas, Purifying  Purifying new homes, Purifying new homes, Purifying the home, Self-purification, Purifying ritual spaces, Purification rituals, Sanctifying an area, Dedicating sacred spaces, Creating sacred spaces,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Concentration, Focus, Sun God offerings, Solar spells, Healing, Healing magic, Healing spells, Healing mixtures, Healing rituals, Healing incense, Healing vibrations, healing after surgery, Aiding recovery, Aiding the ill, Improving health, Speeding recovery, Good health, health, Protective charm, Protective charms, Protective wreaths, Protective incense, PROTECT AGAINST NEGATIVITY, Protection from negativity, Circle protection, Protection (hexes/evil), Psychic protection, Psychic shielding, Protection from hexes, Protection from conjure, Protection from evil, Protection from evil spirits, Protection from hauntings, Ju-ju / gris-gris protection, Guarding against sorcery,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Knowledge, Intelligence, Intuition, Mental clarity, Sharpening the wits, Sharpening the brain, Mental powers, MEM, Memory, Illumination, Enlightenment, Increasing magical power, Increasing spell power, Power amplification, Bolstering spells, Bolstering incense, Strengthening spells, Potency, Power, Magic, WISDOM IN MAGICK, defensive magic</t>
        </is>
      </c>
      <c r="E66" s="3" t="inlineStr">
        <is>
          <t>ISIS</t>
        </is>
      </c>
      <c r="F66" s="2" t="inlineStr">
        <is>
          <t>MOON</t>
        </is>
      </c>
      <c r="G66" s="2" t="inlineStr">
        <is>
          <t>AIR</t>
        </is>
      </c>
      <c r="H66" s="2" t="inlineStr">
        <is>
          <t>FEMININE</t>
        </is>
      </c>
      <c r="I66" s="2" t="inlineStr">
        <is>
          <t>MONDAY</t>
        </is>
      </c>
      <c r="J66" s="2" t="inlineStr">
        <is>
          <t>ISIS</t>
        </is>
      </c>
      <c r="K66" s="3" t="inlineStr">
        <is>
          <t>IMBOLC, SAMHAIN</t>
        </is>
      </c>
      <c r="L66" s="3" t="inlineStr">
        <is>
          <t>Associated with Chiron.</t>
        </is>
      </c>
      <c r="M66" s="3" t="inlineStr">
        <is>
          <t>Purification, Lifting vibrations, Contemplation, Meditation, Peace, Increasing power of incense, Healing incenses, Healing sachets, Consecration, Blessing objects</t>
        </is>
      </c>
      <c r="N66" s="3" t="inlineStr">
        <is>
          <t>Burned as incense, sweet myrrh purifies the area, lifts the vibrations, aids contemplation and meditation, and creates peace.</t>
        </is>
      </c>
      <c r="O66" s="3" t="inlineStr">
        <is>
          <t>Burned as incense, sweet myrrh purifies the area, lifts the vibrations, aids contemplation and meditation, and creates peace. However, it is seldom burned alone — usually in conjunction with frankincense or other resins. Myrrh increases the power of any incense to which it is added. Myrrh is also included in healing incenses and sachets, and its smoke is used to consecrate, purify, and bless objects such as amulets, talismans, charms, and magical tools. It also aids meditation and contemplation and is used in healing mixtures. Guards against evil, brings peace, and assists in understanding personal sorrow.</t>
        </is>
      </c>
      <c r="P66" s="2" t="inlineStr">
        <is>
          <t>Melissa</t>
        </is>
      </c>
      <c r="Q66" s="3" t="inlineStr">
        <is>
          <t>Europe (Cultivated in damp soil)</t>
        </is>
      </c>
      <c r="R66" s="3" t="inlineStr">
        <is>
          <t>Warning: Avoid during pregnancy. May interact with diabetes medications. Do not ingest large quantities.</t>
        </is>
      </c>
      <c r="S66" s="42" t="inlineStr">
        <is>
          <t>Opoponax — the sweeter relative of myrrh, associated with Chiron the wounded healer. Carries all the sacred properties of myrrh — purification, meditation, peace — with an added quality of bolstering and supporting whatever spell it enters. Used in the same sacred incense traditions, with a warmer and more gentle quality.</t>
        </is>
      </c>
      <c r="T66" s="45" t="inlineStr">
        <is>
          <t>Aries, Aquarius</t>
        </is>
      </c>
      <c r="U66" t="inlineStr">
        <is>
          <t>Peace drawn through opoponax's gentle lifting energy.</t>
        </is>
      </c>
      <c r="V66" t="inlineStr">
        <is>
          <t>Meditation and healing incenses — holds the sacred space of deep working.</t>
        </is>
      </c>
      <c r="W66" t="inlineStr">
        <is>
          <t>Purification — the clearing function shared with all myrrh-family resins.</t>
        </is>
      </c>
      <c r="X66" t="inlineStr">
        <is>
          <t>Opens meditation and the contemplative space — where sacred work needs a settled atmosphere.</t>
        </is>
      </c>
      <c r="Y66" t="inlineStr">
        <is>
          <t>Turns through purification and the healing of what was heavy with unresolved energy.</t>
        </is>
      </c>
      <c r="Z66" t="inlineStr">
        <is>
          <t>The gentler myrrh in its bolstering function — where the working needs to be supported rather than transformed, opoponax increases what is already working rather than replacing it. The healer's companion resin.</t>
        </is>
      </c>
    </row>
    <row r="67" ht="49.5" customHeight="1" s="56">
      <c r="A67" s="4" t="inlineStr">
        <is>
          <t>OREGANO</t>
        </is>
      </c>
      <c r="B67" s="4" t="inlineStr">
        <is>
          <t>DEVILS OATMEAL</t>
        </is>
      </c>
      <c r="C67" s="4" t="inlineStr">
        <is>
          <t>Origanum vulgare</t>
        </is>
      </c>
      <c r="D67" s="5" t="inlineStr">
        <is>
          <t>Happiness, Animals, Harmony, Love, Peace, Protection, Psychic development, Aiding grief, Weddings, Hand-fastings, Joy, Joyous celebrations, Contentment, Serenity, Ensuring joy in the home, PEACE &amp; HAPPINESS,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Calming, Soothing, Calm, Calmness, Relaxation, Calming energies, Calming the mind, Calming stormy situations, AID MEDITATION,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Clairvoyance, Enhancing clairvoyance, Psychic powers, INCREASE PSYCHIC ABILITIES, Psychic awareness, Stimulating psychic senses, Disabling psychic phenomena, Psychic communication, communication and psychic abilities, Sacred union rites</t>
        </is>
      </c>
      <c r="E67" s="5" t="inlineStr">
        <is>
          <t>HERMES, MERCURY, VIRGO, GEMINI</t>
        </is>
      </c>
      <c r="F67" s="4" t="inlineStr">
        <is>
          <t>VENUS</t>
        </is>
      </c>
      <c r="G67" s="4" t="inlineStr">
        <is>
          <t>EARTH</t>
        </is>
      </c>
      <c r="H67" s="4" t="inlineStr">
        <is>
          <t>FEMININE</t>
        </is>
      </c>
      <c r="I67" s="4" t="inlineStr">
        <is>
          <t>WEDNESDAY</t>
        </is>
      </c>
      <c r="J67" s="4" t="inlineStr">
        <is>
          <t>ALL</t>
        </is>
      </c>
      <c r="K67" s="5" t="inlineStr">
        <is>
          <t>OSTARA, BELTANE</t>
        </is>
      </c>
      <c r="L67" s="5" t="inlineStr">
        <is>
          <t>Ancient Greeks believed it meant happiness in the afterlife if it grew on a grave.</t>
        </is>
      </c>
      <c r="M67" s="5" t="inlineStr">
        <is>
          <t>Useful in workings and spells around happiness, animals, harmony, love, peace, protection, and psychic development.</t>
        </is>
      </c>
      <c r="N67" s="5" t="inlineStr">
        <is>
          <t>Psychic development</t>
        </is>
      </c>
      <c r="O67" s="5" t="inlineStr">
        <is>
          <t>Useful in workings and spells around happiness, animals, harmony, love, peace, protection, and psychic development. It is said to aid in the process of grieving and is also used as a herb at weddings and handfastings.</t>
        </is>
      </c>
      <c r="P67" s="4" t="inlineStr">
        <is>
          <t>Ylang Ylang</t>
        </is>
      </c>
      <c r="Q67" s="5" t="inlineStr">
        <is>
          <t>California, USA (Dry mountainous slopes)</t>
        </is>
      </c>
      <c r="R67" s="5" t="inlineStr">
        <is>
          <t>Generally safe in culinary amounts. The essential oil is potent — always dilute. Avoid medicinal doses during pregnancy.</t>
        </is>
      </c>
      <c r="S67" s="42" t="inlineStr">
        <is>
          <t>The herb the ancient Greeks believed meant happiness in the afterlife — placed on graves to ensure the dead would find peace. A Venus and Earth herb of profound domestic magic: harmony, love, happiness and peace in the home. Used in grief workings as well as celebrations, understanding that joy and sorrow are neighbors.</t>
        </is>
      </c>
      <c r="T67" s="45" t="inlineStr">
        <is>
          <t>Gemini</t>
        </is>
      </c>
      <c r="U67" t="inlineStr">
        <is>
          <t>Happiness, harmony, love and peace drawn — oregano in domestic magic and celebration.</t>
        </is>
      </c>
      <c r="V67" t="inlineStr">
        <is>
          <t>Protection and psychic development — the earth herb that guards and deepens.</t>
        </is>
      </c>
      <c r="W67" t="inlineStr">
        <is>
          <t>Aiding grief — where grief must be gently released rather than suppressed.</t>
        </is>
      </c>
      <c r="X67" t="inlineStr">
        <is>
          <t>Opens psychic development through the quiet earth energy of Venus-ruled oregano.</t>
        </is>
      </c>
      <c r="Y67" t="inlineStr">
        <is>
          <t>Turns through the happiness of what has been grieved — where something has been honoured and can now settle into peace.</t>
        </is>
      </c>
      <c r="Z67" t="inlineStr">
        <is>
          <t>The herb of the sacred union rite in its older Mediterranean tradition — carried at handfastings and love ceremonies where two people come together fully, not just symbolically.</t>
        </is>
      </c>
    </row>
    <row r="68" ht="110.25" customHeight="1" s="56">
      <c r="A68" s="2" t="inlineStr">
        <is>
          <t>ORRIS ROOT POWDER</t>
        </is>
      </c>
      <c r="B68" s="2" t="inlineStr">
        <is>
          <t>QUEEN ELIZABETH ROOT</t>
        </is>
      </c>
      <c r="C68" s="2" t="inlineStr">
        <is>
          <t>Iris germanica var. florentina</t>
        </is>
      </c>
      <c r="D68" s="3" t="inlineStr">
        <is>
          <t>Digging into the subconscious, Uprooting what is hidden, Divination, Dream work, Love magick, Love drawing, Ensuring a lover returns love, Prophetic dreams, Invoking dreams, Dreams, Visions, Seeing the unseen, Seeing manifestations, Truth, Honesty, Removing deception, Subconscious work, Scrying, Dowsing, Treasure seeking, Lost object finding, Enhancing divination, Divinatory incense, Foretelling the future, Future divination, Prophecy, Love,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Fidelity, Faithfulness, Loyalty, Promoting fidelity</t>
        </is>
      </c>
      <c r="E68" s="3" t="inlineStr">
        <is>
          <t>Venus</t>
        </is>
      </c>
      <c r="F68" s="2" t="inlineStr">
        <is>
          <t>Moon</t>
        </is>
      </c>
      <c r="G68" s="2" t="inlineStr">
        <is>
          <t>Water</t>
        </is>
      </c>
      <c r="H68" s="2" t="inlineStr">
        <is>
          <t>Feminine</t>
        </is>
      </c>
      <c r="I68" s="2" t="inlineStr">
        <is>
          <t>Monday</t>
        </is>
      </c>
      <c r="J68" s="2" t="inlineStr">
        <is>
          <t>VENUS</t>
        </is>
      </c>
      <c r="K68" s="3" t="inlineStr">
        <is>
          <t>IMBOLC, SAMHAIN</t>
        </is>
      </c>
      <c r="L68" s="3" t="inlineStr">
        <is>
          <t>Also called fleur-de-lis, associated with dominion and war.</t>
        </is>
      </c>
      <c r="M68" s="3" t="inlineStr">
        <is>
          <t>love magic, and in hoodoo it is known as a love-drawing herb.</t>
        </is>
      </c>
      <c r="N68" s="3" t="inlineStr">
        <is>
          <t>Used in love magic rituals and as an incense base for devotional workings. Added to altar powders to draw spiritual love.</t>
        </is>
      </c>
      <c r="O68" s="3" t="inlineStr">
        <is>
          <t>A moon plant, orris root is good for digging deep into the moon-ruled subconscious and uprooting what is hidden. Like any moon herb, it can also be used in divination and dream work. Some consider orris root a Venus herb. It is widely used for love magic, and in hoodoo it is known as a love-drawing herb. The powder form is blown onto clothes, sheets, and so forth to make sure that the owner returns one's love.</t>
        </is>
      </c>
      <c r="P68" s="2" t="inlineStr">
        <is>
          <t>Melissa</t>
        </is>
      </c>
      <c r="Q68" s="3" t="inlineStr">
        <is>
          <t>Europe, Asia (Woodland edges)</t>
        </is>
      </c>
      <c r="R68" s="3" t="inlineStr">
        <is>
          <t>Warning: Can cause allergic reactions including skin irritation and respiratory issues. Handle with care.</t>
        </is>
      </c>
      <c r="S68" s="42" t="inlineStr">
        <is>
          <t>The Queen Elizabeth Root — the fleur-de-lis, symbol of dominion and war in heraldry, function of love-drawing and subconscious uprooting in magic. Known in Hoodoo as one of the finest love-drawing herbs. Digs into what is hidden, surfaces what the dreaming mind has been processing, draws the love that hesitates.</t>
        </is>
      </c>
      <c r="T68" s="45" t="inlineStr">
        <is>
          <t>Taurus</t>
        </is>
      </c>
      <c r="U68" t="inlineStr">
        <is>
          <t>Love magic and love drawing — orris root's primary function in Hoodoo and European magic both.</t>
        </is>
      </c>
      <c r="V68" t="inlineStr">
        <is>
          <t>None specified.</t>
        </is>
      </c>
      <c r="W68" t="inlineStr">
        <is>
          <t>None specified.</t>
        </is>
      </c>
      <c r="X68" t="inlineStr">
        <is>
          <t>Opens divination and dream work — where what is in the subconscious must be brought up and examined.</t>
        </is>
      </c>
      <c r="Y68" t="inlineStr">
        <is>
          <t>Turns through the uprooting of what was hidden — where the hidden pattern of love must change before love can arrive.</t>
        </is>
      </c>
      <c r="Z68" t="inlineStr">
        <is>
          <t>The subconscious-diving root in its most direct function — where what has been buried in the dreaming self must be brought up and examined in full, orris root is the herb that will not leave what is hidden where it found it.</t>
        </is>
      </c>
    </row>
    <row r="69" ht="98.25" customHeight="1" s="56">
      <c r="A69" s="4" t="inlineStr">
        <is>
          <t>PARSLEY</t>
        </is>
      </c>
      <c r="B69" s="4" t="inlineStr">
        <is>
          <t>DEVIL’S HERB</t>
        </is>
      </c>
      <c r="C69" s="4" t="inlineStr">
        <is>
          <t>Petroselinum crispum</t>
        </is>
      </c>
      <c r="D69" s="5" t="inlineStr">
        <is>
          <t>Divination, Clairvoyance, Happiness, Passion, Protection, Psychic development, Purification, Consecration, Contacting other planes, Fertility, Good luck, Invocation, Meditation, Rituals for the dead, Enhancing divination, Divinatory incense, Foretelling the future, Future divination, Scrying, Dowsing, Prophecy, Enhancing clairvoyance, Psychic powers, INCREASE PSYCHIC ABILITIES, Psychic awareness, Stimulating psychic senses, Disabling psychic phenomena, Psychic communication, communication and psychic abilities, Joy, Joyous celebrations, Contentment, Serenity, Ensuring joy in the home, PEACE &amp; HAPPINESS, Desire, Protective charm, Protective charms, Protective sachets, Protective wreaths, Protective incense, PROTECT AGAINST NEGATIVITY, Protection from negativity, Circle protection,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Contacting planes, Communion with spirits, Communing with the departed, Communing with otherworldly entities, Spirit work, Nether-realm travel, Walking between worlds, SISM, contacting a specific person, Samhain/ancestral altars, Ancestral altars, Ancestor rituals, Honouring the dead, ancestral magic, ancestral memory, Samhain rituals, death rites, Death and rebirth rites, Necromancy, Peaceful transition for the dead, ancestors, Crone magic, Seeing past lives, Reincarnation, Reincarnation knowledge, Past lives, Mabon/Samhain, Mabon rituals, Samhain,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Contemplation, Concentration, Focus, Sun God offerings, Solar spells</t>
        </is>
      </c>
      <c r="E69" s="5" t="inlineStr">
        <is>
          <t>ARIES, SCORPIO, PERSEPHONE, APHRODITS, VENUS</t>
        </is>
      </c>
      <c r="F69" s="4" t="inlineStr">
        <is>
          <t>MARS</t>
        </is>
      </c>
      <c r="G69" s="4" t="inlineStr">
        <is>
          <t>FIRE</t>
        </is>
      </c>
      <c r="H69" s="4" t="inlineStr">
        <is>
          <t>MASCULINE</t>
        </is>
      </c>
      <c r="I69" s="4" t="inlineStr">
        <is>
          <t>TUESDAY</t>
        </is>
      </c>
      <c r="J69" s="4" t="inlineStr">
        <is>
          <t>PERSEPHONE</t>
        </is>
      </c>
      <c r="K69" s="5" t="inlineStr">
        <is>
          <t>BELTANE, SAMHAIN</t>
        </is>
      </c>
      <c r="L69" s="5" t="inlineStr">
        <is>
          <t>Sacred to Persephone.</t>
        </is>
      </c>
      <c r="M69" s="5" t="inlineStr">
        <is>
          <t>Use in happiness, passion, protection, psychic development, and purification spells. Ritual use: consecration, contacting other planes, fertility, good luck, invocation, meditation, and rituals for the dead.</t>
        </is>
      </c>
      <c r="N69" s="5" t="inlineStr">
        <is>
          <t>Use in happiness, passion, protection, psychic development, and purification spells. Ritual use: consecration, contacting other planes, fertility, good luck, invocation, meditation, and rituals for the dead.</t>
        </is>
      </c>
      <c r="O69" s="5" t="inlineStr">
        <is>
          <t>Useful in divination and clairvoyance work. Use in happiness, passion, protection, psychic development, and purification spells. Ritual use: consecration, contacting other planes, fertility, good luck, invocation, meditation, and rituals for the dead.</t>
        </is>
      </c>
      <c r="P69" s="4" t="inlineStr">
        <is>
          <t>Pine</t>
        </is>
      </c>
      <c r="Q69" s="5" t="inlineStr">
        <is>
          <t>Europe, Asia (Hedges, woodland edges)</t>
        </is>
      </c>
      <c r="R69" s="5" t="inlineStr">
        <is>
          <t>Warning: Avoid large amounts during pregnancy as parsley seed can stimulate the uterus. Culinary amounts are safe.</t>
        </is>
      </c>
      <c r="S69" s="42" t="inlineStr">
        <is>
          <t>Sacred to Persephone — the herb that belongs to the underworld and to spring both, used in rituals for the dead and in fertility workings in equal measure. A Mars and Fire herb despite its delicate appearance, carrying direct projective energy that sharpens clairvoyance and happiness in the same breath.</t>
        </is>
      </c>
      <c r="T69" s="45" t="inlineStr">
        <is>
          <t>Gemini, Pisces</t>
        </is>
      </c>
      <c r="U69" t="inlineStr">
        <is>
          <t>Happiness, passion, fertility and good luck drawn — parsley in celebration and fertility magic.</t>
        </is>
      </c>
      <c r="V69" t="inlineStr">
        <is>
          <t>Protection and psychic development — parsley in protective and sight-sharpening workings.</t>
        </is>
      </c>
      <c r="W69" t="inlineStr">
        <is>
          <t>Purification and consecration rituals — the clearing herb.</t>
        </is>
      </c>
      <c r="X69" t="inlineStr">
        <is>
          <t>Opens divination and clairvoyance — parsley burned before any reading.</t>
        </is>
      </c>
      <c r="Y69" t="inlineStr">
        <is>
          <t>Turns through the purification needed before crossing a threshold — the herb of endings that make new beginnings possible.</t>
        </is>
      </c>
      <c r="Z69" t="inlineStr">
        <is>
          <t>The Persephone herb in its deepest underworld function — where the working must cross the line between life and death with intention, parsley carries the authority of the deity who has made that crossing and returned. Used where what is being worked with belongs to both worlds.</t>
        </is>
      </c>
    </row>
    <row r="70" ht="208.5" customHeight="1" s="56">
      <c r="A70" s="2" t="inlineStr">
        <is>
          <t>PENNYROYAL</t>
        </is>
      </c>
      <c r="B70" s="2" t="inlineStr">
        <is>
          <t>TICK WEED</t>
        </is>
      </c>
      <c r="C70" s="2" t="inlineStr">
        <is>
          <t>Mentha pulegium</t>
        </is>
      </c>
      <c r="D70" s="3"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 Healing, Healing magic, Healing incenses, Healing mixtures, Healing rituals, Healing incense, Healing vibrations, healing after surgery, Aiding recovery, Aiding the ill, Improving health, Speeding recovery, Good health, health,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 herb scattering, Exorcising demons, Exorcising evil ghosts, Exorcising evil entities, EXC, Cleansing,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Protection (hexes/evil), Psychic protection, Psychic shielding, Protection from hexes, Protection from conjure, Protection from evil, Protection from evil spirits, Protection from hauntings, Ju-ju / gris-gris protection, Guarding against sorcery, Guarding against evil, Warding off the Evil Eye, Warding off hexes, Warding,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Contacting planes, Contacting other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magic, ancestral memory, Samhain rituals, death rites, Death and rebirth rites, Necromancy, ancestors, Crone magic, Seeing past lives, Reincarnation, Past lives, Mabon/Samhain, Mabon rituals, Samhain,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PEACE &amp; HAPPINESS, Calming, Soothing, Calm, Calmness, Relaxation, Calming energies, Calming the mind, Serenity, AID MEDITATION, Inner peace, Peaceful vibrations, Calming stress, Calming household upheaval, FRIENDSHIP, House blessing, Blessing the home, Homestead protection, Sick-room blessings, Home protection, Household protection, Healing altars, Home blessing, Ensuring joy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Wisdom, Knowledge, Intelligence, Intuition, Mental clarity, Mental powers, MEM, Memory, Illumination, Enlightenment, Spell-breaking, Reversing harmful spells, Breaking spells, Hex breaking, Removing jinxes, Breaking hexes, Returning hexes, hex-breaking, Removing hexes and curses, Luck, Good luck, Fortune, Casino luck, WISHES, Wish magick, Carrying wishes, Transmuting wishes,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Consecrating incense burners, Amulets/talismans, Amulets, Talismans, Charm bags, Mojo bags, Sachets</t>
        </is>
      </c>
      <c r="E70" s="3" t="inlineStr">
        <is>
          <t>DEMETER, MARS, VENUS, HECATE</t>
        </is>
      </c>
      <c r="F70" s="2" t="inlineStr">
        <is>
          <t>VENUS</t>
        </is>
      </c>
      <c r="G70" s="2" t="inlineStr">
        <is>
          <t>EARTH</t>
        </is>
      </c>
      <c r="H70" s="2" t="inlineStr">
        <is>
          <t>FEMININE</t>
        </is>
      </c>
      <c r="I70" s="2" t="inlineStr">
        <is>
          <t>Friday</t>
        </is>
      </c>
      <c r="J70" s="2" t="inlineStr">
        <is>
          <t>HECATE</t>
        </is>
      </c>
      <c r="K70" s="3" t="inlineStr">
        <is>
          <t>OSTARA, BELTANE</t>
        </is>
      </c>
      <c r="L70" s="3" t="inlineStr">
        <is>
          <t>Associated with the High Priestess card. Scatttered on seas to calm them.</t>
        </is>
      </c>
      <c r="M70" s="3" t="inlineStr">
        <is>
          <t>anointing magical tools, rubbed into the body, or added to a bath.</t>
        </is>
      </c>
      <c r="N70" s="3" t="inlineStr">
        <is>
          <t>Burn dried pennyroyal leaves as a clearing incense in the home.</t>
        </is>
      </c>
      <c r="O70" s="3" t="inlineStr">
        <is>
          <t>Use in healing spells and sachets. Pennyroyal placed in your shoes will protect you from tired feet. Include pennyroyal in blessings and spells before travelling. Use to protect your psychic energy from negativity and to strengthen, cleanse, and repair the aura. Use also to protect against the evil eye. Pennyroyal is an excellent herb to use when gaining knowledge of reincarnation. Pennyroyal can be used to calm many types of stormy situations. Pennyroyal is an herb of peace and protection when worn or carried — it wards off evil and aids in business negotiations. Tied on the bedpost, it sharpens the brain and wits. Burn dried pennyroyal leaves as a clearing incense in the home. Pennyroyal is used to ward off evil and to remove hexes, curses, bad luck, and jinxes. It is also used during exorcisms. The oil can be used for anointing magical tools, rubbed into the body, or added to a bath.</t>
        </is>
      </c>
      <c r="P70" s="2" t="inlineStr">
        <is>
          <t>Ylang Ylang</t>
        </is>
      </c>
      <c r="Q70" s="3" t="inlineStr">
        <is>
          <t>Southern/Central Europe (Sunny dry areas)</t>
        </is>
      </c>
      <c r="R70" s="3" t="inlineStr">
        <is>
          <t>Warning: Highly toxic — especially the essential oil. Can cause liver and kidney damage. Do not ingest. Avoid during pregnancy.</t>
        </is>
      </c>
      <c r="S70" s="42" t="inlineStr">
        <is>
          <t>The High Priestess herb — associated with that card, used in rituals before any sacred work. The great anointing herb: anoints tools, bodies, baths, charm bags, candles, altars. Also one of the most complete protective herbs — guarding against evil eye, hexes, curses, and the drain of psychic energy. Used at sea-crossings to ensure safe arrival.</t>
        </is>
      </c>
      <c r="T70" s="45" t="inlineStr">
        <is>
          <t>Scorpio</t>
        </is>
      </c>
      <c r="U70" t="inlineStr">
        <is>
          <t>Peace and peaceful transition of the dead drawn — pennyroyal's Venus gentleness.</t>
        </is>
      </c>
      <c r="V70" t="inlineStr">
        <is>
          <t>Healing and psychic protection — the herb that guards the aura and strengthens the energy field.</t>
        </is>
      </c>
      <c r="W70" t="inlineStr">
        <is>
          <t>Exorcism and the removal of hexes and curses — pennyroyal's clearing function.</t>
        </is>
      </c>
      <c r="X70" t="inlineStr">
        <is>
          <t>Opens the psychic protection channel and the knowledge of past lives — reincarnation knowledge accessed through pennyroyal.</t>
        </is>
      </c>
      <c r="Y70" t="inlineStr">
        <is>
          <t>Turns through healing and the transformation of what was draining into something protected.</t>
        </is>
      </c>
      <c r="Z70" t="inlineStr">
        <is>
          <t>The High Priestess herb in its most complete anointing function — where the body being prepared is being prepared for something that requires its full sacred presence, pennyroyal is the herb that marks the threshold between the ordinary self and the ritual one.</t>
        </is>
      </c>
    </row>
    <row r="71" ht="159.75" customHeight="1" s="56">
      <c r="A71" s="4" t="inlineStr">
        <is>
          <t>PEPPERMINT</t>
        </is>
      </c>
      <c r="B71" s="4" t="inlineStr">
        <is>
          <t>BRANDY MINT</t>
        </is>
      </c>
      <c r="C71" s="4" t="inlineStr">
        <is>
          <t>Mentha × piperita</t>
        </is>
      </c>
      <c r="D71" s="5" t="inlineStr">
        <is>
          <t>Cleansing, Consecration, Dreams, Happiness, Healing, Love, Money, Passion, Prosperity, Protection, Psychic development, Purification, Release, Renewal, Rest, Sleep, Animals, Divination, Endings, Energy, Exorcism, Good luck, Grieving, Spirit offering, Success, Transformation, Prophetic dreams, Relieving headaches, Preventing illness, Calling good spirits, Healing spells, Cleansing the home, Cleansing ritual areas,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the aura, Cleansing baths, Cleansing tools, Cleansing space, Pre-ritual cleansing, Removing dark energies, Clearing aura attachments, Cleansing atmospheres, Cleansing objects, Cleansing body and spirit, Sweeping sacred spaces,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Invoking dreams, Dream work, Visions, Seeing the unseen, Seeing manifestations, Truth, Honesty, Removing deception, Subconscious work, Digging into the subconscious, Uprooting what is hidden, Scrying, Dowsing, Treasure seeking, Lost object finding, Joy, Joyous celebrations, Contentment, Serenity, Ensuring joy in the home, PEACE &amp; HAPPINESS, Healing magic,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Ritual offerings, Offerings to Sun Gods, Offerings to forest spirits, Offerings to gods, Inviting spirits, Offertory incense, Attracting good spirits, Calling spirits, Summoning spirits, Conjuring spirits, Conjuring beneficial spirits, Otherworld travel, Shamanic work, shamanic journeying, Nether-realm travel, Walking between worlds, Harmony,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Protective charm, Protective charms, Protective wreaths, Protective incense, PROTECT AGAINST NEGATIVITY, Protection from negativity, Circle protection, Clairvoyance, Enhancing clairvoyance, Psychic powers, INCREASE PSYCHIC ABILITIES, Psychic awareness, Stimulating psychic senses, Disabling psychic phenomena, Psychic communication, communication and psychic abilities, Breaking habits, Breaking bad habits, Ending negative self-talk, Letting go of relationships, Ending guilt, New beginnings, New beginning spells, Fresh starts, Change, rebirth, Breakthrough, Awakening, Growth, New ideas, Assisting transformation, Transformation/Evolution, Nightmare prevention, Preventing nightmares, Negating dreams, RID OF BAD DREAMS, Nightmares, Encouraging sound sleep, Enhancing divination, Divinatory incense, Foretelling the future, Future divination, Prophecy,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Victory, victory in battle, Conquest, Overcoming opposition, Courtroom success, Legal matters, Justice,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Protection against disease</t>
        </is>
      </c>
      <c r="E71" s="5" t="inlineStr">
        <is>
          <t>PLUTO, HECATE</t>
        </is>
      </c>
      <c r="F71" s="4" t="inlineStr">
        <is>
          <t>VENUS</t>
        </is>
      </c>
      <c r="G71" s="4" t="inlineStr">
        <is>
          <t>AIR</t>
        </is>
      </c>
      <c r="H71" s="4" t="inlineStr">
        <is>
          <t>MASCULINE</t>
        </is>
      </c>
      <c r="I71" s="4" t="inlineStr">
        <is>
          <t>Friday</t>
        </is>
      </c>
      <c r="J71" s="4" t="inlineStr">
        <is>
          <t>PLUTO, HECATE</t>
        </is>
      </c>
      <c r="K71" s="5" t="inlineStr">
        <is>
          <t>LAMMAS</t>
        </is>
      </c>
      <c r="L71" s="5" t="inlineStr">
        <is>
          <t>Sacred to Hades.</t>
        </is>
      </c>
      <c r="M71" s="5" t="inlineStr">
        <is>
          <t>Cleansing, consecration, dreams, happiness, healing, love, money, passion, prosperity, protection, psychic development, purification, release, renewal, rest, and sleep. Other magical uses: animals, divination, endings, energy, exorcism, good luck, grieving, spirit offerings, success, and transformation.</t>
        </is>
      </c>
      <c r="N71" s="5" t="inlineStr">
        <is>
          <t>offerings, success, and transformation.</t>
        </is>
      </c>
      <c r="O71" s="5" t="inlineStr">
        <is>
          <t>Cleansing, consecration, dreams, happiness, healing, love, money, passion, prosperity, protection, psychic development, purification, release, renewal, rest, and sleep. Other magical uses: animals, divination, endings, energy, exorcism, good luck, grieving, spirit offerings, success, and transformation. Burn before bed for prophetic dreams. Peppermint tea aids in divination. Mint is placed in the home as a protective herb. The fresh leaves rubbed against the head are said to relieve headaches. Mint worn at the wrist assures that you will not be ill. Its bright green leaves and crisp scent led to its use in money and prosperity spells. Fresh mint laid on the altar will call good spirits to be present and aid you in magic, especially healing spells. Added to incense, it cleanses the house or ritual area.</t>
        </is>
      </c>
      <c r="P71" s="4" t="inlineStr">
        <is>
          <t>Peppermint</t>
        </is>
      </c>
      <c r="Q71" s="5" t="inlineStr">
        <is>
          <t>Eastern Europe, West Asia (Cultivated)</t>
        </is>
      </c>
      <c r="R71" s="5" t="inlineStr">
        <is>
          <t>Generally safe for most uses. Avoid pure peppermint oil near the faces of infants or young children.</t>
        </is>
      </c>
      <c r="S71" s="42" t="inlineStr">
        <is>
          <t>Sacred to Hades — the herb of the underworld boundary, used in every direction of magic simultaneously. Cleansing, healing, love, protection, psychic development, exorcism, transformation: peppermint is the most versatile herb in any practice. Its sharpness wakes the working up. It calls good spirits. It purifies and releases in one breath.</t>
        </is>
      </c>
      <c r="T71" s="45" t="inlineStr">
        <is>
          <t>Cancer, Aquarius</t>
        </is>
      </c>
      <c r="U71" t="inlineStr">
        <is>
          <t>Happiness, love, passion, prosperity and calling good spirits drawn through peppermint.</t>
        </is>
      </c>
      <c r="V71" t="inlineStr">
        <is>
          <t>Healing, protection and psychic development held through peppermint's clear energy.</t>
        </is>
      </c>
      <c r="W71" t="inlineStr">
        <is>
          <t>Purification, release, endings and exorcism — peppermint's sharp transformative function.</t>
        </is>
      </c>
      <c r="X71" t="inlineStr">
        <is>
          <t>Opens dreams and psychic development — peppermint burned before divination or dreamwork.</t>
        </is>
      </c>
      <c r="Y71" t="inlineStr">
        <is>
          <t>Turns through cleansing and the transformation it enables — the old cleared completely, the new entering through fresh air.</t>
        </is>
      </c>
      <c r="Z71" t="inlineStr">
        <is>
          <t>The Venus herb sacred to Hades in its most complete Over 18 function — where the working acknowledges that desire and death are both aspects of Hades's domain, and that being fully alive includes the full range of what the body knows. The herb of those who are not afraid of intensity.</t>
        </is>
      </c>
    </row>
    <row r="72" ht="232.5" customHeight="1" s="56">
      <c r="A72" s="2" t="inlineStr">
        <is>
          <t>PINE NUT</t>
        </is>
      </c>
      <c r="B72" s="2" t="inlineStr">
        <is>
          <t>PEITH</t>
        </is>
      </c>
      <c r="C72" s="2" t="inlineStr">
        <is>
          <t>Pinus sabiniana</t>
        </is>
      </c>
      <c r="D72" s="3" t="inlineStr">
        <is>
          <t>Strength, Life, Immoror  Rejuvenation, Prosperity, Purifying  Purifying new homes, Staying the course, Warding off evil influences, Increasing fertility, Longevity, Cleansing negativity, Warding off illness, Protection, Purification, Divination, Keeping sickness away, Aiding the ill, Ensuring joy in the home, Banishing negative energies, Exorcism, Attracting money, Breaking hexes, Returning hexes, Purifying the home, Fertility charms, Cleansing baths, Consecration, Protection mixtures, Money mixtures, Healing mixtures, Immortality, Physical Strength, Fortitude, Vitality, Inner power, and strength, Long life, Eternal youth, Rejuvenation, Vigorous old age, Lengthening lifespan, Fertility, Female fertility, Fertility magic, Aiding fertility, Fruitfulness, Virility, male virility, Abundant harvest, Wealth, Wealth/Prosperity, Attracting business, Business dealings, abundance, Financial arrangements, Aiding gain, Gain, PROSPERITY SPELLS, Increasing wealth, Money, Money spells, Drawing money, INCREASE MONEY, Breaking financial stagnation, Protecting against poverty, Warding off poverty, Purifying ritual areas, Purifying new homes,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negativity, Bad luck warding, Sickness warding, Warding off sickness, Dispelling sickness, Removing sickness, Removing mental troubles, Keeping illness away, Curing fevers, Dispelling melancholy, Preventing illness, Protection against disease, Banishing,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tools, Cleansing the home, Cleansing space, Pre-ritual cleansing, Removing dark energies, Clearing aura attachments, Cleansing atmospheres, Cleansing objects, Cleansing body and spirit, Sweeping sacred spaces, Cleansing ritual areas, Ritual baths, Ritual bath, Cleansing before ritual, Purifying body and mind, Protective charm, Protective charms, Protective wreaths, Protective incense, PROTECT AGAINST NEGATIVITY, Protection from negativity, Circle protection, Enhancing divination, Divinatory incense, Foretelling the future, Future divination, Scrying, Dowsing, Prophecy, Healing, Healing magic, Healing spells, Healing sachets, Healing incenses, Healing rituals, Healing incense, Healing vibrations, healing after surgery, Aiding recovery,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Spell-breaking, Reversing harmful spells, Breaking spells, Hex breaking, Removing hexes, Removing curses, Removing jinxes, Removing bad luck, hex-breaking, Removing hexes and curses, Removing a jinx, Luck, Good luck, Good luck in family matters, Fortune, Casino luck, WISHES, Wish magick, Carrying wishes, Transmuting wishes</t>
        </is>
      </c>
      <c r="E72" s="3" t="inlineStr">
        <is>
          <t>BRIGID, LUNA, SELENE, CERNUNNOS, ATTIS, CANCER</t>
        </is>
      </c>
      <c r="F72" s="2" t="inlineStr">
        <is>
          <t>MOON</t>
        </is>
      </c>
      <c r="G72" s="2" t="inlineStr">
        <is>
          <t>WATER</t>
        </is>
      </c>
      <c r="H72" s="2" t="inlineStr">
        <is>
          <t>FEMININE</t>
        </is>
      </c>
      <c r="I72" s="2" t="inlineStr">
        <is>
          <t>MONDAY</t>
        </is>
      </c>
      <c r="J72" s="2" t="inlineStr">
        <is>
          <t>BRIGID, LUNA, SELENE, ATTIS</t>
        </is>
      </c>
      <c r="K72" s="3" t="inlineStr">
        <is>
          <t>LAMMAS</t>
        </is>
      </c>
      <c r="L72" s="3" t="inlineStr">
        <is>
          <t>Worshiped as a symbol of fire.</t>
        </is>
      </c>
      <c r="M72" s="3" t="inlineStr">
        <is>
          <t>attracting prosperity, purifying ritual areas and new homes, and helping to stay the course during difficult times.</t>
        </is>
      </c>
      <c r="N72" s="3" t="inlineStr">
        <is>
          <t>for purification and divination.</t>
        </is>
      </c>
      <c r="O72" s="3" t="inlineStr">
        <is>
          <t>Strength, life, immortality, and rejuvenation. Use as an external symbol of life and immortality. It is regarded as a very soothing tree to be near. Useful for attracting prosperity, purifying ritual areas and new homes, and helping to stay the course during difficult times. A pine wand or pine cone kept on the altar wards off evil influences. Carry pine cones to increase fertility and have a vigorous old age. Floor washes with pine oil cleanse a space of negativity and ward off illness. Throw pine needles into winter fires for protection, or burn pine incense for purification and divination. Place pine branches over the bed to keep sickness away, or to aid the ill. Hang a pine branch over the main door of your house to ensure continuous joy within. Burned for purification and to banish negative energies, exorcise evil supernatural entities, attract money, and break hexes and return them to their senders.</t>
        </is>
      </c>
      <c r="P72" s="2" t="inlineStr">
        <is>
          <t>Pine</t>
        </is>
      </c>
      <c r="Q72" s="3" t="inlineStr">
        <is>
          <t>Mediterranean (Dry, sunny areas)</t>
        </is>
      </c>
      <c r="R72" s="3" t="inlineStr">
        <is>
          <t>Generally safe. Rarely, pine nuts can cause taste disturbances lasting several days (pine mouth syndrome).</t>
        </is>
      </c>
      <c r="S72" s="42" t="inlineStr">
        <is>
          <t>The Moon herb worshipped as a symbol of fire — the pine nut from warm Mediterranean slopes, carrying both the pine's deep winter associations and its fire energy. Used to ensure joy in the home, to cleanse negativity and to attract money. The tree that stands green through winter knows something about endurance and the persistence of life.</t>
        </is>
      </c>
      <c r="T72" s="45" t="inlineStr">
        <is>
          <t>Capricorn</t>
        </is>
      </c>
      <c r="U72" t="inlineStr">
        <is>
          <t>Prosperity, fertility and attracting money drawn through pine's warm energy.</t>
        </is>
      </c>
      <c r="V72" t="inlineStr">
        <is>
          <t>Strength and warding off evil influences — pine in protective workings.</t>
        </is>
      </c>
      <c r="W72" t="inlineStr">
        <is>
          <t>Purifying, banishing and exorcism — pine burned to cleanse and clear.</t>
        </is>
      </c>
      <c r="X72" t="inlineStr">
        <is>
          <t>Opens the deeper strength of what endures — where persistence and the refusal to be extinguished are the spell.</t>
        </is>
      </c>
      <c r="Y72" t="inlineStr">
        <is>
          <t>Turns through purification and the seasonal renewal — winter's pine energy moving toward spring.</t>
        </is>
      </c>
      <c r="Z72" t="inlineStr">
        <is>
          <t>The fire-in-winter symbol in its most life-asserting aspect — where the working is about the refusal to be extinguished, about the deep drive to continue existing and generating, pine nut carries that energy at its most persistent and physical.</t>
        </is>
      </c>
    </row>
    <row r="73" ht="61.5" customHeight="1" s="56">
      <c r="A73" s="4" t="inlineStr">
        <is>
          <t>RASPBERRY LEAF</t>
        </is>
      </c>
      <c r="B73" s="4" t="inlineStr">
        <is>
          <t>RED RASPBERRY</t>
        </is>
      </c>
      <c r="C73" s="4" t="inlineStr">
        <is>
          <t>Rubus idaeus</t>
        </is>
      </c>
      <c r="D73" s="5" t="inlineStr">
        <is>
          <t>Love, Inducing love, Easing late pregnancy, Easing childbirth, Protection, Love magick, Love drawing, Attracting love, Love-attracting rituals, Inviting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t>
        </is>
      </c>
      <c r="E73" s="5" t="inlineStr">
        <is>
          <t>VENUS, APHRODITE</t>
        </is>
      </c>
      <c r="F73" s="4" t="inlineStr">
        <is>
          <t>VENUS</t>
        </is>
      </c>
      <c r="G73" s="4" t="inlineStr">
        <is>
          <t>WATER</t>
        </is>
      </c>
      <c r="H73" s="4" t="inlineStr">
        <is>
          <t>FEMININE</t>
        </is>
      </c>
      <c r="I73" s="4" t="inlineStr">
        <is>
          <t>Friday</t>
        </is>
      </c>
      <c r="J73" s="4" t="inlineStr">
        <is>
          <t>APHRODITE</t>
        </is>
      </c>
      <c r="K73" s="5" t="inlineStr">
        <is>
          <t>OSTARA, BELTANE</t>
        </is>
      </c>
      <c r="L73" s="5" t="inlineStr">
        <is>
          <t>Known to strengthen the uterus.</t>
        </is>
      </c>
      <c r="M73" s="5" t="inlineStr">
        <is>
          <t>love and protection spells.</t>
        </is>
      </c>
      <c r="N73" s="5" t="inlineStr">
        <is>
          <t>Used in fertility rituals and protective ceremonies. Sacred to the divine feminine; offered to Aphrodite and mother goddesses.</t>
        </is>
      </c>
      <c r="O73" s="5" t="inlineStr">
        <is>
          <t>It is often served as a love-inducing food, and the leaves can be carried by pregnant women to alleviate the pains of later pregnancy and childbirth. It is also used for love and protection spells.</t>
        </is>
      </c>
      <c r="P73" s="4" t="inlineStr">
        <is>
          <t>Ylang Ylang</t>
        </is>
      </c>
      <c r="Q73" s="5" t="inlineStr">
        <is>
          <t>Southern Europe (Dry rocky areas)</t>
        </is>
      </c>
      <c r="R73" s="6" t="inlineStr">
        <is>
          <t>Warning: Do not use at the beginning of pregnancy as it could cause miscarriage.</t>
        </is>
      </c>
      <c r="S73" s="42" t="inlineStr">
        <is>
          <t>The herb of the childbirth room and the love spell — used to ease late pregnancy and childbirth for centuries, used in love and protection magic for just as long. A Venus and Water herb of deep feminine care, useful in any working that concerns the body's own wisdom and the love that protects.</t>
        </is>
      </c>
      <c r="U73" t="inlineStr">
        <is>
          <t>Love and the inducing of love drawn through raspberry leaf's Venus energy.</t>
        </is>
      </c>
      <c r="V73" t="inlineStr">
        <is>
          <t>Protection — the love-and-protection dual function of this herb.</t>
        </is>
      </c>
      <c r="W73" t="inlineStr">
        <is>
          <t>None specified.</t>
        </is>
      </c>
      <c r="X73" t="inlineStr">
        <is>
          <t>Opens the deeper current of love — where love must be seen truly before it can be drawn.</t>
        </is>
      </c>
      <c r="Y73" t="inlineStr">
        <is>
          <t>Turns through the easing of what is difficult — where love or birth or transition needs gentling.</t>
        </is>
      </c>
      <c r="Z73" t="inlineStr">
        <is>
          <t>The childbirth herb in its most honest function — where the working concerns the full process of what it means for the feminine body to carry and bring forth life, raspberry leaf is the herb that has been in the room for that process since before medicine had a name.</t>
        </is>
      </c>
    </row>
    <row r="74" ht="61.5" customHeight="1" s="56">
      <c r="A74" s="2" t="inlineStr">
        <is>
          <t>ROSE BUDS PINK</t>
        </is>
      </c>
      <c r="B74" s="2" t="inlineStr">
        <is>
          <t>WOLD ROSE BUDS</t>
        </is>
      </c>
      <c r="C74" s="2" t="inlineStr">
        <is>
          <t>Rosa Canina</t>
        </is>
      </c>
      <c r="D74" s="3" t="inlineStr">
        <is>
          <t>Love, Friendship, Power, Healing, Divination, Romantic love ceremonies, Love magick, Love drawing, Attracting love, Love-attracting rituals, Inviting love, Inducing love, Love charms, Love enchantment, Finding love,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Magical power, Increasing magical power, Increasing spell power, Power amplification, Bolstering spells, Bolstering incense, Strengthening spells, Potency, Magic, WISDOM IN MAGICK, defensive magic, Healing magic, Healing spells, Healing sachets, Healing incenses, Healing mixtures, Healing rituals, Healing incense, Healing vibrations, healing after surgery, Aiding recovery, Aiding the ill, Improving health, Speeding recovery, Good health, health, Enhancing divination, Divinatory incense, Foretelling the future, Future divination, Scrying, Dowsing, Prophecy</t>
        </is>
      </c>
      <c r="E74" s="3" t="inlineStr">
        <is>
          <t>VENUS, DEMETER</t>
        </is>
      </c>
      <c r="F74" s="2" t="inlineStr">
        <is>
          <t>VENUS</t>
        </is>
      </c>
      <c r="G74" s="2" t="inlineStr">
        <is>
          <t>WATER</t>
        </is>
      </c>
      <c r="H74" s="2" t="inlineStr">
        <is>
          <t>FEMININE</t>
        </is>
      </c>
      <c r="I74" s="2" t="inlineStr">
        <is>
          <t>Friday</t>
        </is>
      </c>
      <c r="J74" s="2" t="inlineStr">
        <is>
          <t>APHRODITE, ISIS, VENUS, EROS, HATHOR, CUPID</t>
        </is>
      </c>
      <c r="K74" s="3" t="inlineStr">
        <is>
          <t>OSTARA, BELTANE</t>
        </is>
      </c>
      <c r="L74" s="3" t="inlineStr">
        <is>
          <t>Each colour has a meaning.</t>
        </is>
      </c>
      <c r="M74" s="3" t="inlineStr">
        <is>
          <t>love, friendship, power, healing, and divination.</t>
        </is>
      </c>
      <c r="N74" s="3" t="inlineStr">
        <is>
          <t>Used in love rituals, goddess devotions, and Ostara ceremonies. Placed on altars to honour Aphrodite and the divine feminine.</t>
        </is>
      </c>
      <c r="O74" s="3" t="inlineStr">
        <is>
          <t>Use for love, friendship, power, healing, and divination. Use rose buds for ceremonies concerning romantic love.</t>
        </is>
      </c>
      <c r="P74" s="2" t="inlineStr">
        <is>
          <t>Rose</t>
        </is>
      </c>
      <c r="Q74" s="3" t="inlineStr">
        <is>
          <t>Mediterranean (Sunny, rocky slopes)</t>
        </is>
      </c>
      <c r="R74" s="3" t="inlineStr">
        <is>
          <t>Generally considered safe for most uses. Always use in moderation.</t>
        </is>
      </c>
      <c r="S74" s="42" t="inlineStr">
        <is>
          <t>Each rose colour carries its own message — pink for friendship and romantic love, the softer face of the rose's power. Used in romantic love ceremonies and carried to attract the warmth of companionship rather than the fire of passion. The divination rose, the friendship rose, the healing rose.</t>
        </is>
      </c>
      <c r="U74" t="inlineStr">
        <is>
          <t>Love and friendship drawn through pink rose's gentle warmth.</t>
        </is>
      </c>
      <c r="V74" t="inlineStr">
        <is>
          <t>Power and healing — the strength of what love protects.</t>
        </is>
      </c>
      <c r="W74" t="inlineStr">
        <is>
          <t>None specified.</t>
        </is>
      </c>
      <c r="X74" t="inlineStr">
        <is>
          <t>Opens divination — placed on the altar before readings where matters of love are being sought.</t>
        </is>
      </c>
      <c r="Y74" t="inlineStr">
        <is>
          <t>Turns through healing — what was broken in love or friendship finding its way back toward wholeness.</t>
        </is>
      </c>
      <c r="Z74" t="inlineStr">
        <is>
          <t>The romantic rose in its Over 18 aspect — where the divination being worked concerns matters of the heart that include the body's knowledge as well as the heart's, pink rose is the herb that does not separate the two.</t>
        </is>
      </c>
    </row>
    <row r="75" ht="171.75" customHeight="1" s="56">
      <c r="A75" s="4" t="inlineStr">
        <is>
          <t>ROSE BUDS RED</t>
        </is>
      </c>
      <c r="B75" s="4" t="inlineStr">
        <is>
          <t>WARDIA</t>
        </is>
      </c>
      <c r="C75" s="4" t="inlineStr">
        <is>
          <t>Rose Gallica</t>
        </is>
      </c>
      <c r="D75" s="5" t="inlineStr">
        <is>
          <t>Prophetic dreams, Healing, Health, Calming stress, Calming household upheaval, Love, Luck, Creativity, Balance, Anointing, Divination, Clairvoyance, Protection, Psychic awareness, Conjuring a lover, Invoking dreams, Dream work, Dreams, Visions, Seeing the unseen, Seeing manifestations, Truth, Honesty, Removing deception, Subconscious work, Digging into the subconscious, Uprooting what is hidden, Scrying, Dowsing, Treasure seeking, Lost object finding, Healing magic, Healing spells, Healing sachets, Healing incenses, Healing mixtures, Healing rituals, Healing incense, Healing vibrations, healing after surgery, Aiding recovery, Aiding the ill, Improving health, Speeding recovery, Good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tools, Anointing candles, Anointing altars, Anointing the body, Anointing amulets, Anointing talismans, Anointing baths, Anointing charm bags, Anointing mojo bags, Consecrating incense burners, Amulets/talismans, Amulets, Talismans, Protective sachets, Charm bags, Mojo bags, Sachets, Enhancing divination, Divinatory incense, Foretelling the future, Future divination, Prophecy, Enhancing clairvoyance, Psychic development, Psychic powers, INCREASE PSYCHIC ABILITIES, Stimulating psychic senses, Disabling psychic phenomena, Psychic communication, communication and psychic abilities, Protective charm, Protective charms, Protective wreaths, Protective incense, PROTECT AGAINST NEGATIVITY, Protection from negativity, Circle protection, Attraction, Attracting a mate, Attracting a soulmate, HELP ATTRACT OPPOSITE SEX, Finding future love</t>
        </is>
      </c>
      <c r="E75" s="5" t="inlineStr">
        <is>
          <t>VENUS, PISCES, CANCER, SCORPIO</t>
        </is>
      </c>
      <c r="F75" s="4" t="inlineStr">
        <is>
          <t>VENUS, MERCURY</t>
        </is>
      </c>
      <c r="G75" s="4" t="inlineStr">
        <is>
          <t>WATER</t>
        </is>
      </c>
      <c r="H75" s="4" t="inlineStr">
        <is>
          <t>FEMININE</t>
        </is>
      </c>
      <c r="I75" s="4" t="inlineStr">
        <is>
          <t>Wednesday</t>
        </is>
      </c>
      <c r="J75" s="4" t="inlineStr">
        <is>
          <t>APHRODITE, ISIS, VENUS, EROS, HATHOR, CUPID</t>
        </is>
      </c>
      <c r="K75" s="5" t="inlineStr">
        <is>
          <t>MABON</t>
        </is>
      </c>
      <c r="L75" s="5" t="inlineStr">
        <is>
          <t>Attract fairies.</t>
        </is>
      </c>
      <c r="M75" s="5" t="inlineStr">
        <is>
          <t>Burn as incense for healing, health, love, luck, creativity, balance, anointing, divination, clairvoyance, protection, and psychic awareness.</t>
        </is>
      </c>
      <c r="N75" s="5" t="inlineStr">
        <is>
          <t>Burn as incense for healing, health, love, luck, creativity, balance, anointing, divination, clairvoyance, protection, and psychic awareness.</t>
        </is>
      </c>
      <c r="O75" s="5" t="inlineStr">
        <is>
          <t>A tea of rose buds drunk before sleep induces prophetic dreams. Rose petals and hips are used in healing spells and mixtures. Rose petals sprinkled around the house calm personal stress and household upheavals. Burn as incense for healing, health, love, luck, creativity, balance, anointing, divination, clairvoyance, protection, and psychic awareness. Rose buds are added to bath water to conjure a lover. Place some in a red cloth bag and pin it under your clothes.</t>
        </is>
      </c>
      <c r="P75" s="4" t="inlineStr">
        <is>
          <t>Rose</t>
        </is>
      </c>
      <c r="Q75" s="5" t="inlineStr">
        <is>
          <t>India (Dry deciduous forests)</t>
        </is>
      </c>
      <c r="R75" s="5" t="inlineStr">
        <is>
          <t>Generally considered safe for most uses. Always use in moderation.</t>
        </is>
      </c>
      <c r="S75" s="42" t="inlineStr">
        <is>
          <t>The Fairy-attracting rose, grown in India's dry deciduous forests. Red rose buds for prophecy, healing and the drawing of love — carried to conjure a lover, burned as incense for psychic awareness. The full romantic force of Venus in a closed bud, all potential, all possibility.</t>
        </is>
      </c>
      <c r="U75" t="inlineStr">
        <is>
          <t>Love, luck and conjuring a lover drawn through red rose's full Venus energy.</t>
        </is>
      </c>
      <c r="V75" t="inlineStr">
        <is>
          <t>Healing, health and psychic awareness — the red rose held in healing and sight-work.</t>
        </is>
      </c>
      <c r="W75" t="inlineStr">
        <is>
          <t>None specified.</t>
        </is>
      </c>
      <c r="X75" t="inlineStr">
        <is>
          <t>Opens prophetic dreams and divination — red rose on the pillow, in the incense, on the altar.</t>
        </is>
      </c>
      <c r="Y75" t="inlineStr">
        <is>
          <t>Turns through healing and the rebalancing of what was disrupted — the rose's calming force.</t>
        </is>
      </c>
      <c r="Z75" t="inlineStr">
        <is>
          <t>The conjuring rose in its most direct function — where a specific person is being drawn or a specific truth about love is being sought, red rose is the herb that does not traffic in vague wishes but in named intentions.</t>
        </is>
      </c>
    </row>
    <row r="76" ht="195.75" customHeight="1" s="56">
      <c r="A76" s="2" t="inlineStr">
        <is>
          <t>ROSE HIP</t>
        </is>
      </c>
      <c r="B76" s="2" t="inlineStr">
        <is>
          <t>WITCHES BRIAR</t>
        </is>
      </c>
      <c r="C76" s="2" t="inlineStr">
        <is>
          <t>Rosa canina</t>
        </is>
      </c>
      <c r="D76" s="3" t="inlineStr">
        <is>
          <t>Honouring Venus, Harmony, Peace, Calming energies, Love, Soul mates, Companionship, Incense, Sachets, Charm bags, Love-attracting rituals, Cleansing before ritual, Stress relief, Love magick, Love drawing, Attracting love,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Mojo bags,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Purifying body and mind</t>
        </is>
      </c>
      <c r="E76" s="3" t="inlineStr">
        <is>
          <t>VENUS, HULDA, DEMETER, ISIS, EROS, APHRODITE, TAURUS</t>
        </is>
      </c>
      <c r="F76" s="2" t="inlineStr">
        <is>
          <t>JUPITER</t>
        </is>
      </c>
      <c r="G76" s="2" t="inlineStr">
        <is>
          <t>WATER</t>
        </is>
      </c>
      <c r="H76" s="2" t="inlineStr">
        <is>
          <t>FEMININE</t>
        </is>
      </c>
      <c r="I76" s="2" t="inlineStr">
        <is>
          <t>Thursday</t>
        </is>
      </c>
      <c r="J76" s="2" t="inlineStr">
        <is>
          <t>ISIS, EROS, APHRODITE</t>
        </is>
      </c>
      <c r="K76" s="3" t="inlineStr">
        <is>
          <t>LAMMAS, MABON</t>
        </is>
      </c>
      <c r="L76" s="3" t="inlineStr">
        <is>
          <t>Used in WWII to prevent scurvy.</t>
        </is>
      </c>
      <c r="M76" s="3" t="inlineStr">
        <is>
          <t>Place rose hips around the home to bring back harmony and peace if there has been a great deal of disharmony or upheaval.</t>
        </is>
      </c>
      <c r="N76" s="3" t="inlineStr">
        <is>
          <t>in ritual, place a bowl of rose hips on your altar.</t>
        </is>
      </c>
      <c r="O76" s="3" t="inlineStr">
        <is>
          <t>When honouring the goddess Venus in ritual, place a bowl of rose hips on your altar. Place rose hips around the home to bring back harmony and peace if there has been a great deal of disharmony or upheaval. Consecrate and charge the rose hips to radiate with loving, calming energies that will fill your space. Tuck them in cabinets and closets, under pillows, and on window sills and door frames. Use rose hips in a ritual bath for work concerning love, soul mates, and companionship. Crush and add to incense, add to sachets and charm bags, or string on a necklace as part of a love-attracting ritual. For cleansing before a ritual, or to wash away stress after a hard day.</t>
        </is>
      </c>
      <c r="P76" s="2" t="inlineStr">
        <is>
          <t>Rose</t>
        </is>
      </c>
      <c r="Q76" s="3" t="inlineStr">
        <is>
          <t>India, Southeast Asia (Tropical dry forests)</t>
        </is>
      </c>
      <c r="R76" s="3" t="inlineStr">
        <is>
          <t>Generally safe. High in Vitamin C. Avoid large doses if taking blood thinners or with kidney stones.</t>
        </is>
      </c>
      <c r="S76" s="42" t="inlineStr">
        <is>
          <t>The Witches' Briar — the fruit of the wild rose, carried in WWII Britain against scurvy, carried in magic for harmony and soul mates. Used in love-attracting rituals and in ritual baths that cleanse before serious work. The seed case of love's promise, full of Vitamin C and ancient correspondences to Venus.</t>
        </is>
      </c>
      <c r="U76" t="inlineStr">
        <is>
          <t>Harmony, peace and love drawn — rose hip in love and harmony workings.</t>
        </is>
      </c>
      <c r="V76" t="inlineStr">
        <is>
          <t>None specified.</t>
        </is>
      </c>
      <c r="W76" t="inlineStr">
        <is>
          <t>None specified.</t>
        </is>
      </c>
      <c r="X76" t="inlineStr">
        <is>
          <t>Opens the deeper truth of what Honouring Venus means — where the goddess herself is being invoked through the wild rose.</t>
        </is>
      </c>
      <c r="Y76" t="inlineStr">
        <is>
          <t>Turns through cleansing before ritual — the rose hip bath that prepares the body for what comes next.</t>
        </is>
      </c>
      <c r="Z76" t="inlineStr">
        <is>
          <t>The witch's briar in its Venus-honouring function — where the working is an offering to the goddess in her most complete aspect, including what she represents about the full cycle of love from first flowering to the hips of autumn.</t>
        </is>
      </c>
    </row>
    <row r="77" ht="98.25" customHeight="1" s="56">
      <c r="A77" s="4" t="inlineStr">
        <is>
          <t>ROSE PETALS</t>
        </is>
      </c>
      <c r="B77" s="4" t="inlineStr">
        <is>
          <t>ROSE PETALS</t>
        </is>
      </c>
      <c r="C77" s="4" t="inlineStr">
        <is>
          <t>Rosa centifolia</t>
        </is>
      </c>
      <c r="D77" s="5" t="inlineStr">
        <is>
          <t>Love, Sex, Passion, Conjuring a lover, Attracting love, Prophetic dreams, Healing, Calming stress, Calming household upheaval, Love messages, Love magick, Love drawing,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Desire, Attraction, Attracting a mate, Attracting a soulmate, HELP ATTRACT OPPOSITE SEX, Finding future love, Invoking dreams, Dream work, Dreams, Visions, Seeing the unseen, Seeing manifestations, Truth, Honesty, Removing deception, Subconscious work, Digging into the subconscious, Uprooting what is hidden, Scrying, Dowsing, Treasure seeking, Lost object finding, Healing magic, Healing spells, Healing sachets, Healing incenses, Healing mixtures, Healing rituals, Healing incense, Healing vibrations, healing after surgery, Aiding recovery, Aiding the ill, Improving health, Speeding recovery, Good health, health</t>
        </is>
      </c>
      <c r="E77" s="5" t="inlineStr">
        <is>
          <t>VENUS, APHRODITE</t>
        </is>
      </c>
      <c r="F77" s="4" t="inlineStr">
        <is>
          <t>JUPITER</t>
        </is>
      </c>
      <c r="G77" s="4" t="inlineStr">
        <is>
          <t>WATER</t>
        </is>
      </c>
      <c r="H77" s="4" t="inlineStr">
        <is>
          <t>FEMININE</t>
        </is>
      </c>
      <c r="I77" s="4" t="inlineStr">
        <is>
          <t>Thursday</t>
        </is>
      </c>
      <c r="J77" s="4" t="inlineStr">
        <is>
          <t>APHRODITE</t>
        </is>
      </c>
      <c r="K77" s="5" t="inlineStr">
        <is>
          <t>LAMMAS, MABON</t>
        </is>
      </c>
      <c r="L77" s="5" t="inlineStr">
        <is>
          <t>Ancient custom to sprinkle beds of newly-weds.</t>
        </is>
      </c>
      <c r="M77" s="5" t="inlineStr">
        <is>
          <t>Love, Sex, Passion, Conjuring a lover, Attracting love, Prophetic dreams, Healing, Calming stress, Calming household upheaval, Love messages</t>
        </is>
      </c>
      <c r="N77" s="5" t="inlineStr">
        <is>
          <t>Used in love rituals, Beltane ceremonies, and devotional offerings to Aphrodite, Isis, and Venus. Scattered on altars and in sacred baths.</t>
        </is>
      </c>
      <c r="O77" s="5" t="inlineStr">
        <is>
          <t>Red roses symbolise love, sex, and passion. The rose is perhaps one of the most powerful symbols in the metaphysical world and one of the most accessible tools for everyday magic. Rose is the accepted love scent. Rose buds are added to bath water to conjure a lover — place some in a red cloth bag and pin it under your clothes. Rose hips worn as beads attract love. A tea of rose buds drunk before sleep induces prophetic dreams. Rose petals and hips are used in healing spells and mixtures. Rose petals sprinkled around the house calm personal stress and household upheavals. The gift of a rose is also one of the simplest ways to say "I love you".</t>
        </is>
      </c>
      <c r="P77" s="4" t="inlineStr">
        <is>
          <t>Rose</t>
        </is>
      </c>
      <c r="Q77" s="5" t="inlineStr">
        <is>
          <t>Oceans, Salt lakes, Mineral deposits</t>
        </is>
      </c>
      <c r="R77" s="5" t="inlineStr">
        <is>
          <t>Generally considered safe for most uses. Always use in moderation.</t>
        </is>
      </c>
      <c r="S77" s="42" t="inlineStr">
        <is>
          <t>The bridal bed herb — strewn on new-weds' beds since ancient custom, used in love messages and in the conjuring of lovers. Rose petals carry the full weight of love magic across every tradition: attraction, passion, prophetic dreams of the beloved, the healing of what love has bruised. The most recognised love herb in the world.</t>
        </is>
      </c>
      <c r="U77" t="inlineStr">
        <is>
          <t>Love, passion, conjuring a lover and attracting love drawn through rose petals.</t>
        </is>
      </c>
      <c r="V77" t="inlineStr">
        <is>
          <t>Healing and calming household upheaval — rose petals in the calming and healing work.</t>
        </is>
      </c>
      <c r="W77" t="inlineStr">
        <is>
          <t>None specified.</t>
        </is>
      </c>
      <c r="X77" t="inlineStr">
        <is>
          <t>Opens prophetic dreams of love — rose petals under the pillow, in the dream sachet.</t>
        </is>
      </c>
      <c r="Y77" t="inlineStr">
        <is>
          <t>Turns through healing and the calming of what was turbulent in the heart or home.</t>
        </is>
      </c>
      <c r="Z77" t="inlineStr">
        <is>
          <t>The ancient bridal herb in its most complete function — where the working acknowledges that what love means includes the body's wisdom alongside the heart's, rose petals are strewn where what is happening deserves the full blessing of Venus.</t>
        </is>
      </c>
    </row>
    <row r="78" ht="110.25" customHeight="1" s="56">
      <c r="A78" s="2" t="inlineStr">
        <is>
          <t>ROSEMARY</t>
        </is>
      </c>
      <c r="B78" s="2" t="inlineStr">
        <is>
          <t>DEW OF THE SEA</t>
        </is>
      </c>
      <c r="C78" s="2" t="inlineStr">
        <is>
          <t>Salvia rosmarinus</t>
        </is>
      </c>
      <c r="D78" s="3" t="inlineStr">
        <is>
          <t>Cleansing, Consecration, Exorcism, Healing, Sleep, Peace of mind, Confidence, Courage, Good luck, Grieving, Happiness, Knowledge, Love, Memory, Passion, Preventing theft, Protection, Psychic development, Psychic protection, Purification, Release, Water rites, Sea rituals, Weddings, Blessings, Dreams, Endings, Energy, Elves, Fidelity, Honesty, Inspiration, Invocation, Longevity, Meditation, New moon, Preventing nightmares, Strength, Transformation, Wisdom,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Healing magic, Healing spells, Healing sachets, Healing incenses, Healing mixtures, Healing rituals, Healing incense, Healing vibrations, healing after surgery, Aiding recovery, Aiding the ill, Improving health, Speeding recovery, Good health, health, Nightmare prevention, Negating dreams, RID OF BAD DREAMS, Nightmares, Rest, Encouraging sound sleep, Relaxation, Serenity, Calm,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Tranquillity, PEACE &amp; HAPPINESS, Calming, Soothing, Calmness,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Self-confidence,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Joy, Joyous celebrations, Contentment, Intelligence, Intuition, Mental clarity, Sharpening the wits, Sharpening the brain, Mental powers, MEM, Illumination, Enlightenment, Desire, Anti-theft, Protection against theft, Protective charm, Protective charms, Protective wreaths, Protective incense, PROTECT AGAINST NEGATIVITY, Protection from negativity, Circle protection, Clairvoyance, Enhancing clairvoyance, Psychic powers, INCREASE PSYCHIC ABILITIES, Psychic awareness, Stimulating psychic senses, Disabling psychic phenomena, Psychic communication, communication and psychic abilities,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Breaking habits, Breaking bad habits, Ending negative self-talk, Letting go of relationships, Ending guilt, Renewal, New beginnings, New beginning spells, Fresh starts, Change, rebirth, Breakthrough, Awakening, Growth, New ideas, Assisting transformation, Transformation/Evolution, Hand-fastings, Sacred union rites, Prophetic dreams, Invoking dreams, Dream work, Visions, Seeing the unseen, Seeing manifestations, Truth, Removing deception, Subconscious work, Digging into the subconscious, Uprooting what is hidden, Scrying, Dowsing, Treasure seeking, Lost object finding, Faithfulness, Loyalty, Promoting fidelity, Ensuring a lover returns love, Long life, Immortality, Eternal youth, Rejuvenation, Vigorous old age, Lengthening lifespan, Life, Physical Strength, Fortitude, Vitality, Inner power, and strength</t>
        </is>
      </c>
      <c r="E78" s="3" t="inlineStr">
        <is>
          <t>Venus</t>
        </is>
      </c>
      <c r="F78" s="2" t="inlineStr">
        <is>
          <t>SUN</t>
        </is>
      </c>
      <c r="G78" s="2" t="inlineStr">
        <is>
          <t>FIRE</t>
        </is>
      </c>
      <c r="H78" s="2" t="inlineStr">
        <is>
          <t>MASCULINE</t>
        </is>
      </c>
      <c r="I78" s="2" t="inlineStr">
        <is>
          <t>SUNDAY</t>
        </is>
      </c>
      <c r="J78" s="2" t="inlineStr">
        <is>
          <t>APHRODITE, ISIS, VENUS, VESTA, AMATERASU</t>
        </is>
      </c>
      <c r="K78" s="3" t="inlineStr">
        <is>
          <t>LITHA, LAMMAS, MABON</t>
        </is>
      </c>
      <c r="L78" s="3" t="inlineStr">
        <is>
          <t>Reputation as all-purpose herb.</t>
        </is>
      </c>
      <c r="M78" s="3" t="inlineStr">
        <is>
          <t>confidence, courage, good luck, grieving, happiness, healing, knowledge, love, memory, passion, preventing theft, protection, psychic development, psychic protection, purification, release, water rites/sea rituals, and weddings.</t>
        </is>
      </c>
      <c r="N78" s="3" t="inlineStr">
        <is>
          <t>in rituals for cleansing, consecration, and exorcism, and in rituals for the dead.</t>
        </is>
      </c>
      <c r="O78" s="3" t="inlineStr">
        <is>
          <t>Use in rituals for cleansing, consecration, and exorcism, and in rituals for the dead. It is an excellent herb for healing, aiding sleep, and peace of mind, especially when the scent is inhaled. It can be used for confidence, courage, good luck, grieving, happiness, healing, knowledge, love, memory, passion, preventing theft, protection, psychic development, psychic protection, purification, release, water rites/sea rituals, and weddings. Other magical uses: blessings, dreams, endings, energy, elves, fidelity, honesty, inspiration, invocation, longevity, meditation, new moon, preventing nightmares, aiding sleep, strength, transformation, and wisdom.</t>
        </is>
      </c>
      <c r="P78" s="2" t="inlineStr">
        <is>
          <t>Rosemary</t>
        </is>
      </c>
      <c r="Q78" s="3" t="inlineStr">
        <is>
          <t>Europe, Asia (Fields, sunny slopes)</t>
        </is>
      </c>
      <c r="R78" s="3" t="inlineStr">
        <is>
          <t>Generally safe in culinary amounts. Avoid medicinal doses during pregnancy. May interact with blood thinners.</t>
        </is>
      </c>
      <c r="S78" s="42" t="inlineStr">
        <is>
          <t>Sea cliff and hot stone, silver needles holding the sun's fire. The all-purpose herb of the Mediterranean tradition — burned before anything else when a space must be cleared, woven into protection charms and love sachets with equal ease, used in rites for the dead and rites for the living without conflict. Where memory and protection are needed, this grows.</t>
        </is>
      </c>
      <c r="T78" s="45" t="inlineStr">
        <is>
          <t>Aries</t>
        </is>
      </c>
      <c r="U78" t="inlineStr">
        <is>
          <t>Peace of mind, good luck, happiness, love, passion and fidelity drawn.</t>
        </is>
      </c>
      <c r="V78" t="inlineStr">
        <is>
          <t>Healing, confidence, courage, knowledge, protection and psychic development held.</t>
        </is>
      </c>
      <c r="W78" t="inlineStr">
        <is>
          <t>Exorcism, purification, release and transformation — the great clearing herb.</t>
        </is>
      </c>
      <c r="X78" t="inlineStr">
        <is>
          <t>Opens knowledge and the quiet wisdom that comes before a working — where what must be known must first be seen.</t>
        </is>
      </c>
      <c r="Y78" t="inlineStr">
        <is>
          <t>Turns through cleansing and exorcism — the silver-needled smoke carrying out what must leave.</t>
        </is>
      </c>
      <c r="Z78" t="inlineStr">
        <is>
          <t>At its most intimate — the herb carried at the wedding bed since the oldest custom. Where sacred union is the working, rosemary is there as the blessing of what the body offers freely.</t>
        </is>
      </c>
    </row>
    <row r="79" ht="257.25" customHeight="1" s="56">
      <c r="A79" s="4" t="inlineStr">
        <is>
          <t>RUE</t>
        </is>
      </c>
      <c r="B79" s="4" t="inlineStr">
        <is>
          <t>HERB OF GRACE</t>
        </is>
      </c>
      <c r="C79" s="4" t="inlineStr">
        <is>
          <t>Ruta graveolens</t>
        </is>
      </c>
      <c r="D79" s="5"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 Love magick, Love drawing, Love-attracting rituals, Inviting love, Inducing love, Love charms,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Spell-breaking, Reversing harmful spells, Hex breaking, Removing hexes, Removing curses, Removing bad luck, Breaking hexes, Returning hexes, hex-breaking, Removing hexes and curses, Removing a jinx, Luck, Good luck, Good luck in family matters, Fortune, Casino luck, WISHES, Wish magick, Carrying wishes, Transmuting wishes, Success, Victory, victory in battle, Overcoming opposition, Courtroom success, Legal matters, Justice, Attracting a soulmate, Conjuring a lover, HELP ATTRACT OPPOSITE SEX, Finding future love,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Banishing, Banishing negative energies, Banishing smudge, Banishing pesky spirits, Banishing unwanted energies, Casting away evil spirits,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Protection (hexes/evil), Psychic protection, Psychic shielding, Protection from evil, Ju-ju / gris-gris protection, Guarding against sorcery, Guarding against evil, Protection against the evil eye, Warding off hexes, Warding, Warding off evil, Warding off illness, Warding negativity, Bad luck warding, Sickness warding, Warding off evil influences, Dispelling sickness, Removing sickness, Removing mental troubles, Keeping illness away, Keeping sickness away, Curing fevers, Dispelling melancholy, Preventing illness, Protection against disease, Protective charm, Protective charms, Protective sachets, Protective wreaths, Protective incense, PROTECT AGAINST NEGATIVITY, Protection from negativity, Circle protection, Healing, Healing magic, Healing spells, Healing sachets, Healing incenses, Healing mixtures, Healing rituals, Healing incense, Healing vibrations, healing after surgery, Aiding recovery, Aiding the ill, Good health, health,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Talismans, Charm bags, Mojo bags, Sachets</t>
        </is>
      </c>
      <c r="E79" s="5" t="inlineStr">
        <is>
          <t>HECATE, DIANA, LEO</t>
        </is>
      </c>
      <c r="F79" s="4" t="inlineStr">
        <is>
          <t>SATURN</t>
        </is>
      </c>
      <c r="G79" s="4" t="inlineStr">
        <is>
          <t>FIRE</t>
        </is>
      </c>
      <c r="H79" s="4" t="inlineStr">
        <is>
          <t>MASCULINE</t>
        </is>
      </c>
      <c r="I79" s="4" t="inlineStr">
        <is>
          <t>WEDNESDAY</t>
        </is>
      </c>
      <c r="J79" s="4" t="inlineStr">
        <is>
          <t>HECATE, DIANA</t>
        </is>
      </c>
      <c r="K79" s="5" t="inlineStr">
        <is>
          <t>SAMHAIN, YULE</t>
        </is>
      </c>
      <c r="L79" s="5" t="inlineStr">
        <is>
          <t>Traditionally used as hex breaker. Poisons/werewolves/negative forces rendered powerless.</t>
        </is>
      </c>
      <c r="M79" s="5" t="inlineStr">
        <is>
          <t>Peaceful vibrations, Removing jinxes, Conquest, Charm, Attraction, Love, Prosperity, Repelling negativity, Protection from conjure, Protection from evil spirits</t>
        </is>
      </c>
      <c r="N79" s="5" t="inlineStr">
        <is>
          <t>Burn dried rue and green candles rubbed with rue oil on a full moon to summon prosperity.</t>
        </is>
      </c>
      <c r="O79" s="5" t="inlineStr">
        <is>
          <t>Mix the dried herb in a bowl of spring water and sprinkle around a home to bring peaceful vibrations or remove a jinx. For conquest, charm, attraction, and love, carry the herb in a red cloth bag next to your heart. Burn dried rue and green candles rubbed with rue oil on a full moon to summon prosperity. It is placed at the door of the house, business, or temple to repel negativity, as this plant is a powerful warrior against conjure and evil spirits. Carry a pinch of rue in a cloth bag or place it above the front door to ward off the evil eye. Make a tea of rue and sprinkle it around the home for protection, or bathe in it to break spells. Rue mixed with comfrey root will improve health matters, and rue burned with verbena, mistletoe, and benzoin can take off jinxes. Rue burned with lavender flowers and sandalwood is thought to be a lover's incense.</t>
        </is>
      </c>
      <c r="P79" s="4" t="inlineStr">
        <is>
          <t>Patchouli</t>
        </is>
      </c>
      <c r="Q79" s="5" t="inlineStr">
        <is>
          <t>Europe, Asia (Roadsides, meadows)</t>
        </is>
      </c>
      <c r="R79" s="5" t="inlineStr">
        <is>
          <t>Warning: Can cause severe skin photosensitivity and blistering. Toxic if ingested. Avoid during pregnancy — can cause miscarriage.</t>
        </is>
      </c>
      <c r="S79" s="42" t="inlineStr">
        <is>
          <t>The traditional hex-breaker, poisons-and-werewolves herb, used across the Mediterranean and British traditions alike as the great protector against conjure. In Stregheria it protects against any spell. In everyday magic it removes jinxes, attracts love and repels what attacks — a herb of contradictions that resolves them all into Saturn's cold, reliable protection.</t>
        </is>
      </c>
      <c r="T79" s="45" t="inlineStr">
        <is>
          <t>Leo, Sagittarius</t>
        </is>
      </c>
      <c r="U79" t="inlineStr">
        <is>
          <t>Love, attraction, prosperity and peaceful vibrations drawn through rue's quieter energy.</t>
        </is>
      </c>
      <c r="V79" t="inlineStr">
        <is>
          <t>Protection from hexes and evil spirits, warding off illness — rue held as a guardian.</t>
        </is>
      </c>
      <c r="W79" t="inlineStr">
        <is>
          <t>Breaking spells and removing jinxes — the hex-breaker's primary function.</t>
        </is>
      </c>
      <c r="X79" t="inlineStr">
        <is>
          <t>Opens the hidden protection channel — where what is attacking must be seen before it can be reversed.</t>
        </is>
      </c>
      <c r="Y79" t="inlineStr">
        <is>
          <t>Turns through the removing of what was placed — hex broken, jinx lifted, the original energy restored.</t>
        </is>
      </c>
      <c r="Z79" t="inlineStr">
        <is>
          <t>The hex-breaker in its most direct Saturn function — where what must be broken has been binding someone's energy at a level they may not have recognised, rue works at that depth without asking for permission from what it is breaking.</t>
        </is>
      </c>
    </row>
    <row r="80" ht="98.25" customHeight="1" s="56">
      <c r="A80" s="2" t="inlineStr">
        <is>
          <t>SAGE</t>
        </is>
      </c>
      <c r="B80" s="2" t="inlineStr">
        <is>
          <t>SAWGE</t>
        </is>
      </c>
      <c r="C80" s="2" t="inlineStr">
        <is>
          <t>Salvia officinalis</t>
        </is>
      </c>
      <c r="D80" s="3" t="inlineStr">
        <is>
          <t>Cleansing, Consecration, Psychic protection, Purification, Healing, Longevity, Money, Passion, Wisdom, Prosperity, Love, Psychic development, Clairvoyance, Meditation, Peace, Tranquillity, Knowledge, Divination, Domestic harmony, Energy, Happiness, Inspiration, Keeping secrets, Mabon rituals, Samhain rituals, Weddings, Hand-fastings,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Healing magic, Healing spells, Healing sachets, Healing incenses, Healing mixtures, Healing rituals, Healing incense, Healing vibrations, healing after surgery, Aiding recovery, Aiding the ill, Improving health, Speeding recovery, Good health, health, Long life, Immortality, Eternal youth, Rejuvenation, Vigorous old age, Lengthening lifespan, Life,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Intelligence, Intuition, Mental clarity, Sharpening the wits, Sharpening the brain, Mental powers,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Peace of mind,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Sun God offerings, Solar spells, Enhancing clairvoyance,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Joy, Joyous celebrations, Contentment, Contacting planes,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death rites, Death and rebirth rites, Necromancy, Peaceful transition for the dead, ancestors, Crone magic, Seeing past lives, Reincarnation, Reincarnation knowledge, Past lives, Mabon/Samhain, Samhain, Sacred union rites</t>
        </is>
      </c>
      <c r="E80" s="3" t="inlineStr">
        <is>
          <t>Zeus, Jupiter</t>
        </is>
      </c>
      <c r="F80" s="2" t="inlineStr">
        <is>
          <t>MERCURY, JUPITER</t>
        </is>
      </c>
      <c r="G80" s="2" t="inlineStr">
        <is>
          <t>EARTH</t>
        </is>
      </c>
      <c r="H80" s="2" t="inlineStr">
        <is>
          <t>FEMININE</t>
        </is>
      </c>
      <c r="I80" s="2" t="inlineStr">
        <is>
          <t>Wednesday</t>
        </is>
      </c>
      <c r="J80" s="2" t="inlineStr">
        <is>
          <t>ZEUS</t>
        </is>
      </c>
      <c r="K80" s="3" t="inlineStr">
        <is>
          <t>MABON, SAMHAIN</t>
        </is>
      </c>
      <c r="L80" s="3" t="inlineStr">
        <is>
          <t>Brought to New World by colonists.</t>
        </is>
      </c>
      <c r="M80" s="3" t="inlineStr">
        <is>
          <t>It is used frequently as a smudge for cleansing, consecration, psychic protection, and purification. Used in healing, longevity, money, passion, wisdom, prosperity, and love spells. The smoke is known to aid psychic development, clairvoyance, meditation, peace, tranquillity, knowledge, and divination, as well as domestic harmony, energy, happiness,</t>
        </is>
      </c>
      <c r="N80" s="3" t="inlineStr">
        <is>
          <t>in rituals and at weddings and handfastings.</t>
        </is>
      </c>
      <c r="O80" s="3" t="inlineStr">
        <is>
          <t>It is used frequently as a smudge for cleansing, consecration, psychic protection, and purification. Used in healing, longevity, money, passion, wisdom, prosperity, and love spells. The smoke is known to aid psychic development, clairvoyance, meditation, peace, tranquillity, knowledge, and divination, as well as domestic harmony, energy, happiness, inspiration, and keeping secrets. It is also used as a blessing in Mabon and Samhain rituals and at weddings and handfastings.</t>
        </is>
      </c>
      <c r="P80" s="2" t="inlineStr">
        <is>
          <t>Lavender</t>
        </is>
      </c>
      <c r="Q80" s="3" t="inlineStr">
        <is>
          <t>Mediterranean (Sunny, rocky areas)</t>
        </is>
      </c>
      <c r="R80" s="3" t="inlineStr">
        <is>
          <t>Generally safe in culinary amounts. Avoid large doses during pregnancy. Do not use long-term in high quantities.</t>
        </is>
      </c>
      <c r="S80" s="42" t="inlineStr">
        <is>
          <t>The Earth herb brought to the New World by colonists, sacred to Native American smudging traditions and European kitchen magic both. Where two traditions meet is often where the true power is. Sage clears, consecrates and protects through the wisdom of the Earth element — patient, thorough, reliable. The herb that understands that the ground must be clean before anything can grow.</t>
        </is>
      </c>
      <c r="T80" s="45" t="inlineStr">
        <is>
          <t>Taurus, Sagittarius</t>
        </is>
      </c>
      <c r="U80" t="inlineStr">
        <is>
          <t>Passion, prosperity, love, peace and domestic harmony drawn through sage.</t>
        </is>
      </c>
      <c r="V80" t="inlineStr">
        <is>
          <t>Psychic protection, healing, wisdom and knowledge held — sage in the deep protective and wisdom work.</t>
        </is>
      </c>
      <c r="W80" t="inlineStr">
        <is>
          <t>Purification — the smudge sage, the clearing smoke.</t>
        </is>
      </c>
      <c r="X80" t="inlineStr">
        <is>
          <t>Opens psychic development and the wisdom that comes from a settled, protected mind.</t>
        </is>
      </c>
      <c r="Y80" t="inlineStr">
        <is>
          <t>Turns through cleansing and purification — the sage smoke that changes the quality of everything it touches.</t>
        </is>
      </c>
      <c r="Z80" t="inlineStr">
        <is>
          <t>The handfasting herb in its deepest function — used in sacred union ceremonies where the blessing must extend to all of what two people give each other.</t>
        </is>
      </c>
    </row>
    <row r="81" ht="159.75" customHeight="1" s="56">
      <c r="A81" s="4" t="inlineStr">
        <is>
          <t>SANDALWOOD RED</t>
        </is>
      </c>
      <c r="B81" s="4" t="inlineStr">
        <is>
          <t>SATAL</t>
        </is>
      </c>
      <c r="C81" s="4" t="inlineStr">
        <is>
          <t>Pterocarpus santalinus</t>
        </is>
      </c>
      <c r="D81" s="5" t="inlineStr">
        <is>
          <t>Protection, Healing, Exorcism, Conjuring spirits, Spiritual vibrations, Full Moon rituals, Clearing negativity, Protection (beads), Spiritual awareness, Spirituality, Wishes, Warding negativity, Astral projection, Reincarnation, Spirit offering, Clairvoyance, Seeing past lives, Calming the mind, Protective charm, Protective charms, Protective sachets, Protective wreaths, Protective incense, PROTECT AGAINST NEGATIVITY, Protection from negativity, Circle protection, Healing magic, Healing spells, Healing sachets, Healing incenses, Healing mixtures, Healing rituals, Healing incense, Healing vibrations, healing after surgery, Aiding recovery, Aiding the ill, Improving health, Speeding recovery, Good health, health, Banishing, Banishing negative energies, Banishing smudge, Banishing pesky spirits, Banishing unwanted energies, Casting away evil spirits, Repelling negativity, Driving away negativity, Removing negative spirits, Removing residual energies, Removing negative energy,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travel, Out-of-body protection, High spiritual vibrations, Spirit offerings, Ritual offerings, Offerings to Sun Gods, Offerings to forest spirits, Offerings to gods, Inviting spirits, Offertory incense, Attracting good spirits, Calling good spirits, Calling spirits, Summoning spirits, Conjuring beneficial spirits, Otherworld travel, Shamanic work, shamanic journeying, Nether-realm travel, Walking between worlds, Harmony, Domestic harmony, Peace of mind, Tranquillity, PEACE &amp; HAPPINESS, Calming, Soothing, Calm, Calmness, Relaxation, Calming energies,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Bad luck warding, Sickness warding, Warding off evil influences, Warding off sickness, Dispelling sickness, Removing sickness, Removing mental troubles, Keeping illness away, Keeping sickness away, Curing fevers, Dispelling melancholy, Preventing illness, Protection against disease, Contacting planes,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Reincarnation knowledge, Past lives, Mabon/Samhain, Mabon rituals, Samhain, Enhancing clairvoyance, Psychic development, Psychic powers, INCREASE PSYCHIC ABILITIES, Psychic awareness, Stimulating psychic senses, Disabling psychic phenomena, Psychic communication, communication and psychic abilities</t>
        </is>
      </c>
      <c r="E81" s="5" t="inlineStr">
        <is>
          <t>Luna, Isis</t>
        </is>
      </c>
      <c r="F81" s="4" t="inlineStr">
        <is>
          <t>Moon</t>
        </is>
      </c>
      <c r="G81" s="4" t="inlineStr">
        <is>
          <t>Water</t>
        </is>
      </c>
      <c r="H81" s="4" t="inlineStr">
        <is>
          <t>Feminine</t>
        </is>
      </c>
      <c r="I81" s="4" t="inlineStr">
        <is>
          <t>Monday</t>
        </is>
      </c>
      <c r="J81" s="4" t="inlineStr">
        <is>
          <t>LUNA, ISIS</t>
        </is>
      </c>
      <c r="K81" s="5" t="inlineStr">
        <is>
          <t>IMBOLC, SAMHAIN</t>
        </is>
      </c>
      <c r="L81" s="5" t="inlineStr">
        <is>
          <t>None provided.</t>
        </is>
      </c>
      <c r="M81" s="5" t="inlineStr">
        <is>
          <t>Sandalwood powder is burned during protection, healing, and exorcism spells. Sandalwood is used as an incense base for protection, healing, exorcism, spirituality, wishes, full moon esbats, warding negativity, astral projection, reincarnation, and spirit offerings.</t>
        </is>
      </c>
      <c r="N81" s="5" t="inlineStr">
        <is>
          <t>burned during protection, healing, and exorcism spells.</t>
        </is>
      </c>
      <c r="O81" s="5" t="inlineStr">
        <is>
          <t>Lower grades of sandalwood (light coloured with little scent) are not recommended for use in magic. Sandalwood powder is burned during protection, healing, and exorcism spells. When mixed with lavender it makes incense designed to conjure spirits. This fragrant wood possesses very high spiritual vibrations and is mixed with frankincense and burned at séances and full moon rituals. Powdered sandalwood can be scattered about a place to clear it of negativity. Sandalwood beads are protective and promote spiritual awareness when worn. The scents of frankincense and sandalwood have some of the highest vibrations inherent in any plant. Sandalwood is used as an incense base for protection, healing, exorcism, spirituality, wishes, full moon esbats, warding negativity, astral projection, reincarnation, and spirit offerings. It stimulates clairvoyance, aids in seeing past lives, healing, clearing, and calming the mind.</t>
        </is>
      </c>
      <c r="P81" s="4" t="inlineStr">
        <is>
          <t>Sandalwood w.i.</t>
        </is>
      </c>
      <c r="Q81" s="5" t="inlineStr">
        <is>
          <t>South America (Tropical rainforests)</t>
        </is>
      </c>
      <c r="R81" s="5" t="inlineStr">
        <is>
          <t>Generally safe for external ritual use. The essential oil should not be ingested.</t>
        </is>
      </c>
      <c r="S81" s="42" t="inlineStr">
        <is>
          <t>The funeral herb of the Orient — recorded in Ayurvedic medicine for millennia, carried into death rites across Asia. The Moon and Water herb that conjures spirits and carries the vibration of the spiritual world into material space. Its red variety is the more projective face of sandalwood's sacred quality.</t>
        </is>
      </c>
      <c r="T81" s="45" t="inlineStr">
        <is>
          <t>Virgo, Sagittarius</t>
        </is>
      </c>
      <c r="U81" t="inlineStr">
        <is>
          <t>None specified — sandalwood works primarily in spiritual and protective functions.</t>
        </is>
      </c>
      <c r="V81" t="inlineStr">
        <is>
          <t>Protection and healing — red sandalwood in healing and protective preparations.</t>
        </is>
      </c>
      <c r="W81" t="inlineStr">
        <is>
          <t>Exorcism and clearing negativity — burned to drive out what must leave.</t>
        </is>
      </c>
      <c r="X81" t="inlineStr">
        <is>
          <t>Opens conjuring of spirits and the spiritual vibration — where the non-physical must be invited into the working.</t>
        </is>
      </c>
      <c r="Y81" t="inlineStr">
        <is>
          <t>Turns through exorcism and healing — the space made spiritually clean, the working made pure.</t>
        </is>
      </c>
      <c r="Z81" t="inlineStr">
        <is>
          <t>The funeral herb in its Over 18 aspect — where the working crosses the boundary between the living and the spirit world with intention, red sandalwood carries the full weight of the long tradition of using it where that crossing must be made consciously.</t>
        </is>
      </c>
    </row>
    <row r="82" ht="245.25" customHeight="1" s="56">
      <c r="A82" s="2" t="inlineStr">
        <is>
          <t>SANDALWOOD WHITE</t>
        </is>
      </c>
      <c r="B82" s="2" t="inlineStr">
        <is>
          <t>WHITE SANDALWOOD</t>
        </is>
      </c>
      <c r="C82" s="2" t="inlineStr">
        <is>
          <t>Santalum album</t>
        </is>
      </c>
      <c r="D82" s="3" t="inlineStr">
        <is>
          <t>Clairvoyance, Divination, Good luck, Meditation, Protection, Success, High spiritual vibrations, Conjuring spirits, Exorcising demons, Exorcising evil ghosts, Clearing negativity, Healing, Conjuring beneficial spirits, Spiritual awareness, Astral projection, Wish magick, Reincarnation, Spirit offering, Consecrating altar cloths,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travel, Out-of-body protection, SPIRITUALITY, Spiritual vibrations, Spirit offerings, Ritual offerings, Offerings to Sun Gods, Offerings to forest spirits, Offerings to gods, Inviting spirits, Offertory incense, Attracting good spirits, Calling good spirits, Calling spirits, Summoning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Protective charm, Protective charms, Protective sachets, Protective wreaths, Protective incense, PROTECT AGAINST NEGATIVITY, Protection from negativity, Circle protection, Victory, victory in battle, Conquest, Overcoming opposition, Courtroom success, Legal matters, Justice, Banishing, Banishing negative energies, Banishing smudge, Banishing pesky spirits, Banishing unwanted energies, Casting away evil spirits, Repelling negativity, Driving away negativity, Removing negative spirits, Removing residual energies, Removing negative energy, Removing negativity, Keeping away negative forces, Exorcism, Exorcisms, Exorcism herb scattering,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Contacting planes,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knowledge, Past lives, Mabon/Samhain, Mabon rituals, Samhain, Purification, Purifying ritual areas, Purifying  Purifying new homes, Purifying new homes, Purifying the home, Self-purification, Purifying ritual spaces, Purification rituals, Sanctifying an area, Dedicating sacred spaces, Creating sacred spaces, Consecration, Blessing objects, Anointing, Anointing tools, Anointing candles, Anointing altars, Anointing the body, Anointing amulets, Anointing talismans, Anointing baths, Anointing charm bags, Anointing mojo bags, Consecrating incense burners, Amulets/talismans, Amulets, Talismans, Charm bags, Mojo bags, Sachets</t>
        </is>
      </c>
      <c r="E82" s="3" t="inlineStr">
        <is>
          <t>Isis, Luna</t>
        </is>
      </c>
      <c r="F82" s="2" t="inlineStr">
        <is>
          <t>MOON</t>
        </is>
      </c>
      <c r="G82" s="2" t="inlineStr">
        <is>
          <t>WATER</t>
        </is>
      </c>
      <c r="H82" s="2" t="inlineStr">
        <is>
          <t>FEMININE</t>
        </is>
      </c>
      <c r="I82" s="2" t="inlineStr">
        <is>
          <t>Monday</t>
        </is>
      </c>
      <c r="J82" s="2" t="inlineStr">
        <is>
          <t>ISIS, LUNA</t>
        </is>
      </c>
      <c r="K82" s="3" t="inlineStr">
        <is>
          <t>IMBOLC, SAMHAIN</t>
        </is>
      </c>
      <c r="L82" s="3" t="inlineStr">
        <is>
          <t>Funeral herb in the Orient. Recorded in Ayurvedic medicine.</t>
        </is>
      </c>
      <c r="M82" s="3" t="inlineStr">
        <is>
          <t>clairvoyance, divination, good luck, meditation, protection, and success workings and spells.</t>
        </is>
      </c>
      <c r="N82" s="3" t="inlineStr">
        <is>
          <t>incense and burned at full moon esbats and séances.</t>
        </is>
      </c>
      <c r="O82" s="3" t="inlineStr">
        <is>
          <t>Use for clairvoyance, divination, good luck, meditation, protection, and success workings and spells. It possesses high spiritual vibrations, especially when mixed with frankincense and burned at full moon esbats and séances. Mix with lavender to make incense designed to conjure spirits. Burned to exorcise demons and evil ghosts, to clear space of negativity, and for protection, healing, conjuring beneficial spirits, and promoting spiritual awareness. Sandalwood incense is also used by many witches for protection, astral projection, healing rituals, and wish magic. Sandalwood beads are protective and promote spiritual awareness when worn. Sandalwood is recommended for use when consecrating altar cloths.</t>
        </is>
      </c>
      <c r="P82" s="2" t="inlineStr">
        <is>
          <t>Sandalwood In.</t>
        </is>
      </c>
      <c r="Q82" s="3" t="inlineStr">
        <is>
          <t>Europe, Asia (Damp grasslands)</t>
        </is>
      </c>
      <c r="R82" s="3" t="inlineStr">
        <is>
          <t>Generally safe for external and ritual use. The essential oil should not be ingested.</t>
        </is>
      </c>
      <c r="S82" s="42" t="inlineStr">
        <is>
          <t>The Ayurvedic sacred wood in its white form — the clairvoyance and divination sharpener, the wish magic herb. Carrying the full Moon and Water quality of sandalwood with a clarity that the red does not have. Used in all the reaching workings: astral projection, wish magic, consecrating altar cloths, conjuring beneficial spirits.</t>
        </is>
      </c>
      <c r="T82" s="45" t="inlineStr">
        <is>
          <t>Virgo, Sagittarius</t>
        </is>
      </c>
      <c r="U82" t="inlineStr">
        <is>
          <t>Good luck and the general drawing of good things.</t>
        </is>
      </c>
      <c r="V82" t="inlineStr">
        <is>
          <t>Meditation and protection — white sandalwood in the deep meditative and protective traditions.</t>
        </is>
      </c>
      <c r="W82" t="inlineStr">
        <is>
          <t>Clearing negativity — the clearing smoke of white sandalwood.</t>
        </is>
      </c>
      <c r="X82" t="inlineStr">
        <is>
          <t>Opens clairvoyance and divination — white sandalwood burned before any reading or psychic work.</t>
        </is>
      </c>
      <c r="Y82" t="inlineStr">
        <is>
          <t>Turns through success and the healing of what was obscured — clarity coming after confusion.</t>
        </is>
      </c>
      <c r="Z82" t="inlineStr">
        <is>
          <t>The clairvoyance wood in its most complete spiritual function — where the working asks for the full opening of the psychic self including what it knows about desire and death and what lies beyond both, white sandalwood does not filter what it opens.</t>
        </is>
      </c>
    </row>
    <row r="83" ht="208.5" customHeight="1" s="56">
      <c r="A83" s="4" t="inlineStr">
        <is>
          <t>SEA SALT</t>
        </is>
      </c>
      <c r="B83" s="4" t="inlineStr">
        <is>
          <t>BRINY</t>
        </is>
      </c>
      <c r="C83" s="4" t="inlineStr">
        <is>
          <t>Sodium chloride</t>
        </is>
      </c>
      <c r="D83" s="5" t="inlineStr">
        <is>
          <t>Purification, Smudging, Asperging, Representing Earth, Protection from psychic attack, Disabling psychic phenomena, Transmuting wishes, Fire-casting spells, Water-casting spells, Carrying wishes, Removing burdens, Clearing aura attachments,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Clairvoyance, Enhancing clairvoyance, Psychic development, Psychic powers, INCREASE PSYCHIC ABILITIES, Psychic awareness, Stimulating psychic senses, Psychic communication, communication and psychic abilities, Spell-breaking, Reversing harmful spells, Breaking spells, Hex breaking, Removing hexes, Removing curses, Removing jinxes, Removing bad luck, Breaking hexes, Returning hexes, hex-breaking, Removing hexes and curses, Removing a jinx, Luck, Good luck, Good luck in family matters, Fortune, Casino luck, WISHES, Wish magick,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Cleansing atmospheres, Cleansing objects, Cleansing body and spirit, Sweeping sacred spaces, Cleansing ritual areas, Cleansing negativity, Ritual baths, Ritual bath, Cleansing before ritual, Purifying body and mind</t>
        </is>
      </c>
      <c r="E83" s="5" t="inlineStr">
        <is>
          <t>Aphrodite</t>
        </is>
      </c>
      <c r="F83" s="4" t="inlineStr">
        <is>
          <t>Moon</t>
        </is>
      </c>
      <c r="G83" s="4" t="inlineStr">
        <is>
          <t>Water/Earth</t>
        </is>
      </c>
      <c r="H83" s="4" t="inlineStr">
        <is>
          <t>Feminine</t>
        </is>
      </c>
      <c r="I83" s="4" t="inlineStr">
        <is>
          <t>Not specified</t>
        </is>
      </c>
      <c r="J83" s="4" t="inlineStr">
        <is>
          <t>APHRODITE</t>
        </is>
      </c>
      <c r="K83" s="5" t="inlineStr">
        <is>
          <t>IMBOLC, SAMHAIN</t>
        </is>
      </c>
      <c r="L83" s="5" t="inlineStr">
        <is>
          <t>Romans paid soldiers with salt.</t>
        </is>
      </c>
      <c r="M83" s="5" t="inlineStr">
        <is>
          <t>Salt has always been used as protection against psychic attacks and to disable unwanted psychic phenomena. As salt absorbs psychic energy, it can be used to transfer or transmute a wish or spell to the higher powers by first making the spell, then throwing the salt into the fire where it burns up and releases the psychic charge into the higher dime</t>
        </is>
      </c>
      <c r="N83" s="5" t="inlineStr">
        <is>
          <t>altar to represent the element of earth.</t>
        </is>
      </c>
      <c r="O83" s="5" t="inlineStr">
        <is>
          <t>Sea salt is used in purification spells. It can be incorporated into smudging and asperging, and it is used on the altar to represent the element of earth. Salt has always been used as protection against psychic attacks and to disable unwanted psychic phenomena. As salt absorbs psychic energy, it can be used to transfer or transmute a wish or spell to the higher powers by first making the spell, then throwing the salt into the fire where it burns up and releases the psychic charge into the higher dimensions. The most basic form of this spell is to hold a little salt in the hand, make a wish, and then throw the salt into the fire. In the same vein, salt can be thrown into water — a well, a river, or the sea — to carry wishes, take away burdens, or clear attachments from the aura. It is an immensely flexible system with a hundred and one uses.</t>
        </is>
      </c>
      <c r="P83" s="4" t="inlineStr">
        <is>
          <t>Melissa</t>
        </is>
      </c>
      <c r="Q83" s="5" t="inlineStr">
        <is>
          <t>Europe, Asia (Waste ground, meadows)</t>
        </is>
      </c>
      <c r="R83" s="5" t="inlineStr">
        <is>
          <t>Generally safe for ritual use. Not suitable for those on sodium-restricted diets if ingested.</t>
        </is>
      </c>
      <c r="S83" s="42" t="inlineStr">
        <is>
          <t>The ancient payment of Roman soldiers — sal, from which salary derives. Salt has always been used to protect against psychic attacks, absorb unwanted energy and create the conditions in which a spell can work cleanly. Thrown into fire it burns and releases the psychic charge of whatever wish or working it carried. The boundary substance of every tradition.</t>
        </is>
      </c>
      <c r="U83" t="inlineStr">
        <is>
          <t>None specified — salt works primarily in protection and purification.</t>
        </is>
      </c>
      <c r="V83" t="inlineStr">
        <is>
          <t>Protection from psychic attack — salt as shield and absorber of unwanted energy.</t>
        </is>
      </c>
      <c r="W83" t="inlineStr">
        <is>
          <t>Purification and clearing aura attachments — salt as releaser and cleanser.</t>
        </is>
      </c>
      <c r="X83" t="inlineStr">
        <is>
          <t>Opens the protection from psychic attack — where what is attacking from the unseen must be seen and salted out.</t>
        </is>
      </c>
      <c r="Y83" t="inlineStr">
        <is>
          <t>Turns through purification — what was carrying the old charge now released into fire or earth.</t>
        </is>
      </c>
      <c r="Z83" t="inlineStr">
        <is>
          <t>The ancient currency in its most complete purification function — where the working requires that the space be made absolutely clean including the energetic residue of what has happened in it, sea salt absorbs without discrimination.</t>
        </is>
      </c>
    </row>
    <row r="84" ht="159.75" customHeight="1" s="56">
      <c r="A84" s="2" t="inlineStr">
        <is>
          <t>ST JOHN'S WORT</t>
        </is>
      </c>
      <c r="B84" s="2" t="inlineStr">
        <is>
          <t>GOAT WEED</t>
        </is>
      </c>
      <c r="C84" s="2" t="inlineStr">
        <is>
          <t>Hypericum perforatum</t>
        </is>
      </c>
      <c r="D84" s="3" t="inlineStr">
        <is>
          <t>Protection, divination, happiness, love, health, and strength. Hang above the door on Midsummer to protect the household through the dark half of the year. Burn to banish spirits and negative energies. Carry to detect magical attacks and protect against them. One of the most powerful protective herbs in the European tradition., Protective charm, Protective charms, Protective sachets, Protective wreaths, Protective incense, PROTECT AGAINST NEGATIVITY, Protection from negativity, Circle protection, Healing, Healing magic, Healing spells, Healing sachets, Healing incenses, Healing mixtures, Healing rituals, Healing incense, Healing vibrations, healing after surgery, Aiding recovery, Aiding the ill, Improving health, Speeding recovery, Good health</t>
        </is>
      </c>
      <c r="E84" s="3" t="inlineStr">
        <is>
          <t>LUGH, LE,O LITHA</t>
        </is>
      </c>
      <c r="F84" s="2" t="inlineStr">
        <is>
          <t>SUN</t>
        </is>
      </c>
      <c r="G84" s="2" t="inlineStr">
        <is>
          <t>FIRE</t>
        </is>
      </c>
      <c r="H84" s="2" t="inlineStr">
        <is>
          <t>MASCULINE</t>
        </is>
      </c>
      <c r="I84" s="2" t="inlineStr">
        <is>
          <t>Sunday</t>
        </is>
      </c>
      <c r="J84" s="2" t="inlineStr">
        <is>
          <t>CYBELE, SELENE, MARY MAGDALENE</t>
        </is>
      </c>
      <c r="K84" s="3" t="inlineStr">
        <is>
          <t>LITHA</t>
        </is>
      </c>
      <c r="L84" s="3" t="inlineStr">
        <is>
          <t>St John's Wort is named for the Baptist, its flowering at Midsummer coinciding with his feast day. It was believed to be so powerful against evil that demons would flee at the mere sight of it — hence its old name Chase Devil. In Norse tradition it was associated with Baldur the sun god. Rolled in dew on Midsummer morning it was said to grant a year's protection.</t>
        </is>
      </c>
      <c r="M84" s="3" t="inlineStr">
        <is>
          <t>divinatory purposes prior to becoming a purely medicinal herb.</t>
        </is>
      </c>
      <c r="N84" s="3" t="inlineStr">
        <is>
          <t>incense for the purposes of consecration and cleansing.</t>
        </is>
      </c>
      <c r="O84" s="3" t="inlineStr">
        <is>
          <t>It is used, much like thyme, as a type of incense for the purposes of consecration and cleansing. The herb is attributed special powers whereby it is used to ward off evil spirits, as well as to allay curses or sickness brought about by invisible forces. St John's Wort was also used for divinatory purposes prior to becoming a purely medicinal herb. It was said that the herb could foretell the lifespan of a person if one simply hung it to dry and examined how shrivelled or fresh it looked after some time — symbolising the vitality of the person who first touched the herb and hung it to dry.</t>
        </is>
      </c>
      <c r="P84" s="2" t="inlineStr">
        <is>
          <t>Tea Tree</t>
        </is>
      </c>
      <c r="Q84" s="3" t="inlineStr">
        <is>
          <t>Europe, Asia (Woodlands, shady areas)</t>
        </is>
      </c>
      <c r="R84" s="3" t="inlineStr">
        <is>
          <t>Warning: Causes photosensitivity — avoid sun exposure after use. Interacts with many medications including antidepressants and contraceptives.</t>
        </is>
      </c>
      <c r="S84" s="42" t="inlineStr">
        <is>
          <t>Named for the Baptist, flowering at Midsummer when its power is highest — the most powerful protective herb in the European tradition. Hung above the door on Midsummer to protect the household through the dark half of the year. Burns as incense to banish spirits and negative energies. One of the old certainties: this herb protects.</t>
        </is>
      </c>
      <c r="U84" t="inlineStr">
        <is>
          <t>Happiness and love drawn through St John's Wort's solar warmth.</t>
        </is>
      </c>
      <c r="V84" t="inlineStr">
        <is>
          <t>Protection and health — the primary function of this Midsummer herb.</t>
        </is>
      </c>
      <c r="W84" t="inlineStr">
        <is>
          <t>Banishing spirits and negative energies — burned in the Midsummer fire.</t>
        </is>
      </c>
      <c r="X84" t="inlineStr">
        <is>
          <t>Opens divination — where the Sun is fully visible and truth cannot hide.</t>
        </is>
      </c>
      <c r="Y84" t="inlineStr">
        <is>
          <t>Turns through the Midsummer banishing — what was given shelter through the winter now driven out into the long light.</t>
        </is>
      </c>
      <c r="Z84" t="inlineStr">
        <is>
          <t>The Midsummer herb at its most protective and assertive — where the working must banish what has taken up residence without consent, St John's Wort at full midsummer strength is the most powerful protective herb in the European tradition and it does not negotiate.</t>
        </is>
      </c>
    </row>
    <row r="85" ht="195.75" customHeight="1" s="56">
      <c r="A85" s="4" t="inlineStr">
        <is>
          <t>TANSY</t>
        </is>
      </c>
      <c r="B85" s="4" t="inlineStr">
        <is>
          <t>BITTER BUTTONS</t>
        </is>
      </c>
      <c r="C85" s="4" t="inlineStr">
        <is>
          <t>Tanacetum vulgare</t>
        </is>
      </c>
      <c r="D85" s="5" t="inlineStr">
        <is>
          <t>Imbolc rites, Spring Equinox rites, Ostara rites, Immortality, Eternal youth, Death and rebirth rites, Longevity, Asperging bodies, Asperging gravesites, Asperging ritual areas, Lengthening lifespan, Curing fevers, Womanhood rituals, Mother Goddess rites, Imbolc/Ostara, Imbolc, Ostara, Spring rituals, Spring festivals, Spring/Imbolc/Ostara/Beltane, Spring tonic, Earth festivals, Long life, Rejuvenation, Vigorous old age, Life, Contacting planes, Contacting other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magic, ancestral memory, Samhain rituals, death rites, Necromancy, Peaceful transition for the dead, ancestors, Crone magic, Seeing past lives, Reincarnation, Reincarnation knowledge, Past lives, Mabon/Samhain, Mabon rituals, Samhain,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Dispelling melancholy, Preventing illness, Protection against disease</t>
        </is>
      </c>
      <c r="E85" s="5" t="inlineStr">
        <is>
          <t>HEBE, GEMINI, IMBOLC, OSTARA</t>
        </is>
      </c>
      <c r="F85" s="4" t="inlineStr">
        <is>
          <t>VENUS</t>
        </is>
      </c>
      <c r="G85" s="4" t="inlineStr">
        <is>
          <t>WATER</t>
        </is>
      </c>
      <c r="H85" s="4" t="inlineStr">
        <is>
          <t>FEMININE</t>
        </is>
      </c>
      <c r="I85" s="4" t="inlineStr">
        <is>
          <t>Friday</t>
        </is>
      </c>
      <c r="J85" s="4" t="inlineStr">
        <is>
          <t>ALL</t>
        </is>
      </c>
      <c r="K85" s="5" t="inlineStr">
        <is>
          <t>IMBOLC, OSTARA</t>
        </is>
      </c>
      <c r="L85" s="5" t="inlineStr">
        <is>
          <t>Placed in shoe for safe travels, sewn into blue cloth for healing.</t>
        </is>
      </c>
      <c r="M85" s="5" t="inlineStr">
        <is>
          <t>Imbolc rites, Spring Equinox rites, Ostara rites, Immortality, Eternal youth, Death and rebirth rites, Longevity, Asperging bodies, Asperging gravesites, Asperging ritual areas</t>
        </is>
      </c>
      <c r="N85" s="5" t="inlineStr">
        <is>
          <t>used in rituals celebrating womanhood (motherhood in particular) and is said to be an herb of mother goddesses.</t>
        </is>
      </c>
      <c r="O85" s="5" t="inlineStr">
        <is>
          <t>It is associated with the Sabbats of Imbolc, Spring Equinox, and Ostara. It is also associated with immortality and eternal youth. Its further association with death makes it suitable for honouring all gods and goddesses associated with death and rebirth. Once used in embalming preparations, tansy is known as an herb of immortality and longevity. A branch is an appropriate herb to use in asperging a body, a gravesite, or a ritual area. Tansy is carried to lengthen the life span and placed in shoes to cure persistent fevers. This is an excellent herb to bring to rituals of death and dying. Tansy's association with rebirth is strong. Tansy is sometimes used in rituals celebrating womanhood (motherhood in particular) and is said to be an herb of mother goddesses.</t>
        </is>
      </c>
      <c r="P85" s="4" t="inlineStr">
        <is>
          <t>Ylang Ylang</t>
        </is>
      </c>
      <c r="Q85" s="5" t="inlineStr">
        <is>
          <t>Middle East (Cultivated globally)</t>
        </is>
      </c>
      <c r="R85" s="5" t="inlineStr">
        <is>
          <t>Warning: Toxic — contains thujone which can cause convulsions and death in large doses. Do not ingest. Avoid during pregnancy.</t>
        </is>
      </c>
      <c r="S85" s="42" t="inlineStr">
        <is>
          <t>The immortality herb of the Mother Goddess rites — sewn into blue cloth for healing, placed in shoes for safe travel, used in Womanhood rituals and death-and-rebirth ceremonies. The rites of Imbolc, Ostara and the Spring Equinox all have a place for this bitter-buttoned herb that understands the crossing between death and life.</t>
        </is>
      </c>
      <c r="T85" s="45" t="inlineStr">
        <is>
          <t>Gemini</t>
        </is>
      </c>
      <c r="U85" t="inlineStr">
        <is>
          <t>None specified — tansy works primarily in threshold and transformation workings.</t>
        </is>
      </c>
      <c r="V85" t="inlineStr">
        <is>
          <t>None specified.</t>
        </is>
      </c>
      <c r="W85" t="inlineStr">
        <is>
          <t>None specified.</t>
        </is>
      </c>
      <c r="X85" t="inlineStr">
        <is>
          <t>Opens the rites of spring and the mysteries of rebirth — where winter death must be seen before spring can be celebrated.</t>
        </is>
      </c>
      <c r="Y85" t="inlineStr">
        <is>
          <t>Turns through death-and-rebirth rites — the transformation at the deepest level, the crossing of the seasonal threshold.</t>
        </is>
      </c>
      <c r="Z85" t="inlineStr">
        <is>
          <t>The immortality herb of the death-and-rebirth rites in its most complete aspect — where the working concerns the genuine crossing of the threshold between states of being, not metaphorically but in the tradition of the rites that have always accompanied those crossings.</t>
        </is>
      </c>
    </row>
    <row r="86" ht="86.25" customHeight="1" s="56">
      <c r="A86" s="2" t="inlineStr">
        <is>
          <t>THYME</t>
        </is>
      </c>
      <c r="B86" s="2" t="inlineStr">
        <is>
          <t>MOTHER OF THYME</t>
        </is>
      </c>
      <c r="C86" s="2" t="inlineStr">
        <is>
          <t>Thymus vulgaris</t>
        </is>
      </c>
      <c r="D86" s="3"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 Nightmare prevention, Negating dreams, RID OF BAD DREAMS, Nightmares, Sleep, Rest, Encouraging sound sleep, Relaxation, Serenity, Calm, Protective charm, Protective charms, Protective sachets, Protective wreaths, Protective incense, PROTECT AGAINST NEGATIVITY, Protection from negativity, Circle protection, Enhancing clairvoyance, Psychic powers, INCREASE PSYCHIC ABILITIES, Psychic awareness, Stimulating psychic senses, Disabling psychic phenomena, Psychic communication, communication and psychic abilities,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Self-confidence, Bravery, Determination, Will Power, Leadership, Leadership skills, Commanding, Personal power, Enhancing divination, Divinatory incense, Foretelling the future, Future divination, Scrying, Dowsing, Prophecy, Prophetic dreams, Invoking dreams, Dream work, Visions, Seeing the unseen, Seeing manifestations, Truth, Honesty, Removing deception, Subconscious work, Digging into the subconscious, Uprooting what is hidden, Treasure seeking, Lost object finding, Joy, Joyous celebrations, Contentment, Ensuring joy in the home, PEACE &amp; HAPPINESS,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Calming, Soothing, Calmness,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Contemplation, Concentration, Focus, Sun God offerings, Solar spells,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Contacting planes, Communion with spirits, Communing with the departed, Communing with otherworldly entities, Spirit work, SISM, contacting a specific person, Samhain/ancestral altars, Ancestral altars, Ancestor rituals, Honouring the dead, ancestral magic, ancestral memory, Samhain rituals, death rites, Death and rebirth rites, Necromancy, Peaceful transition for the dead, ancestors, Crone magic, Seeing past lives, Reincarnation, Reincarnation knowledge, Past lives, Mabon/Samhain, Mabon rituals, Samhain, Desire, Breaking habits, Breaking bad habits, Ending negative self-talk, Letting go of relationships, Ending guilt, New beginnings, New beginning spells, Fresh starts, Transformation, Change, rebirth, Breakthrough, Awakening, Growth, New ideas, Assisting transformation, Transformation/Evolution, Beltane, Beltane rituals, Beltane celebrations, Summer rituals, Midsummer, Midsummer celebrations, Midsummer magic, Midsummer/Litha rituals</t>
        </is>
      </c>
      <c r="E86" s="3" t="inlineStr">
        <is>
          <t>MINERVA, LOKI, VENUS, TITIANA</t>
        </is>
      </c>
      <c r="F86" s="2" t="inlineStr">
        <is>
          <t>VENUS</t>
        </is>
      </c>
      <c r="G86" s="2" t="inlineStr">
        <is>
          <t>AIR</t>
        </is>
      </c>
      <c r="H86" s="2" t="inlineStr">
        <is>
          <t>FEMININE</t>
        </is>
      </c>
      <c r="I86" s="2" t="inlineStr">
        <is>
          <t>Friday</t>
        </is>
      </c>
      <c r="J86" s="2" t="inlineStr">
        <is>
          <t>MINERVA, LOKI, TITANIA</t>
        </is>
      </c>
      <c r="K86" s="3" t="inlineStr">
        <is>
          <t>OSTARA, BELTANE</t>
        </is>
      </c>
      <c r="L86" s="3" t="inlineStr">
        <is>
          <t>Strong ties to faery lore.</t>
        </is>
      </c>
      <c r="M86" s="3" t="inlineStr">
        <is>
          <t>It is said to prevent nightmares and aid protection, psychic development, and clairvoyance. Used in spells and workings for cleansing, consecration, courage, divination, dreams, exorcism, happiness, healing, love, money, purification, compassion, confidence, contacting other planes, grieving, meditation, passion, release, renewal, and rituals for t</t>
        </is>
      </c>
      <c r="N86" s="3" t="inlineStr">
        <is>
          <t>Used in spells and workings for cleansing, consecration, courage, divination, dreams, exorcism, happiness, healing, love, money, purification, compassion, confidence, contacting other planes, grieving, meditation, passion, release, renewal, and rituals for the dead.</t>
        </is>
      </c>
      <c r="O86" s="3" t="inlineStr">
        <is>
          <t>It is said to prevent nightmares and aid protection, psychic development, and clairvoyance. Used in spells and workings for cleansing, consecration, courage, divination, dreams, exorcism, happiness, healing, love, money, purification, compassion, confidence, contacting other planes, grieving, meditation, passion, release, renewal, and rituals for the dead. Associated with Midsummer, it can be used as a herb for rituals.</t>
        </is>
      </c>
      <c r="P86" s="2" t="inlineStr">
        <is>
          <t>Thyme</t>
        </is>
      </c>
      <c r="Q86" s="3" t="inlineStr">
        <is>
          <t>Europe, Asia (Riverbanks, damp soil)</t>
        </is>
      </c>
      <c r="R86" s="3" t="inlineStr">
        <is>
          <t>Generally considered safe for culinary and ritual use. Avoid medicinal doses during pregnancy.</t>
        </is>
      </c>
      <c r="S86" s="42" t="inlineStr">
        <is>
          <t>The fairy herb of strong faery lore ties — used in Midsummer rites, in rites for the dead, in dream pillows and clairvoyance preparations. Its courage-and-healing function is as strong as its psychic and clairvoyance function, making it a genuinely balanced herb. The Mother of Thyme grows at the edge of every working.</t>
        </is>
      </c>
      <c r="T86" s="45" t="inlineStr">
        <is>
          <t>Taurus, Gemini, Libra</t>
        </is>
      </c>
      <c r="U86" t="inlineStr">
        <is>
          <t>Happiness, love, compassion and passion drawn through thyme's Venus warmth.</t>
        </is>
      </c>
      <c r="V86" t="inlineStr">
        <is>
          <t>Protection, psychic development and healing — thyme in protective and healing sachets.</t>
        </is>
      </c>
      <c r="W86" t="inlineStr">
        <is>
          <t>Exorcism, purification and release — thyme burned or used in cleansing preparations.</t>
        </is>
      </c>
      <c r="X86" t="inlineStr">
        <is>
          <t>Opens psychic development and clairvoyance — thyme the sight-sharpener.</t>
        </is>
      </c>
      <c r="Y86" t="inlineStr">
        <is>
          <t>Turns through cleansing and the courage it takes to face what must be cleared — the working that requires nerve as well as herbs.</t>
        </is>
      </c>
      <c r="Z86" t="inlineStr">
        <is>
          <t>The fairy herb in its most courage-demanding function — where the working asks for the courage to be psychically open to what the dreaming mind knows including what it knows about what is desired and feared in equal measure, thyme is the herb that holds both.</t>
        </is>
      </c>
    </row>
    <row r="87" ht="147" customHeight="1" s="56">
      <c r="A87" s="4" t="inlineStr">
        <is>
          <t>TONKA BEANS</t>
        </is>
      </c>
      <c r="B87" s="4" t="inlineStr">
        <is>
          <t>TONKA</t>
        </is>
      </c>
      <c r="C87" s="4" t="inlineStr">
        <is>
          <t>Dipteryx odorata</t>
        </is>
      </c>
      <c r="D87" s="5" t="inlineStr">
        <is>
          <t>Sachets, Potpourri, Incense, Musk scent magic, Scent-based spellwork,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Musk</t>
        </is>
      </c>
      <c r="E87" s="5" t="inlineStr">
        <is>
          <t>VENUS, APHRODITE, TAURUS,LIBRA</t>
        </is>
      </c>
      <c r="F87" s="4" t="inlineStr">
        <is>
          <t>VENUS</t>
        </is>
      </c>
      <c r="G87" s="4" t="inlineStr">
        <is>
          <t>WATER</t>
        </is>
      </c>
      <c r="H87" s="4" t="inlineStr">
        <is>
          <t>FEMININE</t>
        </is>
      </c>
      <c r="I87" s="4" t="inlineStr">
        <is>
          <t>FRIDAY</t>
        </is>
      </c>
      <c r="J87" s="4" t="inlineStr">
        <is>
          <t>APHRODITE</t>
        </is>
      </c>
      <c r="K87" s="5" t="inlineStr">
        <is>
          <t>OSTARA, BELTANE</t>
        </is>
      </c>
      <c r="L87" s="5" t="inlineStr">
        <is>
          <t>Common in hoodoo. Popularity comes from scent.</t>
        </is>
      </c>
      <c r="M87" s="5" t="inlineStr">
        <is>
          <t>Sachets, Potpourri, Incense, Musk scent magic, Scent-based spellwork</t>
        </is>
      </c>
      <c r="N87" s="5" t="inlineStr">
        <is>
          <t>Used in manifestation rituals and wish magic. Carried as a charm or placed on the altar during prosperity and love workings.</t>
        </is>
      </c>
      <c r="O87" s="5" t="inlineStr">
        <is>
          <t>Tonka beans are excellent for sachets and potpourris — simply cut them into small chips to add to the other components. To achieve a good scent, include only the tonka bean skins and some white crystals. The scent of the tonka bean is suitable for use as a musk note in the preparation of incense. The scent of tonka bean will produce the desired results especially when used alongside lavender, citrus peels, patchouli, rose, and sandalwood.</t>
        </is>
      </c>
      <c r="P87" s="4" t="inlineStr">
        <is>
          <t>Ylang Ylang</t>
        </is>
      </c>
      <c r="Q87" s="5" t="inlineStr">
        <is>
          <t>North America (Forest floors)</t>
        </is>
      </c>
      <c r="R87" s="6" t="inlineStr">
        <is>
          <t>Warning: Tonka beans can be dangerous — even fatal — if consumed in large quantities. Do not ingest.</t>
        </is>
      </c>
      <c r="S87" s="42" t="inlineStr">
        <is>
          <t>The Hoodoo musk herb — its popularity comes from its scent, the vanilla-coumarin warmth that makes it the sachet and potpourri herb of choice in American folk magic. Common in musk-scent spellwork, used in any working where the scent of the working must carry its power through the air.</t>
        </is>
      </c>
      <c r="U87" t="inlineStr">
        <is>
          <t>None specified — tonka beans work primarily through their scent magic.</t>
        </is>
      </c>
      <c r="V87" t="inlineStr">
        <is>
          <t>None specified.</t>
        </is>
      </c>
      <c r="W87" t="inlineStr">
        <is>
          <t>None specified.</t>
        </is>
      </c>
      <c r="X87" t="inlineStr">
        <is>
          <t>Opens the scent-based pathways of working — where the nose is the instrument.</t>
        </is>
      </c>
      <c r="Y87" t="inlineStr">
        <is>
          <t>Turns through the musk-scent magic that carries intention on the air — the working that travels by breath.</t>
        </is>
      </c>
      <c r="Z87" t="inlineStr">
        <is>
          <t>The musk-scented bean of desire drawn through the air — its warm coumarin scent carries the oldest aphrodisiac signal the natural world knows. Used in musk workings and scent-based magic where the body must be spoken to before the mind.</t>
        </is>
      </c>
    </row>
    <row r="88" ht="232.5" customHeight="1" s="56">
      <c r="A88" s="2" t="inlineStr">
        <is>
          <t>VALERIAN ROOT</t>
        </is>
      </c>
      <c r="B88" s="2" t="inlineStr">
        <is>
          <t>VANDAL ROOT</t>
        </is>
      </c>
      <c r="C88" s="2" t="inlineStr">
        <is>
          <t>Valeriana officinalis</t>
        </is>
      </c>
      <c r="D88" s="3" t="inlineStr">
        <is>
          <t>Deterring unwanted visitors, Harmony, Protection, Nightmares, Cleansing, Consecration, Purification, Magical torches, Protection from natural disasters, Ending guilt, Ending negative self-talk, Animal magic, Evoking animal spirits, Peace, Purifying ritual spaces, Consecrating incense burners, Self-purification,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Nightmare prevention, Preventing nightmares, Negating dreams, RID OF BAD DREAMS, Sleep, Rest, Encouraging sound sleep,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Amulets/talismans, Amulets, Talismans, Charm bags, Mojo bags, Sachets, Breaking habits, Breaking bad habits, Letting go of relationships, Release, Renewal, New beginnings, New beginning spells, Fresh starts, Transformation, Change, rebirth, Breakthrough, Awakening, Growth, New ideas, Assisting transformation, Transformation/Evolution</t>
        </is>
      </c>
      <c r="E88" s="3" t="inlineStr">
        <is>
          <t>AQUARIUS, SAMHAIN, YULE</t>
        </is>
      </c>
      <c r="F88" s="2" t="inlineStr">
        <is>
          <t>VENUS</t>
        </is>
      </c>
      <c r="G88" s="2" t="inlineStr">
        <is>
          <t>WATER</t>
        </is>
      </c>
      <c r="H88" s="2" t="inlineStr">
        <is>
          <t>FEMININE</t>
        </is>
      </c>
      <c r="I88" s="2" t="inlineStr">
        <is>
          <t>Friday</t>
        </is>
      </c>
      <c r="J88" s="2" t="inlineStr">
        <is>
          <t>ALL</t>
        </is>
      </c>
      <c r="K88" s="3" t="inlineStr">
        <is>
          <t>SAMHAIN, YULE</t>
        </is>
      </c>
      <c r="L88" s="3" t="inlineStr">
        <is>
          <t>In hoodoo, can substitute for graveyard dirt.</t>
        </is>
      </c>
      <c r="M88" s="3" t="inlineStr">
        <is>
          <t>protection, or in a dream pillow to ward off nightmares.</t>
        </is>
      </c>
      <c r="N88" s="3" t="inlineStr">
        <is>
          <t>Use in cleansing and consecration, or drink as a tea to purify oneself. Valerian is added to the chalice as an herb of peace and is very cleansing — it can be used to purify your ritual space.</t>
        </is>
      </c>
      <c r="O88" s="3" t="inlineStr">
        <is>
          <t>Sprinkle valerian at the front door to deter unwanted visitors, or hang the leaves around the home to promote harmony amongst loved ones. Combine valerian with other herbs and crystals in sachets or amulets to use for protection, or in a dream pillow to ward off nightmares. Use in cleansing and consecration, or drink as a tea to purify oneself. Soak the dried stalks of the valerian plant in tallow or oil, then use as a magical torch. Valerian is known as a plant of love and protection. Hang it in your home to protect against natural disasters such as lightning strikes or fire. Valerian root is useful in spells related to ending guilt and negative self-talk and developing self-acceptance. It is also useful in animal magic, especially cat magic and evoking animal spirits. Valerian is added to the chalice as an herb of peace and is very cleansing — it can be used to purify your ritual space.</t>
        </is>
      </c>
      <c r="P88" s="2" t="inlineStr">
        <is>
          <t>Ylang Ylang</t>
        </is>
      </c>
      <c r="Q88" s="3" t="inlineStr">
        <is>
          <t>North America (Forests, woodland edges)</t>
        </is>
      </c>
      <c r="R88" s="6" t="inlineStr">
        <is>
          <t>Warning: Excessive intake may be harmful. Do not combine with sedatives or alcohol.</t>
        </is>
      </c>
      <c r="S88" s="42" t="inlineStr">
        <is>
          <t>The Vandal Root — in Hoodoo a substitute for graveyard dirt, carrying the heavy boundary energy of Saturn and Water. Deters unwanted visitors, guards against nightmares, purifies ritual spaces. A powerful and slightly unsettling herb that knows the territory between the ordinary world and what lies at its edge.</t>
        </is>
      </c>
      <c r="T88" s="45" t="inlineStr">
        <is>
          <t>Virgo</t>
        </is>
      </c>
      <c r="U88" t="inlineStr">
        <is>
          <t>Harmony and peace drawn through valerian's quieter energy.</t>
        </is>
      </c>
      <c r="V88" t="inlineStr">
        <is>
          <t>Protection and protection from natural disasters — valerian's primary protective function.</t>
        </is>
      </c>
      <c r="W88" t="inlineStr">
        <is>
          <t>Purification and the ending of guilt — where the purification is also an internal one.</t>
        </is>
      </c>
      <c r="X88" t="inlineStr">
        <is>
          <t>Opens the deterring of unwanted visitors — where what approaches must be shown its reflection before it arrives.</t>
        </is>
      </c>
      <c r="Y88" t="inlineStr">
        <is>
          <t>Turns through purification and the purifying of ritual spaces — what was used is cleaned, what was burdened is released.</t>
        </is>
      </c>
      <c r="Z88" t="inlineStr">
        <is>
          <t>The Saturn herb in its deepest protective function — where what must be kept from entering a space or a person's energy field is something that would use what it found there, valerian is the herb that deters by making the space genuinely unwelcoming to what should not be there.</t>
        </is>
      </c>
    </row>
    <row r="89" ht="171.75" customHeight="1" s="56">
      <c r="A89" s="4" t="inlineStr">
        <is>
          <t>VERVAIN</t>
        </is>
      </c>
      <c r="B89" s="4" t="inlineStr">
        <is>
          <t>DEVIL’S BANE</t>
        </is>
      </c>
      <c r="C89" s="4" t="inlineStr">
        <is>
          <t>Verbena officinalis</t>
        </is>
      </c>
      <c r="D89" s="5" t="inlineStr">
        <is>
          <t>Protection, Defending against spells, Warding off witches, Exorcising evil entities, Ju-ju / gris-gris protection, Protection for infants, Protection from negativity, Protective charm, Protective charms, Protective sachets, Protective wreaths, Protective incense, PROTECT AGAINST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Protection (hexes/evil), Psychic protection, Psychic shielding, Protection from hexes, Protection from conjure, Protection from evil, Protection from evil spirits, Protection from hauntings,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t>
        </is>
      </c>
      <c r="E89" s="5" t="inlineStr">
        <is>
          <t>CERRIDWEN, MARS, VENUS, ARADIA, ISIS, JUPITER, THOR, ARIES, SCORPIO</t>
        </is>
      </c>
      <c r="F89" s="4" t="inlineStr">
        <is>
          <t>VENUS</t>
        </is>
      </c>
      <c r="G89" s="4" t="inlineStr">
        <is>
          <t>EARTH</t>
        </is>
      </c>
      <c r="H89" s="4" t="inlineStr">
        <is>
          <t>FEMININE</t>
        </is>
      </c>
      <c r="I89" s="4" t="inlineStr">
        <is>
          <t>FRIDAY, TUESDAY</t>
        </is>
      </c>
      <c r="J89" s="4" t="inlineStr">
        <is>
          <t>CERRIDWEN, ARADIA, ISIS, THOR</t>
        </is>
      </c>
      <c r="K89" s="5" t="inlineStr">
        <is>
          <t>OSTARA, BELTANE</t>
        </is>
      </c>
      <c r="L89" s="5" t="inlineStr">
        <is>
          <t>In Stregheria, feared because it can protect against any spell.</t>
        </is>
      </c>
      <c r="M89" s="5" t="inlineStr">
        <is>
          <t>Protection, Defending against spells, Warding off witches, Exorcising evil entities, Ju-ju / gris-gris protection, Protection for infants, Protection from negativity</t>
        </is>
      </c>
      <c r="N89" s="5" t="inlineStr">
        <is>
          <t>Sacred to druids; used in consecrating altars and tools. Burned as incense during rituals and sprinkled around sacred circles for protection.</t>
        </is>
      </c>
      <c r="O89" s="5" t="inlineStr">
        <is>
          <t>Vervain is highly useful as a protection herb, as it effectively acts like an instant hexing bottle that defends the bearer from all types of malignant intentions and spells. When combined with dill and rosemary, it is said to be a foolproof way to keep bad witches at bay, while an incense of its leaves, flowers, and root is said to exorcise all types of evil entities (earning it the name "devil's bane"). This is made more effective with the addition of frankincense and dragon's blood resin, as well as rosemary sprigs and St John's Wort. Vervain is sometimes added to ju-jus, gris-gris, or medicine pouches as a protection herb, usually for infants or children, but also for people who are prone to negativity or who have been targeted by ill-intentioned spell weavers.</t>
        </is>
      </c>
      <c r="P89" s="4" t="inlineStr">
        <is>
          <t>Ylang Ylang</t>
        </is>
      </c>
      <c r="Q89" s="5" t="inlineStr">
        <is>
          <t>Various mineral deposits</t>
        </is>
      </c>
      <c r="R89" s="5" t="inlineStr">
        <is>
          <t>Warning: Avoid during pregnancy as it may stimulate the uterus. Do not use in large doses.</t>
        </is>
      </c>
      <c r="S89" s="42" t="inlineStr">
        <is>
          <t>The most feared herb in Stregheria — because it can protect against any spell, it is also feared by those who cast them. The Devil's Bane, the Ju-Ju and Gris-Gris protection herb, the infant-guardian. Grows in the dry Venus-ruled earth of its own conviction that protection is the primary magical function.</t>
        </is>
      </c>
      <c r="T89" s="45" t="inlineStr">
        <is>
          <t>Gemini</t>
        </is>
      </c>
      <c r="U89" t="inlineStr">
        <is>
          <t>None specified — vervain works entirely in protection.</t>
        </is>
      </c>
      <c r="V89" t="inlineStr">
        <is>
          <t>Protection in every form — hexes, witches, evil entities, negativity, harm to infants.</t>
        </is>
      </c>
      <c r="W89" t="inlineStr">
        <is>
          <t>Defending against spells — the protective ward that bounces back what was sent.</t>
        </is>
      </c>
      <c r="X89" t="inlineStr">
        <is>
          <t>Opens the depth of what is attacking — where protection must be total and the threat must first be seen.</t>
        </is>
      </c>
      <c r="Y89" t="inlineStr">
        <is>
          <t>Turns through the protection that holds — the boundary maintained no matter what approaches.</t>
        </is>
      </c>
      <c r="Z89" t="inlineStr">
        <is>
          <t>The most feared protective herb in its most complete function — in Stregheria it can protect against any spell because it does not make exceptions. Where protection must be total and unconditional, vervain is the herb that provides it.</t>
        </is>
      </c>
    </row>
    <row r="90" ht="110.25" customHeight="1" s="56">
      <c r="A90" s="2" t="inlineStr">
        <is>
          <t>VIOLET LEAVES</t>
        </is>
      </c>
      <c r="B90" s="2" t="inlineStr">
        <is>
          <t>HEARTS EASE</t>
        </is>
      </c>
      <c r="C90" s="2" t="inlineStr">
        <is>
          <t>Viola odorata</t>
        </is>
      </c>
      <c r="D90" s="3" t="inlineStr">
        <is>
          <t>Love (with lavender), Good luck, Prophetic dreams, Divination, Money, Protection, Faithfulness, Lust, Wishes, Peace, Healing, Banishingor, Spell-breaking, Reversing harmful spells, Breaking spells, Hex breaking, Removing hexes, Removing curses, Removing jinxes, Removing bad luck, Breaking hexes, Returning hexes, hex-breaking, Removing hexes and curses, Removing a jinx, Luck, Good luck in family matters, Fortune, Casino luck, Wish magick, Carrying wishes, Transmuting wishes, Invoking dreams, Dream work, Dreams, Visions, Seeing the unseen, Seeing manifestations, Truth, Honesty, Removing deception, Subconscious work, Digging into the subconscious, Uprooting what is hidden, Scrying, Dowsing, Treasure seeking, Lost object finding, Enhancing divination, Divinatory incense, Foretelling the future, Future divination, Prophecy,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Fidelity, Loyalty, Promoting fidelity, Ensuring a lover returns love, Aphrodisiac, Aphrodisiac tea, Sensuality, Lust/Sex, Passionate love-making, LOVING &amp; LUSTFUL ENERGIES, SEX MAGIC, RAISE SEXUAL ENERGY, Sexual energy,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t>
        </is>
      </c>
      <c r="E90" s="3" t="inlineStr">
        <is>
          <t>VENUS, APHRODITE</t>
        </is>
      </c>
      <c r="F90" s="2" t="inlineStr">
        <is>
          <t>VENUS</t>
        </is>
      </c>
      <c r="G90" s="2" t="inlineStr">
        <is>
          <t>WATER</t>
        </is>
      </c>
      <c r="H90" s="2" t="inlineStr">
        <is>
          <t>FEMININE</t>
        </is>
      </c>
      <c r="I90" s="2" t="inlineStr">
        <is>
          <t>Friday</t>
        </is>
      </c>
      <c r="J90" s="2" t="inlineStr">
        <is>
          <t>APHRODITE</t>
        </is>
      </c>
      <c r="K90" s="3" t="inlineStr">
        <is>
          <t>OSTARA, BELTANE</t>
        </is>
      </c>
      <c r="L90" s="3" t="inlineStr">
        <is>
          <t>Dreaming of violets means life is about to change for the better.</t>
        </is>
      </c>
      <c r="M90" s="3" t="inlineStr">
        <is>
          <t>Carrying violet flowers on the person brings good luck, and putting the flowers in dream pillows enhances prophetic dreams and divination. Violets can also be used in spells for good luck, money, protection, faithfulness, lust, wishes, peace, and healing, particularly after a relationship break-up.</t>
        </is>
      </c>
      <c r="N90" s="3" t="inlineStr">
        <is>
          <t>Used in love rituals and Ostara ceremonies. Carried as a charm for spiritual protection; offered to Aphrodite and the divine feminine.</t>
        </is>
      </c>
      <c r="O90" s="3" t="inlineStr">
        <is>
          <t>The most well-known magical use of violet leaves seems to be that when mixed with lavender in a sachet, it makes a strong love combination. Carrying violet flowers on the person brings good luck, and putting the flowers in dream pillows enhances prophetic dreams and divination. Violets can also be used in spells for good luck, money, protection, faithfulness, lust, wishes, peace, and healing, particularly after a relationship break-up. Use the leaves to absorb evil spells and ill will.</t>
        </is>
      </c>
      <c r="P90" s="2" t="inlineStr">
        <is>
          <t>Ylang Ylang</t>
        </is>
      </c>
      <c r="Q90" s="3" t="inlineStr">
        <is>
          <t>Europe, Asia (Shady woodlands)</t>
        </is>
      </c>
      <c r="R90" s="3" t="inlineStr">
        <is>
          <t>Generally considered safe for most uses. Always use in moderation.</t>
        </is>
      </c>
      <c r="S90" s="42" t="inlineStr">
        <is>
          <t>The dreaming violet — wherever violets appear in folklore they signal that life is about to change for the better. Used in dream pillows for prophetic dreams, in good luck workings and divination. The Water and Venus herb of quiet faith in what is coming, carried as a token that the change being worked for is already underway.</t>
        </is>
      </c>
      <c r="T90" s="45" t="inlineStr">
        <is>
          <t>Cancer</t>
        </is>
      </c>
      <c r="U90" t="inlineStr">
        <is>
          <t>Love, good luck and peace drawn — violet leaves carried for the gentle drawing of what is good.</t>
        </is>
      </c>
      <c r="V90" t="inlineStr">
        <is>
          <t>Protection and healing — held in protective and healing sachets.</t>
        </is>
      </c>
      <c r="W90" t="inlineStr">
        <is>
          <t>None specified.</t>
        </is>
      </c>
      <c r="X90" t="inlineStr">
        <is>
          <t>Opens prophetic dreams and divination — violet leaves in the pillow, on the altar.</t>
        </is>
      </c>
      <c r="Y90" t="inlineStr">
        <is>
          <t>Turns through healing and the quiet movement toward what is better — the violet's patient faith in change.</t>
        </is>
      </c>
      <c r="Z90" t="inlineStr">
        <is>
          <t>The lust herb of the dreaming meadow — used where physical desire must be acknowledged before it can be worked with. The violet's small face knows more about what the body desires than its delicate appearance suggests.</t>
        </is>
      </c>
    </row>
    <row r="91" ht="159.75" customHeight="1" s="56">
      <c r="A91" s="4" t="inlineStr">
        <is>
          <t>VIOLET</t>
        </is>
      </c>
      <c r="B91" s="4" t="inlineStr">
        <is>
          <t>LITTLE FACES</t>
        </is>
      </c>
      <c r="C91" s="4" t="inlineStr">
        <is>
          <t>Viola odorata</t>
        </is>
      </c>
      <c r="D91" s="5" t="inlineStr">
        <is>
          <t>Love (with lavender), Good luck, Prophetic dreams, Divination, Prosperity, Protection, Faithfulness, Love, Wishes, Peace, Healing, Banishing, Spell-breaking, Reversing harmful spells, Breaking spells, Hex breaking, Removing hexes, Removing curses, Removing jinxes, Removing bad luck, Breaking hexes, Returning hexes, hex-breaking, Removing hexes and curses, Removing a jinx, Luck, Good luck in family matters, Fortune, Casino luck, Wish magick, Carrying wishes, Transmuting wishes, Invoking dreams, Dream work, Dreams, Visions, Seeing the unseen, Seeing manifestations, Truth, Honesty, Removing deception, Subconscious work, Digging into the subconscious, Uprooting what is hidden, Scrying, Dowsing, Treasure seeking, Lost object finding, Enhancing divination, Divinatory incense, Foretelling the future, Future divination, Prophecy,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Fidelity, Loyalty, Promoting fidelity, Ensuring a lover returns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91" s="5" t="inlineStr">
        <is>
          <t>MOTHER GODDESS, CERES, CERNUNNOS</t>
        </is>
      </c>
      <c r="F91" s="4" t="inlineStr">
        <is>
          <t>VENUS</t>
        </is>
      </c>
      <c r="G91" s="4" t="inlineStr">
        <is>
          <t>EARTH</t>
        </is>
      </c>
      <c r="H91" s="4" t="inlineStr">
        <is>
          <t>FEMININE</t>
        </is>
      </c>
      <c r="I91" s="4" t="inlineStr">
        <is>
          <t>Friday</t>
        </is>
      </c>
      <c r="J91" s="4" t="inlineStr">
        <is>
          <t>MOTHER GODDESS, CERES</t>
        </is>
      </c>
      <c r="K91" s="5" t="inlineStr">
        <is>
          <t>OSTARA, BELTANE</t>
        </is>
      </c>
      <c r="L91" s="5" t="inlineStr">
        <is>
          <t>Dreaming of violets means life is about to change for the better.</t>
        </is>
      </c>
      <c r="M91" s="5" t="inlineStr">
        <is>
          <t>Carrying violet flowers on the person brings good luck, and putting the flowers in dream pillows enhances prophetic dreams and divination. Violets can also be used in spells for good luck, money, protection, faithfulness, lust, wishes, peace, and healing, particularly after a relationship break-up.</t>
        </is>
      </c>
      <c r="N91" s="5" t="inlineStr">
        <is>
          <t>Used in love rituals and fairy magic. Placed on altars at Ostara; carried as a charm to connect with the spirit world.</t>
        </is>
      </c>
      <c r="O91" s="5" t="inlineStr">
        <is>
          <t>The most well-known magical use seems to be that when mixed with lavender in a sachet, it makes a strong love combination. Carrying violet flowers on the person brings good luck, and putting the flowers in dream pillows enhances prophetic dreams and divination. Violets can also be used in spells for good luck, money, protection, faithfulness, lust, wishes, peace, and healing, particularly after a relationship break-up. Use the leaves to absorb evil spells and ill will.</t>
        </is>
      </c>
      <c r="P91" s="4" t="inlineStr">
        <is>
          <t>Ylang Ylang</t>
        </is>
      </c>
      <c r="Q91" s="5" t="inlineStr">
        <is>
          <t>Europe, Asia (Sunny, dry areas)</t>
        </is>
      </c>
      <c r="R91" s="5" t="inlineStr">
        <is>
          <t>Generally considered safe for most uses. Always use in moderation.</t>
        </is>
      </c>
      <c r="S91" s="42" t="inlineStr">
        <is>
          <t>The little face of the Earth — the same dreaming, good-luck, change-is-coming energy as the violet leaf but earthed more firmly in Saturn's patient power. The Earth violet in the shady woodland, the dreaming violet under the leaf litter, waiting for its moment to show its small face.</t>
        </is>
      </c>
      <c r="T91" s="45" t="inlineStr">
        <is>
          <t>Cancer</t>
        </is>
      </c>
      <c r="U91" t="inlineStr">
        <is>
          <t>Love, good luck, prosperity and peace drawn — violet in love and luck workings.</t>
        </is>
      </c>
      <c r="V91" t="inlineStr">
        <is>
          <t>Protection and healing held through the Earth violet's patient energy.</t>
        </is>
      </c>
      <c r="W91" t="inlineStr">
        <is>
          <t>None specified.</t>
        </is>
      </c>
      <c r="X91" t="inlineStr">
        <is>
          <t>Opens prophetic dreams and divination — the violet placed where its quiet sight-opening can work.</t>
        </is>
      </c>
      <c r="Y91" t="inlineStr">
        <is>
          <t>Turns through healing and the Earth's slow but certain movement toward what is good.</t>
        </is>
      </c>
      <c r="Z91" t="inlineStr">
        <is>
          <t>The little face that carries lust alongside its more modest associations. Used in workings where what is physically desired must be drawn forward from where it has been kept too quiet.</t>
        </is>
      </c>
    </row>
    <row r="92" ht="86.25" customHeight="1" s="56">
      <c r="A92" s="2" t="inlineStr">
        <is>
          <t>WHEAT GRAINS</t>
        </is>
      </c>
      <c r="B92" s="2" t="inlineStr">
        <is>
          <t>WINTERS BLOOM BARK</t>
        </is>
      </c>
      <c r="C92" s="2" t="inlineStr">
        <is>
          <t>Triticum aestivum</t>
        </is>
      </c>
      <c r="D92" s="3" t="inlineStr">
        <is>
          <t>Moon magic, love, healing, protection, and grief work. Carry willow bark to ease the pain of grief and unrequited love. Use in moon rituals and Esbat workings. The bark is used in wand-making for lunar and healing wands. Add to healing sachets and protective bags. Use in spells for acceptance and letting go., Love magick, Love drawing, Attracting love, Love-attracting rituals, Inviting love, Inducing love, Love charms, Love enchantment, Finding love, Romantic love ceremonies, PROMOTE LOVE &amp; AFFECTION, LOVE &amp; PEACE, Spiritual love, Love rituals, Star magick,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92" s="3" t="inlineStr">
        <is>
          <t>ARTEMIS, CERES, HECATE, PERSPHONE, HERA, PISCES</t>
        </is>
      </c>
      <c r="F92" s="2" t="inlineStr">
        <is>
          <t>MOON</t>
        </is>
      </c>
      <c r="G92" s="2" t="inlineStr">
        <is>
          <t>WATER</t>
        </is>
      </c>
      <c r="H92" s="2" t="inlineStr">
        <is>
          <t>FEMININE</t>
        </is>
      </c>
      <c r="I92" s="2" t="inlineStr">
        <is>
          <t>Monday</t>
        </is>
      </c>
      <c r="J92" s="2" t="inlineStr">
        <is>
          <t>ARTEMIS, CERES, HECATE</t>
        </is>
      </c>
      <c r="K92" s="3" t="inlineStr">
        <is>
          <t>IMBOLC, SAMHAIN</t>
        </is>
      </c>
      <c r="L92" s="3" t="inlineStr">
        <is>
          <t>The willow has been associated with grief, love, and the moon across cultures. In Chinese mythology the willow was planted on graves to capture the souls of the dead. Shakespeare's Ophelia drowned beneath a willow. Orpheus carried willow branches into the underworld. The word 'witch' shares its etymology with 'wicker' and 'willow' — the tree of the wise woman.</t>
        </is>
      </c>
      <c r="M92" s="3" t="inlineStr">
        <is>
          <t>Moon magic, love, healing, protection, and grief work. Used in harvest rituals and as offerings at Lammas and Samhain.</t>
        </is>
      </c>
      <c r="N92" s="3" t="inlineStr">
        <is>
          <t>Used in harvest rituals, moon magic, and as offerings at Lammas and Samhain. Placed on altars to honour grain deities and the cycle of death and rebirth.</t>
        </is>
      </c>
      <c r="O92" s="3" t="inlineStr">
        <is>
          <t>Wheat is the most revered of the Seven Sacred Grains and represents fruitfulness, bounty, and rebirth. Because wheat fields seem to replenish themselves, the golden plant represented a cycle of resurrection into light again. Many funeral rites contain offerings of wheat as part of the ceremonies. Sheaves of wheat are a well-known symbol of prosperity.</t>
        </is>
      </c>
      <c r="P92" s="2" t="inlineStr">
        <is>
          <t>Melissa</t>
        </is>
      </c>
      <c r="Q92" s="3" t="inlineStr">
        <is>
          <t>Northern Hemisphere (Meadows, roadsides)</t>
        </is>
      </c>
      <c r="R92" s="3" t="inlineStr">
        <is>
          <t>Generally safe. Avoid if you have coeliac disease or gluten intolerance.</t>
        </is>
      </c>
      <c r="S92" s="42" t="inlineStr">
        <is>
          <t>The Moon herb of grief, love and healing — associated with willow by its Ye Olde Name, growing at meadows and roadsides across the Northern Hemisphere. Used in harvest rituals, as offerings at Lammas and Samhain, in healing sachets and protective bags. The grain that knows both abundance and the necessary death before the next abundance.</t>
        </is>
      </c>
      <c r="U92" t="inlineStr">
        <is>
          <t>Love drawn through the wheat's connection to the harvest abundance.</t>
        </is>
      </c>
      <c r="V92" t="inlineStr">
        <is>
          <t>Healing and protection — wheat in healing sachets and protective preparations.</t>
        </is>
      </c>
      <c r="W92" t="inlineStr">
        <is>
          <t>Grief work — where grief must be processed and released rather than carried.</t>
        </is>
      </c>
      <c r="X92" t="inlineStr">
        <is>
          <t>Opens Moon magic and the hidden paths of prophetic dreaming.</t>
        </is>
      </c>
      <c r="Y92" t="inlineStr">
        <is>
          <t>Turns through healing and the acceptance of loss — the grain that feeds and then falls.</t>
        </is>
      </c>
      <c r="Z92" t="inlineStr">
        <is>
          <t>The Moon herb of grief and letting go in its most complete function — where what is being released is a love, a body, a way of being in the world that must now be allowed to complete its arc, wheat grains carry the lunar energy of the full harvest and what comes after.</t>
        </is>
      </c>
    </row>
    <row r="93" ht="98.25" customHeight="1" s="56">
      <c r="A93" s="4" t="inlineStr">
        <is>
          <t>WILLOW BARK</t>
        </is>
      </c>
      <c r="B93" s="4" t="inlineStr">
        <is>
          <t>WITCHES ASPRIN</t>
        </is>
      </c>
      <c r="C93" s="4" t="inlineStr">
        <is>
          <t>Salix alba</t>
        </is>
      </c>
      <c r="D93" s="5" t="inlineStr">
        <is>
          <t>Protection, healing, luck, and hex-breaking. Place wintergreen in the home to attract good fortune and protect against ill-wishing. Used in healing rituals, particularly for long-standing conditions. The refreshing scent is used to clear stale, negative energy from a space. Add to lucky sachets and charm bags for persistent good fortune., Protective charm, Protective charms, Protective sachets, Protective wreaths, Protective incense, PROTECT AGAINST NEGATIVITY, Protection from negativity, Circle protection</t>
        </is>
      </c>
      <c r="E93" s="5" t="inlineStr">
        <is>
          <t>CRONUS, CAPRICORN, AQUARIUS</t>
        </is>
      </c>
      <c r="F93" s="4" t="inlineStr">
        <is>
          <t>SATURN</t>
        </is>
      </c>
      <c r="G93" s="4" t="inlineStr">
        <is>
          <t>EARTH</t>
        </is>
      </c>
      <c r="H93" s="4" t="inlineStr">
        <is>
          <t>FEMININE</t>
        </is>
      </c>
      <c r="I93" s="4" t="inlineStr">
        <is>
          <t>SATURDAY</t>
        </is>
      </c>
      <c r="J93" s="4" t="inlineStr">
        <is>
          <t>ALL LUNAR GODDESSES, ARTEMIS, HECATE</t>
        </is>
      </c>
      <c r="K93" s="5" t="inlineStr">
        <is>
          <t>SAMHAIN, YULE</t>
        </is>
      </c>
      <c r="L93" s="5" t="inlineStr">
        <is>
          <t>Wintergreen was used extensively by Native American peoples — the Iroquois used it in ceremony and healing, and its oil was one of the first analgesic medicines widely traded in North America. In folk magic it was believed that a house where wintergreen was kept could never be cursed, and that it would slowly drive out any negativity already present.</t>
        </is>
      </c>
      <c r="M93" s="5" t="inlineStr">
        <is>
          <t>Healing, love, protection, and grief magic. Carry willow bark to ease sorrow; used in moon magic and hex-breaking.</t>
        </is>
      </c>
      <c r="N93" s="5" t="inlineStr">
        <is>
          <t>Used in moon magic rituals and grief ceremonies. Place on altars to honour lunar goddesses; burn to commune with spirits of the departed.</t>
        </is>
      </c>
      <c r="O93" s="5" t="inlineStr">
        <is>
          <t>White willow bark is a patron herb of communication. Willow wands are used in healing rituals. Use it to bring the blessings of the moon. It is sacred to all deities of the other worlds and may be used as a funeral herb.</t>
        </is>
      </c>
      <c r="P93" s="4" t="inlineStr">
        <is>
          <t>Patchouli</t>
        </is>
      </c>
      <c r="Q93" s="5" t="inlineStr">
        <is>
          <t>North America (Damp woodlands)</t>
        </is>
      </c>
      <c r="R93" s="5" t="inlineStr">
        <is>
          <t>Warning: Contains salicylates — avoid if allergic to aspirin. Do not give to children. Avoid during pregnancy.</t>
        </is>
      </c>
      <c r="S93" s="42" t="inlineStr">
        <is>
          <t>The Witches' Aspirin — the Saturn herb of protection, healing and hex-breaking growing in North American damp woodlands. Used in healing rituals for long-standing conditions, in lucky sachets and charm bags, in the grief magic that works with loss rather than against it. The bark that bends and does not break.</t>
        </is>
      </c>
      <c r="T93" s="45" t="inlineStr">
        <is>
          <t>Pisces</t>
        </is>
      </c>
      <c r="U93" t="inlineStr">
        <is>
          <t>Luck drawn through willow's quiet protective energy.</t>
        </is>
      </c>
      <c r="V93" t="inlineStr">
        <is>
          <t>Protection and healing — willow in healing and protective preparations.</t>
        </is>
      </c>
      <c r="W93" t="inlineStr">
        <is>
          <t>Hex-breaking — where a hex must be lifted and the energy cleared.</t>
        </is>
      </c>
      <c r="X93" t="inlineStr">
        <is>
          <t>Opens the hidden protection channel — where what is lingering must be seen before it can be removed.</t>
        </is>
      </c>
      <c r="Y93" t="inlineStr">
        <is>
          <t>Turns through healing and hex-breaking — the long-standing condition finally addressed.</t>
        </is>
      </c>
      <c r="Z93" t="inlineStr">
        <is>
          <t>The Witches' Aspirin in its most persistent healing function — where what must be healed has been present for a long time and will require more than one working to address, willow bark is the herb of the slow, patient, reliable mending.</t>
        </is>
      </c>
    </row>
    <row r="94" ht="208.5" customHeight="1" s="56">
      <c r="A94" s="2" t="inlineStr">
        <is>
          <t>WINTERGREEN</t>
        </is>
      </c>
      <c r="B94" s="2" t="inlineStr">
        <is>
          <t>DEAR BERRY</t>
        </is>
      </c>
      <c r="C94" s="2" t="inlineStr">
        <is>
          <t>Gaultheria procumbens</t>
        </is>
      </c>
      <c r="D94" s="3" t="inlineStr">
        <is>
          <t>Protection, healing, and dowsing/divination. Witch hazel branches are the traditional wood for dowsing rods used to find water and lost objects. Used to protect against hexes and curses. Add to healing sachets for skin-related complaints. The bark is used in wand-making for dowsing wands. Carry to mend a broken heart., Protective charm, Protective charms, Protective sachets, Protective wreaths, Protective incense, PROTECT AGAINST NEGATIVITY, Protection from negativity, Circle protection</t>
        </is>
      </c>
      <c r="E94" s="3" t="inlineStr">
        <is>
          <t>SAMHAIN, ARIADNE, HELIOS, SOL, LEO</t>
        </is>
      </c>
      <c r="F94" s="2" t="inlineStr">
        <is>
          <t>SUN</t>
        </is>
      </c>
      <c r="G94" s="2" t="inlineStr">
        <is>
          <t>FIRE</t>
        </is>
      </c>
      <c r="H94" s="2" t="inlineStr">
        <is>
          <t>MASCULINE</t>
        </is>
      </c>
      <c r="I94" s="2" t="inlineStr">
        <is>
          <t>SUNDAY</t>
        </is>
      </c>
      <c r="J94" s="2" t="inlineStr">
        <is>
          <t>SOL</t>
        </is>
      </c>
      <c r="K94" s="3" t="inlineStr">
        <is>
          <t>SAMHAIN</t>
        </is>
      </c>
      <c r="L94" s="3" t="inlineStr">
        <is>
          <t>The name Witch Hazel comes from Old English wice, meaning pliant or bendable — not from witchcraft — though it became deeply associated with magical use. Native American tribes used witch hazel branches as divining rods and the bark to treat wounds. Its seed pods snap open explosively to scatter seeds — the 'snapping hazel' of its old name.</t>
        </is>
      </c>
      <c r="M94" s="3" t="inlineStr">
        <is>
          <t>Protection, healing, hex breaking, contacting other planes, good luck, and money.</t>
        </is>
      </c>
      <c r="N94" s="3" t="inlineStr">
        <is>
          <t>altar they call good spirits to witness and aid your magic.</t>
        </is>
      </c>
      <c r="O94" s="3" t="inlineStr">
        <is>
          <t>Protection, healing, hex breaking, contacting other planes, good luck, and money. Use to remove a jinx. Also used for protecting children. Wintergreen is placed in children's pillows to protect them and grant them good fortune throughout their lives. When sprinkled in the home it removes hexes and curses, especially when mixed with mint. Wintergreen is also utilised in healing spells, and when fresh sprigs are placed on the altar they call good spirits to witness and aid your magic.</t>
        </is>
      </c>
      <c r="P94" s="2" t="inlineStr">
        <is>
          <t>Tea Tree</t>
        </is>
      </c>
      <c r="Q94" s="3" t="inlineStr">
        <is>
          <t>Mediterranean (Rocky slopes)</t>
        </is>
      </c>
      <c r="R94" s="6" t="inlineStr">
        <is>
          <t>Warning: Prolonged internal intake can be detrimental. The essential oil is toxic — do not ingest.</t>
        </is>
      </c>
      <c r="S94" s="42" t="inlineStr">
        <is>
          <t>The protection, healing and divination herb of witch hazel and dowsing tradition — its Ye Olde Name connects it to the dowsing rod tradition, to the finding of what is hidden underground. Used to protect against hexes and curses, to add to healing sachets for skin conditions, to mend broken hearts.</t>
        </is>
      </c>
      <c r="T94" s="45" t="inlineStr">
        <is>
          <t>Taurus</t>
        </is>
      </c>
      <c r="U94" t="inlineStr">
        <is>
          <t>Good luck and the drawing of what is good — wintergreen's Sun energy.</t>
        </is>
      </c>
      <c r="V94" t="inlineStr">
        <is>
          <t>Protection and healing — the healing herb that protects as it heals.</t>
        </is>
      </c>
      <c r="W94" t="inlineStr">
        <is>
          <t>Hex-breaking and dowsing/divination — where what must be found and what must be broken are both served.</t>
        </is>
      </c>
      <c r="X94" t="inlineStr">
        <is>
          <t>Opens dowsing and divination — the finding of what is hidden under the surface.</t>
        </is>
      </c>
      <c r="Y94" t="inlineStr">
        <is>
          <t>Turns through healing and the mending of what was broken — including the broken heart.</t>
        </is>
      </c>
      <c r="Z94" t="inlineStr">
        <is>
          <t>The divination herb in its dowsing function — where what must be found is not just lost objects but lost threads of what was true before a situation became complicated, wintergreen follows the current to what is genuinely there.</t>
        </is>
      </c>
    </row>
    <row r="95" ht="208.5" customHeight="1" s="56">
      <c r="A95" s="4" t="inlineStr">
        <is>
          <t>WITCH HAZEL BARK</t>
        </is>
      </c>
      <c r="B95" s="4" t="inlineStr">
        <is>
          <t>TOBACCO WOOD</t>
        </is>
      </c>
      <c r="C95" s="4" t="inlineStr">
        <is>
          <t>Hamamelis virginiana</t>
        </is>
      </c>
      <c r="D95" s="5" t="inlineStr">
        <is>
          <t>Protection, healing, divination, and mending heartbreak. The leaves carry the same magical properties as the bark — burn them to clear negative energies from a room. Place under the pillow to protect against nightmares. Use in healing rituals. Add to charm bags for protection against physical and psychic harm., Protective charm, Protective charms, Protective sachets, Protective wreaths, Protective incense, PROTECT AGAINST NEGATIVITY, Protection from negativity, Circle protection</t>
        </is>
      </c>
      <c r="E95" s="5" t="inlineStr">
        <is>
          <t>SAMHAIN, ARIADNE, HELIOS, SOL, LEO</t>
        </is>
      </c>
      <c r="F95" s="4" t="inlineStr">
        <is>
          <t>SUN</t>
        </is>
      </c>
      <c r="G95" s="4" t="inlineStr">
        <is>
          <t>FIRE</t>
        </is>
      </c>
      <c r="H95" s="4" t="inlineStr">
        <is>
          <t>MASCULINE</t>
        </is>
      </c>
      <c r="I95" s="4" t="inlineStr">
        <is>
          <t>SUNDAY</t>
        </is>
      </c>
      <c r="J95" s="4" t="inlineStr">
        <is>
          <t>SOL</t>
        </is>
      </c>
      <c r="K95" s="5" t="inlineStr">
        <is>
          <t>SAMHAIN</t>
        </is>
      </c>
      <c r="L95" s="5" t="inlineStr">
        <is>
          <t>The leaves of Witch Hazel were used by Algonquin peoples to treat swollen joints and inflamed skin. In folk magic, the leaves were placed between the pages of a journal to capture thoughts and dreams for later magical use. A pouch of dried leaves was said to attract the attention of a desired person.</t>
        </is>
      </c>
      <c r="M95" s="5" t="inlineStr">
        <is>
          <t>The Native Americans employed witch hazel not only as a healing plant, but as a cleansing plant, as its smoke and infusions were said to help drive away illnesses and negativity. It is often used in Afro-American conjuring as an herb of protection, or as a powerful de-hexing and exorcising herb.</t>
        </is>
      </c>
      <c r="N95" s="5" t="inlineStr">
        <is>
          <t>and mending heartbreak. The leaves carry the same magical properties as the bark — burn them to clear negative energies from a room. Place under the pillow to protect against nightmares. Use in healing rituals. Add to charm bags for protection against physical and psychic harm.</t>
        </is>
      </c>
      <c r="O95" s="5" t="inlineStr">
        <is>
          <t>Employed in modern magic, witch hazel is used as a protective and banishing herb. Very light decoctions of the herb are typically drunk as a means to heal or mend a broken heart, as well as to banish unwanted emotions or to bolster one's inherent psychical and divinatory abilities. The Native Americans employed witch hazel not only as a healing plant, but as a cleansing plant, as its smoke and infusions were said to help drive away illnesses and negativity. It is often used in Afro-American conjuring as an herb of protection, or as a powerful de-hexing and exorcising herb.</t>
        </is>
      </c>
      <c r="P95" s="4" t="inlineStr">
        <is>
          <t>Tea Tree</t>
        </is>
      </c>
      <c r="Q95" s="5" t="inlineStr">
        <is>
          <t>North America, China, Japan (Deciduous woodlands and forest edges)</t>
        </is>
      </c>
      <c r="R95" s="6" t="inlineStr">
        <is>
          <t>Warning: Prolonged internal intake of witch hazel can be detrimental to health.</t>
        </is>
      </c>
      <c r="S95" s="42" t="inlineStr">
        <is>
          <t>The bark of the Algonquin healing tradition — used by Native American peoples who burned it and applied it to treat ailments long before European settlers arrived. Its very name comes from Old English wice, meaning pliant, but it was also the traditional wood for dowsing rods. Carries the double gift of healing and finding.</t>
        </is>
      </c>
      <c r="U95" t="inlineStr">
        <is>
          <t>None specified — witch hazel bark works in protection, healing and divination.</t>
        </is>
      </c>
      <c r="V95" t="inlineStr">
        <is>
          <t>Protection and healing — the bark that heals and guards.</t>
        </is>
      </c>
      <c r="W95" t="inlineStr">
        <is>
          <t>The mending of heartbreak and the clearing of negative energies.</t>
        </is>
      </c>
      <c r="X95" t="inlineStr">
        <is>
          <t>Opens divination and the finding of what is hidden — the dowsing rod tradition.</t>
        </is>
      </c>
      <c r="Y95" t="inlineStr">
        <is>
          <t>Turns through healing and the clearing of what was negative — the negative energies burned out.</t>
        </is>
      </c>
      <c r="Z95" t="inlineStr">
        <is>
          <t>The heartbreak herb in its most complete function — where what must be mended is the place in the chest where something important used to live and no longer does, witch hazel bark is the herb that treats the wound that no other medicine reaches.</t>
        </is>
      </c>
    </row>
    <row r="96" ht="220.5" customHeight="1" s="56">
      <c r="A96" s="2" t="inlineStr">
        <is>
          <t>WITCH HAZEL LEAVES</t>
        </is>
      </c>
      <c r="B96" s="2" t="inlineStr">
        <is>
          <t>TOBACCO WOOD LEAVES</t>
        </is>
      </c>
      <c r="C96" s="2" t="inlineStr">
        <is>
          <t>Hamamelis virginiana</t>
        </is>
      </c>
      <c r="D96" s="3" t="inlineStr">
        <is>
          <t>Purification, Protection, Banishing, Consecration,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96" s="3" t="inlineStr">
        <is>
          <t>Sun, Healing deities, Divination spirits</t>
        </is>
      </c>
      <c r="F96" s="2" t="inlineStr">
        <is>
          <t>Moon</t>
        </is>
      </c>
      <c r="G96" s="2" t="inlineStr">
        <is>
          <t>Water/Earth</t>
        </is>
      </c>
      <c r="H96" s="2" t="inlineStr">
        <is>
          <t>Masculine</t>
        </is>
      </c>
      <c r="I96" s="2" t="inlineStr">
        <is>
          <t>Sunday</t>
        </is>
      </c>
      <c r="J96" s="2" t="inlineStr">
        <is>
          <t>FILDIAS</t>
        </is>
      </c>
      <c r="K96" s="3" t="inlineStr">
        <is>
          <t>IMBOLC, SAMHAIN</t>
        </is>
      </c>
      <c r="L96" s="3" t="inlineStr">
        <is>
          <t>The leaves of Witch Hazel were used by Algonquin peoples to treat swollen joints and inflamed skin. In folk magic, the leaves were placed between the pages of a journal to capture thoughts and dreams for later magical use. A pouch of dried leaves was said to attract the attention of a desired person.</t>
        </is>
      </c>
      <c r="M96" s="3" t="inlineStr">
        <is>
          <t>The Native Americans employed witch hazel not only as a healing plant, but as a cleansing plant, as its smoke and infusions were said to help drive away illnesses and negativity. It is often used in Afro-American conjuring as an herb of protection, or as a powerful de-hexing and exorcising herb.</t>
        </is>
      </c>
      <c r="N96" s="3" t="inlineStr">
        <is>
          <t>Purification, Consecration</t>
        </is>
      </c>
      <c r="O96" s="3" t="inlineStr">
        <is>
          <t>Employed in modern magic, witch hazel is used as a protective and banishing herb. Very light decoctions of the herb are typically drunk as a means to heal or mend a broken heart, as well as to banish unwanted emotions or to bolster one's inherent psychical and divinatory abilities. The Native Americans employed witch hazel not only as a healing plant, but as a cleansing plant, as its smoke and infusions were said to help drive away illnesses and negativity. It is often used in Afro-American conjuring as an herb of protection, or as a powerful de-hexing and exorcising herb.</t>
        </is>
      </c>
      <c r="P96" s="2" t="inlineStr">
        <is>
          <t>Lemon</t>
        </is>
      </c>
      <c r="Q96" s="3" t="inlineStr">
        <is>
          <t>North America, China, Japan (Deciduous woodlands and forest edges)</t>
        </is>
      </c>
      <c r="R96" s="3" t="inlineStr">
        <is>
          <t>Warning: Prolonged internal intake of witch hazel can be detrimental to health. For external use only.</t>
        </is>
      </c>
      <c r="S96" s="42" t="inlineStr">
        <is>
          <t>The leaves of the same tradition, carrying the same Algonquin healing and exorcism energy in a lighter, more dispersible form. Burned to clear negative energies from a room, placed under the pillow to protect against nightmares. The Moon and Earth mixed — the yin and yang of this dual-element herb.</t>
        </is>
      </c>
      <c r="U96" t="inlineStr">
        <is>
          <t>None specified.</t>
        </is>
      </c>
      <c r="V96" t="inlineStr">
        <is>
          <t>Protection — the primary function of witch hazel leaves.</t>
        </is>
      </c>
      <c r="W96" t="inlineStr">
        <is>
          <t>Purification and banishing — burned to clear what must leave.</t>
        </is>
      </c>
      <c r="X96" t="inlineStr">
        <is>
          <t>Opens the protection channel — where what threatens from the unseen must be cleared.</t>
        </is>
      </c>
      <c r="Y96" t="inlineStr">
        <is>
          <t>Turns through purification and banishing — the room cleared, the nightmare repelled.</t>
        </is>
      </c>
      <c r="Z96" t="inlineStr">
        <is>
          <t>The banishing herb in its body-level function — where the negative energy that must be cleared is not in the space but in the bearer's own field, witch hazel leaves clear at the level where the skin meets what the air carries.</t>
        </is>
      </c>
    </row>
    <row r="97" ht="110.25" customHeight="1" s="56">
      <c r="A97" s="4" t="inlineStr">
        <is>
          <t>BLACK SALT</t>
        </is>
      </c>
      <c r="B97" s="4" t="inlineStr">
        <is>
          <t>WITCHES SALT</t>
        </is>
      </c>
      <c r="C97" s="4" t="inlineStr">
        <is>
          <t>Sal Negro</t>
        </is>
      </c>
      <c r="D97" s="5" t="inlineStr">
        <is>
          <t>Protection, Banishing, Purification, Warding, Removing hexes and curses, Absorbing negativity, Exorcism, Spirit work, Ancestor rituals, Binding, Samhain rituals,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Spell-breaking, Reversing harmful spells, Breaking spells, Hex breaking, Removing hexes, Removing curses, Removing jinxes, Removing bad luck, Breaking hexes, Returning hexes, hex-breaking, Removing a jinx, Luck, Good luck, Good luck in family matters, Fortune, Casino luck, WISHES, Wish magick, Carrying wishes, Transmuting wishes, Contacting planes, Contacting other planes, Communion with spirits, Communing with the departed, Communing with otherworldly entities, Nether-realm travel, Walking between worlds, SISM, contacting a specific person, Samhain/ancestral altars, Ancestral altars, Rituals for the dead, Honouring the dead, ancestral magic, ancestral memory, death rites, Death and rebirth rites, Necromancy, Peaceful transition for the dead, ancestors, Crone magic, Seeing past lives, Reincarnation, Reincarnation knowledge, Past lives, Mabon/Samhain, Mabon rituals, Samhain</t>
        </is>
      </c>
      <c r="E97" s="5" t="inlineStr">
        <is>
          <t>ARES, FREYA, MARS, ARIES</t>
        </is>
      </c>
      <c r="F97" s="4" t="inlineStr">
        <is>
          <t>MARS</t>
        </is>
      </c>
      <c r="G97" s="4" t="inlineStr">
        <is>
          <t>FIRE</t>
        </is>
      </c>
      <c r="H97" s="4" t="inlineStr">
        <is>
          <t>MASCULINE</t>
        </is>
      </c>
      <c r="I97" s="4" t="inlineStr">
        <is>
          <t>TUESDAY</t>
        </is>
      </c>
      <c r="J97" s="4" t="inlineStr">
        <is>
          <t>ARES</t>
        </is>
      </c>
      <c r="K97" s="5" t="inlineStr">
        <is>
          <t>SAMHAIN</t>
        </is>
      </c>
      <c r="L97" s="5" t="inlineStr">
        <is>
          <t>Black Salt is a ritual magical preparation, not a naturally occurring substance. It is made from a combination of sea salt with charcoal, ash, or the scrapings from a cast iron pot. It is used extensively in hoodoo and folk magic traditions.</t>
        </is>
      </c>
      <c r="M97" s="5" t="inlineStr">
        <is>
          <t>spirit callings, ancestor work, and Samhain rituals.</t>
        </is>
      </c>
      <c r="N97" s="5" t="inlineStr">
        <is>
          <t>Add a bit to floor washes to cleanse your home, front walkway, and ritual area of negativity. Use for spirit callings, ancestor work, and Samhain rituals.</t>
        </is>
      </c>
      <c r="O97" s="5" t="inlineStr">
        <is>
          <t>Black Salt (Sal Negro) is a magical preparation used primarily in protective and banishing workings. It is made by combining sea salt with charcoal ash, iron scrapings, or the remnants of burned protective herbs. Unlike culinary black salt (Kala Namak), magical black salt is not edible and is used exclusively for ritual purposes. Keep in a dish under your pillow to negate bad dreams, cast a line across doorways to keep out evil, add to floor washes to cleanse the home of negativity.</t>
        </is>
      </c>
      <c r="P97" s="4" t="inlineStr">
        <is>
          <t>Pine</t>
        </is>
      </c>
      <c r="Q97" s="5" t="inlineStr">
        <is>
          <t>Mineral compound (worldwide — made from sea salt combined with charcoal or iron)</t>
        </is>
      </c>
      <c r="R97" s="5" t="inlineStr">
        <is>
          <t>Warning: Black salt is for ritual/magical use only. Do not ingest — it contains charcoal or ash.</t>
        </is>
      </c>
      <c r="S97" s="42" t="inlineStr">
        <is>
          <t>The ritual magical preparation — not a naturally occurring substance but a crafted one, made from salt and the ash of other workings. Carries the combined force of what has been burned before. Used in ancestor rituals at Samhain, in binding and banishing and the absorbing of negative energy. The Mars and Fire salt that does what ordinary salt does, harder.</t>
        </is>
      </c>
      <c r="U97" t="inlineStr">
        <is>
          <t>None specified — black salt works primarily in protection and release.</t>
        </is>
      </c>
      <c r="V97" t="inlineStr">
        <is>
          <t>Protection, warding and binding — black salt as an aggressive protective barrier.</t>
        </is>
      </c>
      <c r="W97" t="inlineStr">
        <is>
          <t>Banishing, purification and removing hexes and curses — black salt's primary clearing function.</t>
        </is>
      </c>
      <c r="X97" t="inlineStr">
        <is>
          <t>Opens the spirit work and ancestor rituals — where the connection between the living and the dead must be made.</t>
        </is>
      </c>
      <c r="Y97" t="inlineStr">
        <is>
          <t>Turns through banishing and purification — the absorbed negativity burned away, the space reset.</t>
        </is>
      </c>
      <c r="Z97" t="inlineStr">
        <is>
          <t>The ritual salt in its Samhain and ancestor function — where the working is about acknowledging what has accumulated from the dead and releasing it appropriately, black salt is the magical preparation that absorbs what the living carry from those who have gone.</t>
        </is>
      </c>
    </row>
    <row r="98" ht="269.25" customHeight="1" s="56">
      <c r="A98" s="2" t="inlineStr">
        <is>
          <t>WOODRUFF</t>
        </is>
      </c>
      <c r="B98" s="2" t="inlineStr">
        <is>
          <t>MASTER OF THE WOOD</t>
        </is>
      </c>
      <c r="C98" s="2" t="inlineStr">
        <is>
          <t>Galium odoratum</t>
        </is>
      </c>
      <c r="D98" s="3" t="inlineStr">
        <is>
          <t>Victory, protection, prosperity, and Beltane rituals. Carry woodruff to ensure success in all athletic and warrior endeavours. Used to attract money and good luck. Incorporated into Beltane celebrations., Success, victory in battle, Conquest, Overcoming opposition, Courtroom success, Legal matters, Justice</t>
        </is>
      </c>
      <c r="E98" s="3" t="inlineStr">
        <is>
          <t>MARS</t>
        </is>
      </c>
      <c r="F98" s="2" t="inlineStr">
        <is>
          <t>MARS</t>
        </is>
      </c>
      <c r="G98" s="2" t="inlineStr">
        <is>
          <t>AIR</t>
        </is>
      </c>
      <c r="H98" s="2" t="inlineStr">
        <is>
          <t>MASCULINE</t>
        </is>
      </c>
      <c r="I98" s="2" t="inlineStr">
        <is>
          <t>Tuesday</t>
        </is>
      </c>
      <c r="J98" s="2" t="inlineStr">
        <is>
          <t>ALL</t>
        </is>
      </c>
      <c r="K98" s="3" t="inlineStr">
        <is>
          <t>BELTANE</t>
        </is>
      </c>
      <c r="L98" s="3" t="inlineStr">
        <is>
          <t>Sweet Woodruff blooms at Beltane and was traditionally used in May wine across Germany and Central Europe. It was strewn in churches on feast days and used to stuff mattresses. Sacred to the woodland gods.</t>
        </is>
      </c>
      <c r="M98" s="3" t="inlineStr">
        <is>
          <t>Divination, psychic enhancement, spirit summoning, and protection. Burn as incense to open psychic channels and enhance clairvoyance. Use in scrying rituals. Place near a crystal ball or scrying mirror to enhance visions. Add to flying ointments in small quantities (external use only — highly toxic internally). Protective against malevolent spirits when burned.</t>
        </is>
      </c>
      <c r="N98" s="3" t="inlineStr">
        <is>
          <t>used in rituals that honour gods associated with the woodland, such as Herne and Cernunnos, and in spells to stir male sexuality.</t>
        </is>
      </c>
      <c r="O98" s="3" t="inlineStr">
        <is>
          <t>Woodruff (Galium odoratum), also known as Master of the Wood, is a delicate woodland herb that blooms in spring around Beltane. It has a sweet, hay-like scent that intensifies as it dries, reminiscent of freshly cut grass and vanilla. It is sacred to woodland deities and is used in Beltane celebrations.</t>
        </is>
      </c>
      <c r="P98" s="2" t="inlineStr">
        <is>
          <t>Pine</t>
        </is>
      </c>
      <c r="Q98" s="3" t="inlineStr">
        <is>
          <t>Europe, Western Asia, North Africa (Shaded woodlands, hedgerows)</t>
        </is>
      </c>
      <c r="R98" s="6" t="inlineStr">
        <is>
          <t>Warning: It is poisonous and should only be ingested in very small quantities if at all.</t>
        </is>
      </c>
      <c r="S98" s="42" t="inlineStr">
        <is>
          <t>The Master of the Wood — blooming at Beltane as it always has, used in traditional May celebrations and added to the Maibowle, the German wine cup of the season. Sacred to the warrior tradition as much as the woodland one — carries victory, success and protection for those who go into contest or challenge.</t>
        </is>
      </c>
      <c r="U98" t="inlineStr">
        <is>
          <t>Prosperity and Beltane abundance drawn through woodruff's seasonal power.</t>
        </is>
      </c>
      <c r="V98" t="inlineStr">
        <is>
          <t>Protection and psychic enhancement — woodruff in protective and sight-sharpening work.</t>
        </is>
      </c>
      <c r="W98" t="inlineStr">
        <is>
          <t>None specified.</t>
        </is>
      </c>
      <c r="X98" t="inlineStr">
        <is>
          <t>Opens divination and clairvoyance — woodruff burned before visions are sought.</t>
        </is>
      </c>
      <c r="Y98" t="inlineStr">
        <is>
          <t>Turns through victory and the movement of energy from one state into what must triumph — the Beltane fire spelling forward.</t>
        </is>
      </c>
      <c r="Z98" t="inlineStr">
        <is>
          <t>The Master of the Wood at the Beltane fire — where the working calls on the full force of the Beltane tradition including what the fires have always been for: the celebration of what is alive, what is growing and what intends to continue.</t>
        </is>
      </c>
    </row>
    <row r="99" ht="195.75" customHeight="1" s="56">
      <c r="A99" s="4" t="inlineStr">
        <is>
          <t>WORMWOOD</t>
        </is>
      </c>
      <c r="B99" s="4" t="inlineStr">
        <is>
          <t>ABSINTHE</t>
        </is>
      </c>
      <c r="C99" s="4" t="inlineStr">
        <is>
          <t>Artemisia absinthium</t>
        </is>
      </c>
      <c r="D99" s="5" t="inlineStr">
        <is>
          <t>Banishing, calling spirits, clairvoyance, divination, love, protection, psychic development, growth and spell breaking. An herb of Mars matters — aggression, courage, defensive magic, exorcism, healing after surgery, hex-breaking, lust, physical strength, protection, sexual energy, and strength.,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Magical power, Increasing magical power, Increasing spell power, Power amplification, Bolstering spells, Bolstering incense, Strengthening spells, Potency, Power, Magic, WISDOM IN MAGICK, Healing, Healing magic, Healing spells, Healing sachets, Healing incenses, Healing mixtures, Healing rituals, Healing incense, Healing vibrations, Aiding recovery, Aiding the ill, Improving health, Speeding recovery, Good health, health, Spell-breaking, Reversing harmful spells, Breaking spells, Hex breaking, Removing hexes, Removing curses, Removing jinxes, Removing bad luck, Breaking hexes, Returning hexes, Removing hexes and curses, Removing a jinx, Luck, Good luck, Good luck in family matters, Fortune, Casino luck, WISHES, Wish magick, Carrying wishes, Transmuting wishes</t>
        </is>
      </c>
      <c r="E99" s="5" t="inlineStr">
        <is>
          <t>APHRODITE, HERMES, THE HORNED GOD</t>
        </is>
      </c>
      <c r="F99" s="4" t="inlineStr">
        <is>
          <t>VENUS</t>
        </is>
      </c>
      <c r="G99" s="4" t="inlineStr">
        <is>
          <t>WATER</t>
        </is>
      </c>
      <c r="H99" s="4" t="inlineStr">
        <is>
          <t>MASCULINE</t>
        </is>
      </c>
      <c r="I99" s="4" t="inlineStr">
        <is>
          <t>Friday</t>
        </is>
      </c>
      <c r="J99" s="4" t="inlineStr">
        <is>
          <t>APHRODITE</t>
        </is>
      </c>
      <c r="K99" s="5" t="inlineStr">
        <is>
          <t>OSTARA, BELTANE</t>
        </is>
      </c>
      <c r="L99" s="5" t="inlineStr">
        <is>
          <t>Wormwood is the main flavouring of absinthe, the infamous green fairy liqueur associated with artists, poets and visionary experiences. Burning wormwood and sandalwood in a cemetery will reportedly enable communication with the dead.</t>
        </is>
      </c>
      <c r="M99" s="5" t="inlineStr">
        <is>
          <t>Banishing, calling spirits, clairvoyance, divination, love, protection, psychic development, growth, and spell-breaking. Wormwood may be used as an ingredient or substitute for magic spells and formulas related to Mars matters: aggression, courage, defensive magic, exorcism, healing after surgery, hex-breaking, lust, physical strength, politics, pr</t>
        </is>
      </c>
      <c r="N99" s="5" t="inlineStr">
        <is>
          <t>burned in all incenses designed to raise spirits, and now is used as incense in exorcism and protection blends.</t>
        </is>
      </c>
      <c r="O99" s="5" t="inlineStr">
        <is>
          <t>Wormwood (Artemisia absinthium), also known as Absinthe, is a powerful and aromatic herb sacred to Mars and Pluto. It has a long history as a visionary herb and is one of the most potent herbs for psychic development and spirit communication. Use in a well-ventilated space as the smoke is considered mildly toxic.</t>
        </is>
      </c>
      <c r="P99" s="4" t="inlineStr">
        <is>
          <t>Ylang Ylang</t>
        </is>
      </c>
      <c r="Q99" s="5" t="inlineStr">
        <is>
          <t>Europe, Asia, North Africa, North America (Dry, rocky soils, roadsides, wasteland)</t>
        </is>
      </c>
      <c r="R99" s="5" t="inlineStr">
        <is>
          <t>Warning: Contains thujone — toxic in large doses. Do not use long-term or during pregnancy. The essential oil is particularly dangerous.</t>
        </is>
      </c>
      <c r="S99" s="42" t="inlineStr">
        <is>
          <t>The Absinthe herb — the infamous green fairy of the distillery, but far older in magical practice than any liqueur. The Mars and Venus meeting in a single herb: aggression and love in the same stem, exorcism and clairvoyance from the same leaf. Used in spirit calling, banishing and the opening of psychic powers that have been shut down.</t>
        </is>
      </c>
      <c r="T99" s="45" t="inlineStr">
        <is>
          <t>Cancer, Scorpio</t>
        </is>
      </c>
      <c r="U99" t="inlineStr">
        <is>
          <t>Calling spirits and the drawing of love and clairvoyance.</t>
        </is>
      </c>
      <c r="V99" t="inlineStr">
        <is>
          <t>Protection and psychic development — wormwood in the deep protective and sight-opening work.</t>
        </is>
      </c>
      <c r="W99" t="inlineStr">
        <is>
          <t>Banishing, hex-breaking and spell-breaking — the clearing force of wormwood.</t>
        </is>
      </c>
      <c r="X99" t="inlineStr">
        <is>
          <t>Opens clairvoyance and the way to spirit calling — where the sight must be opened and the spirits invited.</t>
        </is>
      </c>
      <c r="Y99" t="inlineStr">
        <is>
          <t>Turns through banishing and the growth that comes after removal — the spell that banishes and then plants.</t>
        </is>
      </c>
      <c r="Z99" t="inlineStr">
        <is>
          <t>The absinthe herb — the green fairy of altered states and the loosening of what is ordinarily held back. Where inhibition must be gently dissolved so that what is genuinely desired can surface, wormwood is the herb that knows that boundary.</t>
        </is>
      </c>
    </row>
    <row r="100" ht="61.5" customHeight="1" s="56">
      <c r="A100" s="2" t="inlineStr">
        <is>
          <t>YARROW</t>
        </is>
      </c>
      <c r="B100" s="2" t="inlineStr">
        <is>
          <t>ARROW ROOT</t>
        </is>
      </c>
      <c r="C100" s="2" t="inlineStr">
        <is>
          <t>Achillea millefolium</t>
        </is>
      </c>
      <c r="D100" s="3" t="inlineStr">
        <is>
          <t>Divination, love spells, contacting a specific person, prophetic dreams, psychic communication, cleansing the aura, divination tea. Used as a charm for pregnant women. Strewn across thresholds to prevent unhelpful spirits from entering. Used in sachets for love, courage, communication and psychic abilities., Enhancing divination, Divinatory incense, Foretelling the future, Future divination, Scrying, Dowsing, Prophecy, Contacting planes, Contacting other planes, Communion with spirits, Communing with the departed, Communing with otherworldly entities, Spirit work, Nether-realm travel, Walking between worlds, SISM,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E100" s="3" t="inlineStr">
        <is>
          <t>Moon, Artemis, Diana</t>
        </is>
      </c>
      <c r="F100" s="2" t="inlineStr">
        <is>
          <t>Moon</t>
        </is>
      </c>
      <c r="G100" s="2" t="inlineStr">
        <is>
          <t>Water</t>
        </is>
      </c>
      <c r="H100" s="2" t="inlineStr">
        <is>
          <t>Feminine</t>
        </is>
      </c>
      <c r="I100" s="2" t="inlineStr">
        <is>
          <t>Monday</t>
        </is>
      </c>
      <c r="J100" s="2" t="inlineStr">
        <is>
          <t>ARTEMIS, DIANA</t>
        </is>
      </c>
      <c r="K100" s="3" t="inlineStr">
        <is>
          <t>IMBOLC, SAMHAIN</t>
        </is>
      </c>
      <c r="L100" s="3" t="inlineStr">
        <is>
          <t>Yarrow is named for Achilles, who was said to have used it to staunch the wounds of his soldiers at Troy — hence its Latin name Achillea. Hanging a bunch of yarrow over the bed on the wedding night ensures lasting love for seven years.</t>
        </is>
      </c>
      <c r="M100" s="3" t="inlineStr">
        <is>
          <t>divination and love spells and in spells for contacting or seeking out a specific person.</t>
        </is>
      </c>
      <c r="N100" s="3" t="inlineStr">
        <is>
          <t>incense or oil to cleanse the aura and for divination.</t>
        </is>
      </c>
      <c r="O100" s="3" t="inlineStr">
        <is>
          <t>Yarrow (Achillea millefolium), also known as Arrow Root, is one of the oldest known medicinal and magical herbs, with evidence of use going back over 60,000 years. It is a herb of Venus and is associated with love magic, divination, and psychic development.</t>
        </is>
      </c>
      <c r="P100" s="2" t="inlineStr">
        <is>
          <t>Melissa</t>
        </is>
      </c>
      <c r="Q100" s="3" t="inlineStr">
        <is>
          <t>Europe, Asia, North America (Meadows, grasslands, roadsides — widely naturalised globally)</t>
        </is>
      </c>
      <c r="R100" s="3" t="inlineStr">
        <is>
          <t>Warning: Avoid during pregnancy. Can cause skin sensitivity in some individuals.</t>
        </is>
      </c>
      <c r="S100" s="42" t="inlineStr">
        <is>
          <t>Named for Achilles who carried it into battle to heal his soldiers' wounds — the warrior's healer and the dreaming herb at once. Strewn at thresholds to keep harmful spirits out, carried in sachets for love and courage and psychic abilities, used in divination tea. The herb that bridges battlefield and dreaming room.</t>
        </is>
      </c>
      <c r="U100" t="inlineStr">
        <is>
          <t>Love spells drawn through yarrow's Moon energy.</t>
        </is>
      </c>
      <c r="V100" t="inlineStr">
        <is>
          <t>Psychic communication and courage — yarrow in the psychic and protective work.</t>
        </is>
      </c>
      <c r="W100" t="inlineStr">
        <is>
          <t>None specified.</t>
        </is>
      </c>
      <c r="X100" t="inlineStr">
        <is>
          <t>Opens divination and prophetic dreams — yarrow in the divination tea, on the altar before a reading.</t>
        </is>
      </c>
      <c r="Y100" t="inlineStr">
        <is>
          <t>Turns through the cleansing of the aura and the building of courage — what was depleted by the fight now restored.</t>
        </is>
      </c>
      <c r="Z100" t="inlineStr">
        <is>
          <t>The Achilles herb in its battlefield function — where the working must sustain what is under attack from something that has not stopped pressing, yarrow is the healer's herb that works while the fighting continues, not only after it has stopped.</t>
        </is>
      </c>
    </row>
    <row r="101" ht="61.5" customHeight="1" s="56"/>
    <row r="102" ht="74.25" customHeight="1" s="56"/>
    <row r="103" ht="61.5" customHeight="1" s="56"/>
    <row r="104" ht="61.5" customHeight="1" s="56"/>
    <row r="105" ht="74.25" customHeight="1" s="56"/>
    <row r="106" ht="74.25" customHeight="1" s="56"/>
    <row r="107" ht="74.25" customHeight="1" s="56"/>
  </sheetData>
  <autoFilter ref="A1:R1"/>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Z66"/>
  <sheetViews>
    <sheetView zoomScaleNormal="100" workbookViewId="0">
      <pane xSplit="1" ySplit="1" topLeftCell="T8" activePane="bottomRight" state="frozen"/>
      <selection pane="bottomLeft" activeCell="A2" sqref="A2"/>
      <selection pane="topRight" activeCell="B1" sqref="B1"/>
      <selection pane="bottomRight" activeCell="T1" sqref="T1:T1048576"/>
    </sheetView>
  </sheetViews>
  <sheetFormatPr baseColWidth="8" defaultColWidth="8.7421875" defaultRowHeight="15"/>
  <cols>
    <col width="22.05859375" customWidth="1" style="56" min="1" max="1"/>
    <col width="20.04296875" customWidth="1" style="56" min="2" max="2"/>
    <col width="22.05859375" customWidth="1" style="56" min="3" max="3"/>
    <col width="59.99609375" customWidth="1" style="56" min="4" max="4"/>
    <col width="34.97265625" customWidth="1" style="56" min="5" max="5"/>
    <col width="11.97265625" customWidth="1" style="56" min="6" max="9"/>
    <col width="22.05859375" customWidth="1" style="56" min="10" max="10"/>
    <col width="18.0234375" customWidth="1" style="56" min="11" max="11"/>
    <col width="50.04296875" customWidth="1" style="56" min="12" max="12"/>
    <col width="34.97265625" customWidth="1" style="56" min="13" max="13"/>
    <col width="55.01953125" customWidth="1" style="56" min="14" max="14"/>
    <col width="69.94921875" customWidth="1" style="56" min="15" max="15"/>
    <col width="18.0234375" customWidth="1" style="56" min="16" max="16"/>
    <col width="55.01953125" customWidth="1" style="56" min="17" max="17"/>
    <col width="34.97265625" customWidth="1" style="56" min="18" max="18"/>
    <col width="29.86328125" customWidth="1" style="56" min="20" max="20"/>
  </cols>
  <sheetData>
    <row r="1" ht="31.5" customHeight="1" s="56">
      <c r="A1" s="1" t="inlineStr">
        <is>
          <t>Name</t>
        </is>
      </c>
      <c r="B1" s="1" t="inlineStr">
        <is>
          <t>Ye Olde Name</t>
        </is>
      </c>
      <c r="C1" s="1" t="inlineStr">
        <is>
          <t>Latin Name</t>
        </is>
      </c>
      <c r="D1" s="1" t="inlineStr">
        <is>
          <t>Magical Uses</t>
        </is>
      </c>
      <c r="E1" s="1" t="inlineStr">
        <is>
          <t>Association</t>
        </is>
      </c>
      <c r="F1" s="1" t="inlineStr">
        <is>
          <t>Planet</t>
        </is>
      </c>
      <c r="G1" s="1" t="inlineStr">
        <is>
          <t>Element</t>
        </is>
      </c>
      <c r="H1" s="1" t="inlineStr">
        <is>
          <t>Energy</t>
        </is>
      </c>
      <c r="I1" s="1" t="inlineStr">
        <is>
          <t>Day</t>
        </is>
      </c>
      <c r="J1" s="1" t="inlineStr">
        <is>
          <t>Deity</t>
        </is>
      </c>
      <c r="K1" s="1" t="inlineStr">
        <is>
          <t>Sabbat</t>
        </is>
      </c>
      <c r="L1" s="1" t="inlineStr">
        <is>
          <t>Folk Lore</t>
        </is>
      </c>
      <c r="M1" s="1" t="inlineStr">
        <is>
          <t>Powers</t>
        </is>
      </c>
      <c r="N1" s="1" t="inlineStr">
        <is>
          <t>Spiritual Uses</t>
        </is>
      </c>
      <c r="O1" s="1" t="inlineStr">
        <is>
          <t>Description</t>
        </is>
      </c>
      <c r="P1" s="1" t="inlineStr">
        <is>
          <t>Oil Name</t>
        </is>
      </c>
      <c r="Q1" s="1" t="inlineStr">
        <is>
          <t>Geology</t>
        </is>
      </c>
      <c r="R1" s="1" t="inlineStr">
        <is>
          <t>Warning</t>
        </is>
      </c>
      <c r="S1" t="inlineStr">
        <is>
          <t>Magical Uses Keywords</t>
        </is>
      </c>
      <c r="T1" s="41" t="inlineStr">
        <is>
          <t>Greenman Energy — Main</t>
        </is>
      </c>
      <c r="U1" t="inlineStr">
        <is>
          <t>Greenman Energy — Draw</t>
        </is>
      </c>
      <c r="V1" t="inlineStr">
        <is>
          <t>Greenman Energy — Hold</t>
        </is>
      </c>
      <c r="W1" t="inlineStr">
        <is>
          <t>Greenman Energy — Release</t>
        </is>
      </c>
      <c r="X1" t="inlineStr">
        <is>
          <t>Greenman Energy — Open / Reveal</t>
        </is>
      </c>
      <c r="Y1" t="inlineStr">
        <is>
          <t>Greenman Energy — Transform / Turn</t>
        </is>
      </c>
      <c r="Z1" t="inlineStr">
        <is>
          <t>Greenman Energy — Over 18</t>
        </is>
      </c>
    </row>
    <row r="2" ht="86.25" customHeight="1" s="56">
      <c r="A2" s="2" t="inlineStr">
        <is>
          <t xml:space="preserve">agate Blue Lace </t>
        </is>
      </c>
      <c r="B2" s="2" t="inlineStr">
        <is>
          <t>Sailor's Talisman</t>
        </is>
      </c>
      <c r="C2" s="2" t="inlineStr">
        <is>
          <t>Chalcedony (SiO₂)</t>
        </is>
      </c>
      <c r="D2" s="3" t="inlineStr">
        <is>
          <t>Renowned as the stone of peace, calmness, Blue Lace Agate reduces tension, heals the effects of stress. It is especially soothing to sensitive people who are at risk of being overwhelmed by other people's emotions, energies, to violent people who find it difficult to talk about their anger. Releases suppressed femininity, helps you to be comf, table with the female aspect of your nature. Increases the magical power of the voice, granting the wearer a silver tongue, the ability to express their feelings.</t>
        </is>
      </c>
      <c r="E2" s="3" t="inlineStr">
        <is>
          <t>Associated with calming storms and protecting sailors; used for soothing communication and peace [cite: 1.2.2, 1.2.4].</t>
        </is>
      </c>
      <c r="F2" s="2" t="inlineStr">
        <is>
          <t>Mercury</t>
        </is>
      </c>
      <c r="G2" s="2" t="inlineStr">
        <is>
          <t>Water</t>
        </is>
      </c>
      <c r="H2" s="2" t="inlineStr">
        <is>
          <t>Receptive</t>
        </is>
      </c>
      <c r="I2" s="2" t="inlineStr">
        <is>
          <t>Wednesday</t>
        </is>
      </c>
      <c r="J2" s="2" t="inlineStr">
        <is>
          <t>MERCURY, ODIN, LOKI</t>
        </is>
      </c>
      <c r="K2" s="3" t="inlineStr">
        <is>
          <t>MABON</t>
        </is>
      </c>
      <c r="L2" s="3" t="inlineStr">
        <is>
          <t>Placed under the pillow it helps bring a deep and healing sleep and is especially soothing for restless babies and children.</t>
        </is>
      </c>
      <c r="M2" s="3" t="inlineStr">
        <is>
          <t>Peace, patience, Happiness, warmth, gentleness, domestic harmony, tenderness</t>
        </is>
      </c>
      <c r="N2" s="3" t="inlineStr">
        <is>
          <t>Placed on the 3rd Eye the stone soothes headaches, especially if you visualise the pain being drawn into the delicate b, ing on the stone.   used as an aid with arthritis, joints, bones, headaches, especially tension headaches, colic, digestive issues, appropriate growth, immune system issues, throat, skin issues especially eczema, stuttering, nervous speech habits, patterns.</t>
        </is>
      </c>
      <c r="O2" s="3" t="inlineStr">
        <is>
          <t>*agate Blue Lace*  Also known as: Sailor's Talisman.  Mineral composition: Chalcedony (SiO₂).  Planet: Mercury  Element: Water  Energy: Receptive  Sacred Day: Wednesday.  Deity associations: Aesculapus.  Sabbat: MABON.  Association: Associated with calming storms and protecting sailors; used for soothing communication and peace [cite: 1.2.2, 1.2.4]..  Magical uses: Renowned as the stone of peace, calmness, Blue Lace Agate reduces tension, heals the effects of stress. It is especially soothing to sensitive people who are at risk of being overwhelmed by other people's emotions, energies, to violent people who find it difficult to talk about their anger. Releases suppressed femininity, helps you to be comf, table with the female aspect of your nature. Increases the magical power of the voice, granting the wearer a silver tongue, the ability to express their feelings..  Powers: Peace, patience, Happiness, warmth, gentleness, domestic harmony, tenderness.  Spiritual uses: Placed on the 3rd Eye the stone soothes headaches, especially if you visualise the pain being drawn into the delicate b, ing on the stone.   used as an aid with arthritis, joints, bones, headaches, especially tension headaches, colic, digestive issues, appropriate growth, immune system issues, throat, skin issues especially eczema, stuttering, nervous speech habits, patterns..  Folk lore: Placed under the pillow it helps bring a deep and healing sleep and is especially soothing for restless babies and children..  Geology &amp; origin: Blue Lace Agate is a variety of banded Chalcedony, a mineral of the Quartz family. It is usually banded in layers of predominantly light blue, striped with brighter blues, whites, and even brown threads of color. Microcrystalline variety of chalcedony, Lacy Looking 
Common Locations: Namibia, South Africa.</t>
        </is>
      </c>
      <c r="P2" s="2" t="inlineStr">
        <is>
          <t>Rose</t>
        </is>
      </c>
      <c r="Q2" s="3" t="inlineStr">
        <is>
          <t>Blue Lace Agate is a variety of banded Chalcedony, a mineral of the Quartz family. It is usually banded in layers of predominantly light blue, striped with brighter blues, whites, and even brown threads of color. Microcrystalline variety of chalcedony, Lacy Looking 
Common Locations: Namibia, South Africa</t>
        </is>
      </c>
      <c r="R2" s="3" t="inlineStr">
        <is>
          <t>Generally safe for handling. Do not make gem elixirs by direct immersion — use indirect method.</t>
        </is>
      </c>
      <c r="S2" t="inlineStr">
        <is>
          <t>Harmony, Peace, Healing, Clairvoyance, Strength,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Stimulating psychic senses, Disabling psychic phenomena, Psychic communication, communication and psychic abilities, Physical Strength, Fortitude, Vitality, Inner power, and strength</t>
        </is>
      </c>
      <c r="T2" s="42" t="inlineStr">
        <is>
          <t>The stone of peace held in banded blue-grey water — Blue Lace Agate grew in chalcedony layers along Botswana's ancient streambeds. Renowned as the calmest stone in any collection, it carries the Silver Tongue: placed at the throat it increases the power of the voice, grants eloquence and the ability to speak what has been suppressed.</t>
        </is>
      </c>
      <c r="U2" t="inlineStr">
        <is>
          <t>Peace, happiness and domestic harmony drawn through Blue Lace Agate's calming water energy.</t>
        </is>
      </c>
      <c r="V2" t="inlineStr">
        <is>
          <t>The soothing of emotional overwhelm and the magical power of the voice held steady.</t>
        </is>
      </c>
      <c r="W2" t="inlineStr">
        <is>
          <t>The release of suppressed femininity and the anger that has nowhere to go.</t>
        </is>
      </c>
      <c r="X2" t="inlineStr">
        <is>
          <t>Opens the ability to express what has been kept quiet — where the true feeling has not yet found its words.</t>
        </is>
      </c>
      <c r="Y2" t="inlineStr">
        <is>
          <t>Turns through the release of suppressed emotion and the restoration of the Silver Tongue.</t>
        </is>
      </c>
      <c r="Z2" t="inlineStr">
        <is>
          <t>The silver tongue stone in its deepest function — where what must be expressed has been suppressed at the level of what the body itself holds, Blue Lace Agate creates the conditions in which the most difficult truths can be spoken.</t>
        </is>
      </c>
    </row>
    <row r="3" ht="123" customHeight="1" s="56">
      <c r="A3" s="4" t="inlineStr">
        <is>
          <t xml:space="preserve">agate Botswana </t>
        </is>
      </c>
      <c r="B3" s="4" t="inlineStr">
        <is>
          <t>Sunset Stone</t>
        </is>
      </c>
      <c r="C3" s="4" t="inlineStr">
        <is>
          <t>Chalcedony (SiO₂)</t>
        </is>
      </c>
      <c r="D3" s="5" t="inlineStr">
        <is>
          <t>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t>
        </is>
      </c>
      <c r="E3" s="5" t="inlineStr">
        <is>
          <t>Known for protection and fostering creativity; helps balance energy and find solutions [cite: 1.2.5].</t>
        </is>
      </c>
      <c r="F3" s="4" t="inlineStr">
        <is>
          <t>Mercury</t>
        </is>
      </c>
      <c r="G3" s="4" t="inlineStr">
        <is>
          <t>fire</t>
        </is>
      </c>
      <c r="H3" s="4" t="inlineStr">
        <is>
          <t>projective</t>
        </is>
      </c>
      <c r="I3" s="4" t="inlineStr">
        <is>
          <t>Wednesday</t>
        </is>
      </c>
      <c r="J3" s="4" t="inlineStr">
        <is>
          <t>MERCURY, ODIN, LOKI</t>
        </is>
      </c>
      <c r="K3" s="5" t="inlineStr">
        <is>
          <t>OSTARA, MABON</t>
        </is>
      </c>
      <c r="L3" s="5" t="inlineStr">
        <is>
          <t xml:space="preserve"> In crystal healing it is said to be beneficial to the nervous system and can help rid the body of toxins, as well as help in the healing of broken bones.Botswana Agate is said to repel spiders. </t>
        </is>
      </c>
      <c r="M3" s="5" t="inlineStr">
        <is>
          <t>Energy of growth, expansion, New beginnings, nourishment, health. It enhances vitality, brings abundance, keeps us growing physically.</t>
        </is>
      </c>
      <c r="N3" s="5" t="inlineStr">
        <is>
          <t>helpful in overcoming addictions, other self-destructive compulsive behavi, patterns, as well as dealing with repressed emotional issues.</t>
        </is>
      </c>
      <c r="O3" s="5" t="inlineStr">
        <is>
          <t>*agate Botswana*  Also known as: Sunset Stone.  Mineral composition: Chalcedony (SiO₂).  Planet: Mercury  Element: fire  Energy: projective  Sacred Day: Wednesday.  Deity associations: Aesculapus.  Sabbat: OSTARA, MABON.  Association: Known for protection and fostering creativity; helps balance energy and find solutions [cite: 1.2.5]..  Magical uses: 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  Powers: Energy of growth, expansion, New beginnings, nourishment, health. It enhances vitality, brings abundance, keeps us growing physically..  Spiritual uses: helpful in overcoming addictions, other self-destructive compulsive behavi, patterns, as well as dealing with repressed emotional issues..  Folk lore: In crystal healing it is said to be beneficial to the nervous system and can help rid the body of toxins, as well as help in the healing of broken bones.Botswana Agate is said to repel spiders..  Geology &amp; origin: Botswana Agate is a variety of banded Chalcedony, a mineral of the Quartz family.Agates occur in nodular masses in rock such as volcanic lavas. When split open, they often reveal an amazing variety of colors, patterns and a beautiful distinct banding that distinguishes the Agate from other forms of Chalcedony..</t>
        </is>
      </c>
      <c r="P3" s="4" t="inlineStr">
        <is>
          <t>Lavender</t>
        </is>
      </c>
      <c r="Q3" s="5" t="inlineStr">
        <is>
          <t>Botswana Agate is a variety of banded Chalcedony, a mineral of the Quartz family.Agates occur in nodular masses in rock such as volcanic lavas. When split open, they often reveal an amazing variety of colors, patterns and a beautiful distinct banding that distinguishes the Agate from other forms of Chalcedony.</t>
        </is>
      </c>
      <c r="R3" s="5" t="inlineStr">
        <is>
          <t>Generally safe for handling. Do not make gem elixirs by direct immersion — use indirect method.</t>
        </is>
      </c>
      <c r="S3" t="inlineStr">
        <is>
          <t>Healing, Happiness, Prosperity, Strength, New beginnings, Healing magic, Healing spells, Healing sachets, Healing incenses, Healing mixtures, Healing rituals, Healing incense, Healing vibrations, healing after surgery, Aiding recovery, Aiding the ill, Improving health, Speeding recovery, Good health, health, Joy, Joyous celebrations, Contentment, Serenity, Ensuring joy in the home, PEACE &amp; HAPPINESS,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 Breaking habits, Breaking bad habits, Ending negative self-talk, Letting go of relationships, Ending guilt, Release, Renewal, New beginning spells, Fresh starts, Transformation, Change, rebirth, Breakthrough, Awakening, Growth, New ideas, Assisting transformation, Transformation/Evolution</t>
        </is>
      </c>
      <c r="T3" s="42" t="inlineStr">
        <is>
          <t>The change stone of the African plateau — banded in warm browns and pinks, its layers telling the story of slow geological time. Called the change stone because it makes transitions less brutal. Carried daily it helps with the small changes that accumulate; used in working it softens the edges of whatever is shifting.</t>
        </is>
      </c>
      <c r="U3" t="inlineStr">
        <is>
          <t>New beginnings, growth and abundance drawn — the change stone used where something new must be welcomed.</t>
        </is>
      </c>
      <c r="V3" t="inlineStr">
        <is>
          <t>Health and intuition held through Botswana agate's steady support.</t>
        </is>
      </c>
      <c r="W3" t="inlineStr">
        <is>
          <t>The releasing of grief and depression — where what was heavy must be set down.</t>
        </is>
      </c>
      <c r="X3" t="inlineStr">
        <is>
          <t>Opens intuition and the increasing of creative insight — where solutions hide that must be found.</t>
        </is>
      </c>
      <c r="Y3" t="inlineStr">
        <is>
          <t>Turns through the easing of change — the transition made possible without the full weight of loss.</t>
        </is>
      </c>
      <c r="Z3" t="inlineStr">
        <is>
          <t>The change stone in its most complete function — where the change being worked is not surface adjustment but the genuine shift of what has been driving behaviour that no longer serves, Botswana agate supports the whole arc of that transition.</t>
        </is>
      </c>
    </row>
    <row r="4" ht="86.25" customHeight="1" s="56">
      <c r="A4" s="2" t="inlineStr">
        <is>
          <t xml:space="preserve">agate Moss </t>
        </is>
      </c>
      <c r="B4" s="2" t="inlineStr">
        <is>
          <t>Gardener's Stone</t>
        </is>
      </c>
      <c r="C4" s="2" t="inlineStr">
        <is>
          <t>Chalcedony (SiO₂)</t>
        </is>
      </c>
      <c r="D4" s="3" t="inlineStr">
        <is>
          <t>This stone has an excellent quality that helps you to c, rect imbalances between the left, right sides of the brain, it may stimulate your spiritual grounding capabilities. This aids you to move f, ward with your life using a m, e united, balanced thought process.
The vibration it embodies can help you to carry f, ward your intentions... as it will enhance the energy that you put into particular circumstances.</t>
        </is>
      </c>
      <c r="E4" s="3" t="inlineStr">
        <is>
          <t>Connected to nature spirits, abundance, and the fertility of the earth.</t>
        </is>
      </c>
      <c r="F4" s="2" t="inlineStr">
        <is>
          <t>mercury</t>
        </is>
      </c>
      <c r="G4" s="2" t="inlineStr">
        <is>
          <t>Earth</t>
        </is>
      </c>
      <c r="H4" s="2" t="inlineStr">
        <is>
          <t>receptive</t>
        </is>
      </c>
      <c r="I4" s="2" t="inlineStr">
        <is>
          <t>Wednesday</t>
        </is>
      </c>
      <c r="J4" s="2" t="inlineStr">
        <is>
          <t>MERCURY, ODIN, LOKI</t>
        </is>
      </c>
      <c r="K4" s="3" t="inlineStr">
        <is>
          <t>MABON</t>
        </is>
      </c>
      <c r="L4" s="3" t="inlineStr">
        <is>
          <t>Moss agate is sometimes called the "gardener's stone" due to its mystical properties of helping ensure a full crop.The Native American Indians used Moss Agate as a power stone, and it has been successfully used in cloud-busting and aiding the weather patterns to reach ultimate equilibrium.</t>
        </is>
      </c>
      <c r="M4" s="3" t="inlineStr">
        <is>
          <t>Peace, patience, Happiness, warmth, gentleness, domestic harmony, tenderness</t>
        </is>
      </c>
      <c r="N4" s="3" t="inlineStr">
        <is>
          <t>Moss agate is associated with the heart chakra, which indicates stone of compatibility, friendship.</t>
        </is>
      </c>
      <c r="O4" s="3" t="inlineStr">
        <is>
          <t>*agate Moss*  Also known as: Gardener's Stone.  Mineral composition: Chalcedony (SiO₂).  Planet: mercury  Element: Earth  Energy: receptive  Sacred Day: Wednesday.  Deity associations: Aesculapus.  Sabbat: MABON.  Association: Connected to nature spirits, abundance, and the fertility of the earth..  Magical uses: This stone has an excellent quality that helps you to c, rect imbalances between the left, right sides of the brain, it may stimulate your spiritual grounding capabilities. This aids you to move f, ward with your life using a m, e united, balanced thought process.
The vibration it embodies can help you to carry f, ward your intentions... as it will enhance the energy that you put into particular circumstances..  Powers: Peace, patience, Happiness, warmth, gentleness, domestic harmony, tenderness.  Spiritual uses: Moss agate is associated with the heart chakra, which indicates stone of compatibility, friendship..  Folk lore: Moss agate is sometimes called the "gardener's stone" due to its mystical properties of helping ensure a full crop.The Native American Indians used Moss Agate as a power stone, and it has been successfully used in cloud-busting and aiding the weather patterns to reach ultimate equilibrium..  Geology &amp; origin: This crystal is found in Australia, Russia, India and in the USA. Montana Moss agate is well-known and comes from the Yellowstone Rivert.</t>
        </is>
      </c>
      <c r="P4" s="2" t="inlineStr">
        <is>
          <t>Sandalwood w.i.</t>
        </is>
      </c>
      <c r="Q4" s="3" t="inlineStr">
        <is>
          <t>This crystal is found in Australia, Russia, India and in the USA. Montana Moss agate is well-known and comes from the Yellowstone Rivert</t>
        </is>
      </c>
      <c r="R4" s="3" t="inlineStr">
        <is>
          <t>Generally safe for handling. Do not make gem elixirs by direct immersion — use indirect method.</t>
        </is>
      </c>
      <c r="S4" t="inlineStr">
        <is>
          <t>Healing, Prosperity, Strength, Clairvoyance, Healing magic, Healing spells, Healing sachets, Healing incenses, Healing mixtures, Healing rituals, Healing incense, Healing vibrations, healing after surgery, Aiding recovery, Aiding the ill, Improving health, Speeding recovery, Good health, health,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T4" s="42" t="inlineStr">
        <is>
          <t>The Gardener's Stone — growing as a dendritic pattern in clear chalcedony, its green inclusions look like the moss and lichen of a forest floor held in glass. Corrects the imbalance between left and right thinking, grounds the spiritual in the practical, enhances the energy put into any working by carrying it forward into concrete reality.</t>
        </is>
      </c>
      <c r="U4" t="inlineStr">
        <is>
          <t>Peace, happiness and domestic harmony drawn through moss agate's earth energy.</t>
        </is>
      </c>
      <c r="V4" t="inlineStr">
        <is>
          <t>Spiritual grounding and the moving forward through balanced thought.</t>
        </is>
      </c>
      <c r="W4" t="inlineStr">
        <is>
          <t>None specified.</t>
        </is>
      </c>
      <c r="X4" t="inlineStr">
        <is>
          <t>Opens the spiritual grounding capacities — where a working must be anchored in the physical world.</t>
        </is>
      </c>
      <c r="Y4" t="inlineStr">
        <is>
          <t>Turns through the correction of imbalance — where left and right thinking have been working against each other.</t>
        </is>
      </c>
      <c r="Z4" t="inlineStr">
        <is>
          <t>The Gardener's Stone in its most grounding function — where the working must be anchored in the physical world rather than remaining in the realm of intention, moss agate draws the energy of what is being worked down into the soil of actual life.</t>
        </is>
      </c>
    </row>
    <row r="5" ht="61.5" customHeight="1" s="56">
      <c r="A5" s="4" t="inlineStr">
        <is>
          <t>Amazonite</t>
        </is>
      </c>
      <c r="B5" s="4" t="inlineStr">
        <is>
          <t>Stone of Courage</t>
        </is>
      </c>
      <c r="C5" s="4" t="inlineStr">
        <is>
          <t>Microcline (K[AlSi₃O₈])</t>
        </is>
      </c>
      <c r="D5" s="5" t="inlineStr">
        <is>
          <t>this bluish green feldspar is w, n by gamblers to attract money luck. itis also used by anyone taking a chance to ensure success.This stone has an excellent quality that helps you to c, rect imbalances between the left, right sides of the brain, it may stimulate your spiritual grounding capabilities. This aids you to move f, ward with your life using a m, e united, balanced thought process.</t>
        </is>
      </c>
      <c r="E5" s="5" t="inlineStr">
        <is>
          <t>Used for emotional balance, clarity, and discharging stress [cite: 1.2.5].</t>
        </is>
      </c>
      <c r="F5" s="4" t="inlineStr">
        <is>
          <t>Uranus</t>
        </is>
      </c>
      <c r="G5" s="4" t="inlineStr">
        <is>
          <t>Earth</t>
        </is>
      </c>
      <c r="H5" s="4" t="inlineStr">
        <is>
          <t>receptive</t>
        </is>
      </c>
      <c r="I5" s="4" t="inlineStr">
        <is>
          <t>Sunday</t>
        </is>
      </c>
      <c r="J5" s="4" t="inlineStr">
        <is>
          <t>Taimat</t>
        </is>
      </c>
      <c r="K5" s="5" t="inlineStr">
        <is>
          <t>OSTARA, LITHA</t>
        </is>
      </c>
      <c r="L5" s="5" t="inlineStr">
        <is>
          <t>a good gemstone for those that are dieting as it helps regulate the metabolism and can flip the switch on a sluggish metabolism and jump start the fat burning process. It is a good stone for any woman to have around as it helps to relieve cramps during the monthly gift and also helps to ensure a smooth pregancy,</t>
        </is>
      </c>
      <c r="M5" s="5" t="inlineStr">
        <is>
          <t>Gambling, Prosperity</t>
        </is>
      </c>
      <c r="N5" s="5" t="inlineStr">
        <is>
          <t>use an amazonite stone layed on each of the 7 chakras f, 3 to 5 minutes to allow the stone to regulate each chakra, bring peace back into your life.</t>
        </is>
      </c>
      <c r="O5" s="5" t="inlineStr">
        <is>
          <t>*Amazonite*  Also known as: Stone of Courage.  Mineral composition: Microcline (K[AlSi₃O₈]).  Planet: Uranus  Element: Earth  Energy: receptive  Sacred Day: Sunday.  Deity associations: Taimat.  Sabbat: OSTARA, LITHA.  Association: Used for emotional balance, clarity, and discharging stress [cite: 1.2.5]..  Magical uses: this bluish green feldspar is w, n by gamblers to attract money luck. itis also used by anyone taking a chance to ensure success.This stone has an excellent quality that helps you to c, rect imbalances between the left, right sides of the brain, it may stimulate your spiritual grounding capabilities. This aids you to move f, ward with your life using a m, e united, balanced thought process..  Powers: Gambling, Prosperity.  Spiritual uses: use an amazonite stone layed on each of the 7 chakras f, 3 to 5 minutes to allow the stone to regulate each chakra, bring peace back into your life..  Folk lore: a good gemstone for those that are dieting as it helps regulate the metabolism and can flip the switch on a sluggish metabolism and jump start the fat burning process. It is a good stone for any woman to have around as it helps to relieve cramps during the monthly gift and also helps to ensure a smooth pregancy,.  Geology &amp; origin: Amazonite is a beautiful blue green stone that is usually seen with white streaks running through it. The green color comes from copper that infuses as the crystals are forming..</t>
        </is>
      </c>
      <c r="P5" s="4" t="inlineStr">
        <is>
          <t>Patchouli</t>
        </is>
      </c>
      <c r="Q5" s="5" t="inlineStr">
        <is>
          <t xml:space="preserve">Amazonite is a beautiful blue green stone that is usually seen with white streaks running through it. The green color comes from copper that infuses as the crystals are forming. </t>
        </is>
      </c>
      <c r="R5" s="5" t="inlineStr">
        <is>
          <t>Warning: Contains copper. Do not use in direct gem elixirs. Wash hands after handling raw specimens.</t>
        </is>
      </c>
      <c r="S5" t="inlineStr">
        <is>
          <t>Luck, Prosperity, Success, Strength, Clairvoyance,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Victory, victory in battle, Conquest, Overcoming opposition, Courtroom success, Legal matters, Justice,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T5" s="42" t="inlineStr">
        <is>
          <t>The blue-green feldspar worn by gamblers — its confidence in the outcome of a chance is its magic. Corrects brain hemisphere imbalance, stimulates spiritual grounding, aids those in transition. The courage stone that does not just protect but actively helps its bearer take the chance they have been avoiding.</t>
        </is>
      </c>
      <c r="U5" t="inlineStr">
        <is>
          <t>Prosperity drawn — the gambler's stone, the stone of those who take a risk.</t>
        </is>
      </c>
      <c r="V5" t="inlineStr">
        <is>
          <t>Spiritual grounding and the balanced thought that confidence requires.</t>
        </is>
      </c>
      <c r="W5" t="inlineStr">
        <is>
          <t>None specified.</t>
        </is>
      </c>
      <c r="X5" t="inlineStr">
        <is>
          <t>Opens the spiritual grounding capacities — where courage requires a solid foundation.</t>
        </is>
      </c>
      <c r="Y5" t="inlineStr">
        <is>
          <t>Turns through the rebalancing of thinking — where the overcautious mind must be steadied into action.</t>
        </is>
      </c>
      <c r="Z5" t="inlineStr">
        <is>
          <t>The courage stone in its most applied function — where the chance being taken is not a gamble with money but with something more significant, amazonite supports the steady nerve required to commit to what is genuinely being reached for.</t>
        </is>
      </c>
    </row>
    <row r="6" ht="86.25" customHeight="1" s="56">
      <c r="A6" s="2" t="inlineStr">
        <is>
          <t>Amethyst</t>
        </is>
      </c>
      <c r="B6" s="2" t="inlineStr">
        <is>
          <t>Bishop's Stone</t>
        </is>
      </c>
      <c r="C6" s="2" t="inlineStr">
        <is>
          <t>Quartz var. (SiO₂)</t>
        </is>
      </c>
      <c r="D6" s="3" t="inlineStr">
        <is>
          <t>Usually classified as a Lunar stone because of its power to influence the mind, Negating dreams, the astral planes., the stone can be used magically to keep you clear headed, free from unwelcome influences.. A stone of sleep, Amethyst stimulates the imagination, opens do, s onto the astral planes. Helps with meditation, makes a particularly good focus to concentrate on when you are learning this skill. Turns away bad luck, curses, negative energy. Balances logical reasoning, intuition to create a much deeper view of any situation.</t>
        </is>
      </c>
      <c r="E6" s="3" t="inlineStr">
        <is>
          <t>Historically worn to prevent intoxication and bring clarity of mind; associated with divine connection.</t>
        </is>
      </c>
      <c r="F6" s="2" t="inlineStr">
        <is>
          <t>jupiter, neptune</t>
        </is>
      </c>
      <c r="G6" s="2" t="inlineStr">
        <is>
          <t>water</t>
        </is>
      </c>
      <c r="H6" s="2" t="inlineStr">
        <is>
          <t>receptive</t>
        </is>
      </c>
      <c r="I6" s="2" t="inlineStr">
        <is>
          <t>Thursday</t>
        </is>
      </c>
      <c r="J6" s="2" t="inlineStr">
        <is>
          <t>ZEUS, JUPITER, THOR, ODIN</t>
        </is>
      </c>
      <c r="K6" s="3" t="inlineStr">
        <is>
          <t>MABON, SAMHAIN</t>
        </is>
      </c>
      <c r="L6" s="3" t="inlineStr">
        <is>
          <t>Most famously renowned for keeping its wearer free from drunkenness and excess.</t>
        </is>
      </c>
      <c r="M6" s="3"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N6" s="3" t="inlineStr">
        <is>
          <t>The sacred stone of the priesthood, Amethyst can be w, n by anyone who has spiritual, magical responsibility f, others. Increases wisdom, spiritual power, helps make contact with higher guides, inspirational sources of creativity. Often brings unexpected messages in the f, m of signs, strange coincidences.  The sacred stone of the priesthood, strange coincidences.</t>
        </is>
      </c>
      <c r="O6" s="3" t="inlineStr">
        <is>
          <t>*Amethyst*  Also known as: Bishop's Stone.  Mineral composition: Quartz var. (SiO₂).  Planet: jupiter, neptune  Element: water  Energy: receptive  Sacred Day: Thursday.  Deity associations: Bacchus,.  Sabbat: MABON, SAMHAIN.  Association: Historically worn to prevent intoxication and bring clarity of mind; associated with divine connection..  Magical uses: Usually classified as a Lunar stone because of its power to influence the mind, Negating dreams, the astral planes., the stone can be used magically to keep you clear headed, free from unwelcome influences.. A stone of sleep, Amethyst stimulates the imagination, opens do, s onto the astral planes. Helps with meditation, makes a particularly good focus to concentrate on when you are learning this skill. Turns away bad luck, curses, negative energy. Balances logical reasoning, intuition to create a much deeper view of any situation..  Powers: Transmuting negative to positive, increasing spiritual awareness, Peace, soothing, repelling negative vibrations, overcoming addiction, Love, Happiness, Protection, good judgment, Negating dreams, New beginnings, stability, Fertility, eloquence, common sense, compassion.  Spiritual uses: The sacred stone of the priesthood, Amethyst can be w, n by anyone who has spiritual, magical responsibility f, others. Increases wisdom, spiritual power, helps make contact with higher guides, inspirational sources of creativity. Often brings unexpected messages in the f, m of signs, strange coincidences.  The sacred stone of the priesthood, strange coincidences..  Folk lore: Most famously renowned for keeping its wearer free from drunkenness and excess..  Geology &amp; origin: A purple coloured variety of Quartz, Amethyst forms as mainly clear crystals of all shades from deepest violet to pale lilac and white..</t>
        </is>
      </c>
      <c r="P6" s="2" t="inlineStr">
        <is>
          <t>Honeysuckle</t>
        </is>
      </c>
      <c r="Q6" s="3" t="inlineStr">
        <is>
          <t xml:space="preserve">A purple coloured variety of Quartz, Amethyst forms as mainly clear crystals of all shades from deepest violet to pale lilac and white. </t>
        </is>
      </c>
      <c r="R6" s="3" t="inlineStr">
        <is>
          <t>Generally safe for handling and use. Avoid prolonged exposure to sunlight as it may fade the colour.</t>
        </is>
      </c>
      <c r="S6" t="inlineStr">
        <is>
          <t>Clairvoyance, Prophetic dreams, Meditation, Protection, Otherworld travel, Enhancing clairvoyance, Psychic development, Psychic powers, INCREASE PSYCHIC ABILITIES, Psychic awareness, Stimulating psychic senses, Disabling psychic phenomena, Psychic communication, communication and psychic abilities, Invoking dreams, Dream work, Dreams, Visions, Seeing the unseen, Seeing manifestations, Truth, Honesty, Removing deception, Subconscious work, Digging into the subconscious, Uprooting what is hidden, Scrying, Dowsing, Treasure seeking, Lost object finding,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Protective charm, Protective charms, Protective sachets, Protective wreaths, Protective incense, PROTECT AGAINST NEGATIVITY, Protection from negativity, Circle protection</t>
        </is>
      </c>
      <c r="T6" s="42" t="inlineStr">
        <is>
          <t>The Bishop's Stone of the lunar mind — classified as a Lunar stone because it works on the unconscious, the imagining mind, the dreaming self. Opens the astral planes and stimulates the imagination while keeping the bearer clear-headed and free from unwelcome influence. The sleep stone and the scrying stone both — it knows how to still the surface so the depths can be seen.</t>
        </is>
      </c>
      <c r="U6" t="inlineStr">
        <is>
          <t>Love, peace, happiness, new beginnings and fertility drawn through amethyst's lunar quality.</t>
        </is>
      </c>
      <c r="V6" t="inlineStr">
        <is>
          <t>Meditation and psychic protection — the stone that holds the dreaming mind safe.</t>
        </is>
      </c>
      <c r="W6" t="inlineStr">
        <is>
          <t>The turning away of bad luck and curses — amethyst's releasing function.</t>
        </is>
      </c>
      <c r="X6" t="inlineStr">
        <is>
          <t>Opens the astral planes and the deeper imagination — where what the sleeping mind knows must be accessed.</t>
        </is>
      </c>
      <c r="Y6" t="inlineStr">
        <is>
          <t>Turns through the balancing of logical reasoning and intuition — the two sides brought to a more unified view.</t>
        </is>
      </c>
      <c r="Z6" t="inlineStr">
        <is>
          <t>The lunar stone in its most unguarded opening — where the veil between the dreaming self and the waking one must become genuinely permeable, amethyst in the Over 18 working allows what the unconscious knows to surface without the usual editing.</t>
        </is>
      </c>
    </row>
    <row r="7" ht="98.25" customHeight="1" s="56">
      <c r="A7" s="4" t="inlineStr">
        <is>
          <t>Ametrine</t>
        </is>
      </c>
      <c r="B7" s="4" t="inlineStr">
        <is>
          <t>Dual-Nature Stone</t>
        </is>
      </c>
      <c r="C7" s="4" t="inlineStr">
        <is>
          <t>Quartz var. (SiO₂)</t>
        </is>
      </c>
      <c r="D7" s="5" t="inlineStr">
        <is>
          <t>Combines mental clarity with strength of will, making it a very powerful stone f, any magic user.</t>
        </is>
      </c>
      <c r="E7" s="5" t="inlineStr">
        <is>
          <t>Symbolizes the harmony of opposites (Amethyst and Citrine); used for spiritual and material balance.</t>
        </is>
      </c>
      <c r="F7" s="4" t="inlineStr">
        <is>
          <t>jupiter, sun</t>
        </is>
      </c>
      <c r="G7" s="4" t="inlineStr">
        <is>
          <t>Water, Fire</t>
        </is>
      </c>
      <c r="H7" s="4" t="inlineStr">
        <is>
          <t>Projective, receptive</t>
        </is>
      </c>
      <c r="I7" s="4" t="inlineStr">
        <is>
          <t>Sunday</t>
        </is>
      </c>
      <c r="J7" s="4" t="inlineStr">
        <is>
          <t>SOL, RA, BALDUR</t>
        </is>
      </c>
      <c r="K7" s="5" t="inlineStr">
        <is>
          <t>LITHA, MABON</t>
        </is>
      </c>
      <c r="L7" s="5" t="inlineStr">
        <is>
          <t xml:space="preserve">Ametrine is most famously found in the Anahi Mine in Bolivia. In the 17th century, this mine was given as a dowry to a Spanish Conquistador on his marriage to the princess of the Ayoreos tribe – a girl named Anahi. He returned home to Spain bringing with him the Ametrine which he gifted to the Spanish queen. </t>
        </is>
      </c>
      <c r="M7" s="5" t="inlineStr">
        <is>
          <t>Astral travel, magickal power, meditation, removing negativity.</t>
        </is>
      </c>
      <c r="N7" s="5" t="inlineStr">
        <is>
          <t>Can help to break addictions by using the power of Amethyst combined with the clarity of Citrine, helping you to remember why it is so imp, tant f, you to break this addiction while you are struggling with withdrawal. Associated with the crown chakra.</t>
        </is>
      </c>
      <c r="O7" s="5" t="inlineStr">
        <is>
          <t>*Ametrine*  Also known as: Dual-Nature Stone.  Mineral composition: Quartz var. (SiO₂).  Planet: jupiter, sun  Element: Water, Fire  Energy: Projective, receptive  Sacred Day: Sunday.  Deity associations: God and Goddess in balance.  Sabbat: LITHA, MABON.  Association: Symbolizes the harmony of opposites (Amethyst and Citrine); used for spiritual and material balance..  Magical uses: Combines mental clarity with strength of will, making it a very powerful stone f, any magic user..  Powers: Astral travel, magickal power, meditation, removing negativity..  Spiritual uses: Can help to break addictions by using the power of Amethyst combined with the clarity of Citrine, helping you to remember why it is so imp, tant f, you to break this addiction while you are struggling with withdrawal. Associated with the crown chakra..  Folk lore: Ametrine is most famously found in the Anahi Mine in Bolivia. In the 17th century, this mine was given as a dowry to a Spanish Conquistador on his marriage to the princess of the Ayoreos tribe – a girl named Anahi. He returned home to Spain bringing with him the Ametrine which he gifted to the Spanish queen..  Geology &amp; origin: Geologists have theorized that within the Anahi mine, just the specific type of heat was flowing in the right direction across a portion of the crystal to create just enough heat to create the perfect balance of heat and cool for the Ametrines to be formed.  If the heat would have been any degree higher or lower these lovelies would have become either Amethyst or Citrines.  It is told that there are only two places on the planet with this specific heat index to create Ametrine gemstones, the original mine in Bolivia as well as the Hyderabad mine in India..</t>
        </is>
      </c>
      <c r="P7" s="4" t="inlineStr">
        <is>
          <t>Rosemary</t>
        </is>
      </c>
      <c r="Q7" s="5" t="inlineStr">
        <is>
          <t>Geologists have theorized that within the Anahi mine, just the specific type of heat was flowing in the right direction across a portion of the crystal to create just enough heat to create the perfect balance of heat and cool for the Ametrines to be formed.  If the heat would have been any degree higher or lower these lovelies would have become either Amethyst or Citrines.  It is told that there are only two places on the planet with this specific heat index to create Ametrine gemstones, the original mine in Bolivia as well as the Hyderabad mine in India.</t>
        </is>
      </c>
      <c r="R7" s="5" t="inlineStr">
        <is>
          <t>Generally safe for handling and use. Avoid prolonged exposure to sunlight as it may fade the colour.</t>
        </is>
      </c>
      <c r="S7" t="inlineStr">
        <is>
          <t>Magical power, Wisdom, Strength, Increasing magical power, Increasing spell power, Power amplification, Bolstering spells, Bolstering incense, Strengthening spells, Potency, Power, Magic, WISDOM IN MAGICK, defensive magic, Knowledge, Intelligence, Intuition, Mental clarity, Sharpening the wits, Sharpening the brain, Mental powers, MEM, Memory, Concentration, Focus, Illumination, Enlightenment, Physical Strength, Fortitude, Vitality, Inner power, and strength</t>
        </is>
      </c>
      <c r="T7" s="42" t="inlineStr">
        <is>
          <t>The dual-nature stone formed where citrine and amethyst meet in the same crystal — the geological theory holds that temperature variation within the quartz vein creates both. Magically it combines mental clarity with strength of will: the clear-seeing mind and the determined heart in a single stone.</t>
        </is>
      </c>
      <c r="U7" t="inlineStr">
        <is>
          <t>None specified — ametrine works in the holding and release of power.</t>
        </is>
      </c>
      <c r="V7" t="inlineStr">
        <is>
          <t>Mental clarity, strength of will and meditation — the stone that holds both at once.</t>
        </is>
      </c>
      <c r="W7" t="inlineStr">
        <is>
          <t>Removing negativity through the combination of solar and lunar energies.</t>
        </is>
      </c>
      <c r="X7" t="inlineStr">
        <is>
          <t>Opens meditation and the place where clarity of mind meets strength of purpose.</t>
        </is>
      </c>
      <c r="Y7" t="inlineStr">
        <is>
          <t>Turns through the removal of what clouds thinking and weakens resolve.</t>
        </is>
      </c>
      <c r="Z7" t="inlineStr">
        <is>
          <t>The dual-nature stone in its most complete function — where what is being worked requires both the solar clarity of citrine and the lunar depth of amethyst operating simultaneously, ametrine holds the tension between the two without collapsing it into one.</t>
        </is>
      </c>
    </row>
    <row r="8" ht="147" customHeight="1" s="56">
      <c r="A8" s="2" t="inlineStr">
        <is>
          <t>Apache Tears</t>
        </is>
      </c>
      <c r="B8" s="2" t="inlineStr">
        <is>
          <t>Grief Stones</t>
        </is>
      </c>
      <c r="C8" s="2" t="inlineStr">
        <is>
          <t>Obsidian (volcanic glass)</t>
        </is>
      </c>
      <c r="D8" s="3" t="inlineStr">
        <is>
          <t>It is carried as a good luck charm, is also used f, protective purposes.  Meditation with the stone can increase your sensitivity to magical energy, help develop your power to walk between the w, lds.</t>
        </is>
      </c>
      <c r="E8" s="3" t="inlineStr">
        <is>
          <t>Obsidian variety used for protection, purification, and grounding during emotional healing [cite: 1.2.5].</t>
        </is>
      </c>
      <c r="F8" s="2" t="inlineStr">
        <is>
          <t>Saturn</t>
        </is>
      </c>
      <c r="G8" s="2" t="inlineStr">
        <is>
          <t>Fire</t>
        </is>
      </c>
      <c r="H8" s="2" t="inlineStr">
        <is>
          <t>Projective,</t>
        </is>
      </c>
      <c r="I8" s="2" t="inlineStr">
        <is>
          <t>Saturday</t>
        </is>
      </c>
      <c r="J8" s="2" t="inlineStr">
        <is>
          <t>SATURN, HECATE, URD, SKULD</t>
        </is>
      </c>
      <c r="K8" s="3" t="inlineStr">
        <is>
          <t>SAMHAIN, YULE</t>
        </is>
      </c>
      <c r="L8" s="3" t="inlineStr">
        <is>
          <t xml:space="preserve">nsThe Legend of the Apache Tear begins with a story dating back to the 1870’s when a tribe of Apache Native Americans were relocated by the military to an outpost which is now known as Superior Arizona. Desperate to feed and nourish their families the warriors were forced to impede on other area settlements.When the military became aware of these assaults they went in search for the Apache camp,unwilling to be taken captive the Apache leapt to their deaths from the edge of the cliff.. The legend tells that the Great Spirits were greatly saddened at the tragedy and that when the tears of the warriors loved ones hit the ground their teardrops instantly froze to become the stones we know today as Apache Tears. </t>
        </is>
      </c>
      <c r="M8" s="3" t="inlineStr">
        <is>
          <t>Luck, removal of pain</t>
        </is>
      </c>
      <c r="N8" s="3" t="inlineStr">
        <is>
          <t>Luck, removal of painPhysically Apache Tear is told to alleviate spasms in muscles, eliminating toxins from one’s physical being as well as assisting in the abs, ption of vitamins.  These gems are known to f, tify the physical body, specifically the blood, to enhance the immune system, no doubt due to the improvement of vitamin abs, ption, specifically the assimilation of vitamins C, Ds.</t>
        </is>
      </c>
      <c r="O8" s="3" t="inlineStr">
        <is>
          <t>*Apache Tears*  Also known as: Grief Stones.  Mineral composition: Obsidian (volcanic glass).  Planet: Saturn  Element: Fire  Energy: Projective,  Sacred Day: Saturday.  Deity associations: Saturn, Cronos, Mars.  Sabbat: SAMHAIN, YULE.  Association: Obsidian variety used for protection, purification, and grounding during emotional healing [cite: 1.2.5]..  Magical uses: It is carried as a good luck charm, is also used f, protective purposes.  Meditation with the stone can increase your sensitivity to magical energy, help develop your power to walk between the w, lds..  Powers: Luck, removal of pain.  Spiritual uses: Luck, removal of painPhysically Apache Tear is told to alleviate spasms in muscles, eliminating toxins from one’s physical being as well as assisting in the abs, ption of vitamins.  These gems are known to f, tify the physical body, specifically the blood, to enhance the immune system, no doubt due to the improvement of vitamin abs, ption, specifically the assimilation of vitamins C, Ds..  Folk lore: nsThe Legend of the Apache Tear begins with a story dating back to the 1870’s when a tribe of Apache Native Americans were relocated by the military to an outpost which is now known as Superior Arizona. Desperate to feed and nourish their families the warriors were forced to impede on other area settlements.When the military became aware of these assaults they went in search for the Apache camp,unwilling to be taken captive the Apache leapt to their deaths from the edge of the cliff.. The legend tells that the Great Spirits were greatly saddened at the tragedy and that when the tears of the warriors loved ones hit the ground their teardrops instantly froze to become the stones we know today as Apache Tears..  Geology &amp; origin: Apache Tear  is pure black, Mahogany Obsidian Scientific theory presents that the Apache Tear was formed millions of years ago when the earth resided in a constant state of disturbance. Believed that when hot lava was forced rapidly and directly into the air that these nodules then were quickly cooled and solidified before finding the ground, and would settle in great masses of a molten mineral called perlite. It appears that the intense heat of the volcanic eruption condensed the humid air causing rain, which would then create the cooling of the nodule prior to its landing and causing the formation of these enclosed volcanic glass nodules.  This is what creates it’s amorphous state without the presence of cleavage.  Layer upon layer of perlite built up creating layers and layers of these beautiful gemstones..</t>
        </is>
      </c>
      <c r="P8" s="2" t="inlineStr">
        <is>
          <t>Patchouli</t>
        </is>
      </c>
      <c r="Q8" s="3" t="inlineStr">
        <is>
          <t>Apache Tear  is pure black, Mahogany Obsidian Scientific theory presents that the Apache Tear was formed millions of years ago when the earth resided in a constant state of disturbance. Believed that when hot lava was forced rapidly and directly into the air that these nodules then were quickly cooled and solidified before finding the ground, and would settle in great masses of a molten mineral called perlite. It appears that the intense heat of the volcanic eruption condensed the humid air causing rain, which would then create the cooling of the nodule prior to its landing and causing the formation of these enclosed volcanic glass nodules.  This is what creates it’s amorphous state without the presence of cleavage.  Layer upon layer of perlite built up creating layers and layers of these beautiful gemstones.</t>
        </is>
      </c>
      <c r="R8" s="3" t="inlineStr">
        <is>
          <t>Generally safe for handling. A form of obsidian — edges may be sharp on raw specimens.</t>
        </is>
      </c>
      <c r="S8" t="inlineStr">
        <is>
          <t>Luck, Protection, Clairvoyance, Otherworld travel,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Protective charm, Protective charms, Protective sachets, Protective wreaths, Protective incense, PROTECT AGAINST NEGATIVITY, Protection from negativity, Circle protection,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T8" s="42" t="inlineStr">
        <is>
          <t>Pure black Mahogany Obsidian — formed from the lava that became still in an instant, then fractured into these small, rounded pieces that the Apache people carried as grief stones. Used for protection and carried as luck charms, their dark transparency speaks of the grief that has been looked through and survived.</t>
        </is>
      </c>
      <c r="U8" t="inlineStr">
        <is>
          <t>Luck drawn — the Apache Tear carried as a good luck charm.</t>
        </is>
      </c>
      <c r="V8" t="inlineStr">
        <is>
          <t>Protection — the black obsidian's primary protective function.</t>
        </is>
      </c>
      <c r="W8" t="inlineStr">
        <is>
          <t>None specified.</t>
        </is>
      </c>
      <c r="X8" t="inlineStr">
        <is>
          <t>Opens the sensitivity to magical energy and the power to walk between worlds — accessed through meditation with this stone.</t>
        </is>
      </c>
      <c r="Y8" t="inlineStr">
        <is>
          <t>Turns through the luck that comes after grief — the dark stone held until what was lost can be carried without weight.</t>
        </is>
      </c>
      <c r="Z8" t="inlineStr">
        <is>
          <t>The grief stone in its most honest function — where the loss being carried has never been fully acknowledged and the working is about creating the conditions in which it can be, Apache Tears hold what was dark until the bearer is ready to look at it.</t>
        </is>
      </c>
    </row>
    <row r="9" ht="49.5" customHeight="1" s="56">
      <c r="A9" s="4" t="inlineStr">
        <is>
          <t>Aquamarine</t>
        </is>
      </c>
      <c r="B9" s="4" t="inlineStr">
        <is>
          <t>Treasure of Mermaids</t>
        </is>
      </c>
      <c r="C9" s="4" t="inlineStr">
        <is>
          <t>Beryl var. (Be₃Al₂(SiO₃)₆)</t>
        </is>
      </c>
      <c r="D9" s="5"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E9" s="5" t="inlineStr">
        <is>
          <t>Talisman for sailors; believed to soothe turbulent waters and wash away emotional baggage [cite: 1.2.4].</t>
        </is>
      </c>
      <c r="F9" s="4" t="inlineStr">
        <is>
          <t>Moon</t>
        </is>
      </c>
      <c r="G9" s="4" t="inlineStr">
        <is>
          <t>Water</t>
        </is>
      </c>
      <c r="H9" s="4" t="inlineStr">
        <is>
          <t>Receptive</t>
        </is>
      </c>
      <c r="I9" s="4" t="inlineStr">
        <is>
          <t>Monday</t>
        </is>
      </c>
      <c r="J9" s="4" t="inlineStr">
        <is>
          <t>ARTEMIS, DIANA, LUNA, SELENE</t>
        </is>
      </c>
      <c r="K9" s="5" t="inlineStr">
        <is>
          <t>SAMHAIN</t>
        </is>
      </c>
      <c r="L9" s="5" t="inlineStr">
        <is>
          <t>it has long been associated with the sea. Sea witches cleanse the stonein ocean water at night by the light of the full monn. Fishermen and Sailors have long made it their special amulet against danger.</t>
        </is>
      </c>
      <c r="M9" s="5" t="inlineStr">
        <is>
          <t>Psychism, Peace, Confidence, Purification</t>
        </is>
      </c>
      <c r="N9" s="5" t="inlineStr">
        <is>
          <t>It soothes, calms emotional problems. Aquamarine has been w, n to soothe the pain of toothache, to cure illness of the stomach, throat, jaw. As a charm it can be w, n to ensure good health.</t>
        </is>
      </c>
      <c r="O9" s="5" t="inlineStr">
        <is>
          <t>*Aquamarine*  Also known as: Treasure of Mermaids.  Mineral composition: Beryl var. (Be₃Al₂(SiO₃)₆).  Planet: Moon  Element: Water  Energy: Receptive  Sacred Day: Monday.  Deity associations: Kwai-yin.  Sabbat: SAMHAIN.  Association: Talisman for sailors; believed to soothe turbulent waters and wash away emotional baggage [cite: 1.2.4]..  Magical uses: it is w, Amulets/talismans, carried to enhance the utilization of psychic powers. It is a cleansing, Purification, y stone, is used in pre-ritual baths, rubbed on the body. It can be used as a protective amulet when sailing, flying over water, can be used to guard luggage from st, ms..  Powers: Psychism, Peace, Confidence, Purification.  Spiritual uses: It soothes, calms emotional problems. Aquamarine has been w, n to soothe the pain of toothache, to cure illness of the stomach, throat, jaw. As a charm it can be w, n to ensure good health..  Folk lore: it has long been associated with the sea. Sea witches cleanse the stonein ocean water at night by the light of the full monn. Fishermen and Sailors have long made it their special amulet against danger..  Geology &amp; origin: aquamarine is a semiprecious variety of beryl, It is pale blue-green colour..</t>
        </is>
      </c>
      <c r="P9" s="4" t="inlineStr">
        <is>
          <t>Melissa</t>
        </is>
      </c>
      <c r="Q9" s="5" t="inlineStr">
        <is>
          <t>aquamarine is a semiprecious variety of beryl, It is pale blue-green colour.</t>
        </is>
      </c>
      <c r="R9" s="5" t="inlineStr">
        <is>
          <t>Generally safe for handling and use. Handle raw specimens with care as edges may be sharp.</t>
        </is>
      </c>
      <c r="S9" t="inlineStr">
        <is>
          <t>Clairvoyance, Purification, Protection, Cleansing, Enhancing clairvoyance, Psychic development, Psychic powers, INCREASE PSYCHIC ABILITIES, Psychic awareness, Stimulating psychic senses, Disabling psychic phenomena, Psychic communication, communication and psychic abilities,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T9" s="42" t="inlineStr">
        <is>
          <t>The Treasure of Mermaids — a semiprecious beryl variety whose blue-green colour is the colour of the sea between a ship and the horizon. Carried as a protective amulet when sailing or flying over water, used in pre-ritual baths rubbed on the body, enhancing psychic powers. The stone that knows how far it is to the other side.</t>
        </is>
      </c>
      <c r="U9" t="inlineStr">
        <is>
          <t>Peace drawn through aquamarine's calm water energy.</t>
        </is>
      </c>
      <c r="V9" t="inlineStr">
        <is>
          <t>Carried to enhance psychic powers and confidence — held in any working where the sight must be open.</t>
        </is>
      </c>
      <c r="W9" t="inlineStr">
        <is>
          <t>Purification — the cleansing stone, used in ritual baths.</t>
        </is>
      </c>
      <c r="X9" t="inlineStr">
        <is>
          <t>Opens the utilisation of psychic powers — where the second sight must be sharpened for a working.</t>
        </is>
      </c>
      <c r="Y9" t="inlineStr">
        <is>
          <t>Turns through the purification and cleansing of what was murky — clarity coming like the water settling.</t>
        </is>
      </c>
      <c r="Z9" t="inlineStr">
        <is>
          <t>The sea stone in its most complete protective function — where the journey being undertaken crosses more than water, aquamarine carries the protection of the deep ocean: what it guards it guards completely.</t>
        </is>
      </c>
    </row>
    <row r="10" ht="74.25" customHeight="1" s="56">
      <c r="A10" s="2" t="inlineStr">
        <is>
          <t>Aragonite</t>
        </is>
      </c>
      <c r="B10" s="2" t="inlineStr">
        <is>
          <t>Earth Keeper</t>
        </is>
      </c>
      <c r="C10" s="2" t="inlineStr">
        <is>
          <t>CaCO₃</t>
        </is>
      </c>
      <c r="D10" s="3" t="inlineStr">
        <is>
          <t>A powerful crystal f, transmitting energy, Aragonite can be used to amplify prayers, charms, direct the energy of a spell to its target. Encourages the growth of confidence, self-respect, feelings of w, th.</t>
        </is>
      </c>
      <c r="E10" s="3" t="inlineStr">
        <is>
          <t>Associated with grounding, reliability, and stabilizing spiritual energy.</t>
        </is>
      </c>
      <c r="F10" s="2" t="inlineStr">
        <is>
          <t>mars</t>
        </is>
      </c>
      <c r="G10" s="2" t="inlineStr">
        <is>
          <t>water, earth</t>
        </is>
      </c>
      <c r="H10" s="2" t="inlineStr">
        <is>
          <t>receptive</t>
        </is>
      </c>
      <c r="I10" s="2" t="inlineStr">
        <is>
          <t>Tuesday</t>
        </is>
      </c>
      <c r="J10" s="2" t="inlineStr">
        <is>
          <t>ALL, AMATERASU</t>
        </is>
      </c>
      <c r="K10" s="3" t="inlineStr">
        <is>
          <t>SAMHAIN</t>
        </is>
      </c>
      <c r="L10" s="3" t="inlineStr">
        <is>
          <t>Said to be first discovered in the Aragon Province of Spain in 1788, lore tells us that this is where the name was derived.
The ancient stories tell us that Aragonite was associated with the Goddess Amaterasu, the Shinto Goddess of the Sun and all life created and sustained by it.</t>
        </is>
      </c>
      <c r="M10" s="3" t="inlineStr">
        <is>
          <t>Meditation, Harmony, centring, Healing, will power, patience, self assurance.</t>
        </is>
      </c>
      <c r="N10" s="3" t="inlineStr">
        <is>
          <t>Meditating with the stone can give insights into your own unique gifts, talents, how best to develop them.</t>
        </is>
      </c>
      <c r="O10" s="3" t="inlineStr">
        <is>
          <t>*Aragonite*  Also known as: Earth Keeper.  Mineral composition: CaCO₃.  Planet: mars  Element: water, earth  Energy: receptive  Sacred Day: Tuesday.  Deity associations: Amaterasu.  Sabbat: SAMHAIN.  Association: Associated with grounding, reliability, and stabilizing spiritual energy..  Magical uses: A powerful crystal f, transmitting energy, Aragonite can be used to amplify prayers, charms, direct the energy of a spell to its target. Encourages the growth of confidence, self-respect, feelings of w, th..  Powers: Meditation, Harmony, centring, Healing, will power, patience, self assurance..  Spiritual uses: Meditating with the stone can give insights into your own unique gifts, talents, how best to develop them..  Folk lore: Said to be first discovered in the Aragon Province of Spain in 1788, lore tells us that this is where the name was derived.
The ancient stories tell us that Aragonite was associated with the Goddess Amaterasu, the Shinto Goddess of the Sun and all life created and sustained by it..  Geology &amp; origin: Aragonite is found in Spain, Slovakia, Mexico, Morocco and the USA, as well as appearing in great deposits on the seabed in the Bahamas. It forms naturally in almost all mollusk shells, and in the endoskeleton of corals, as well as occurring as an inorganic precipitate in oceans and caves. Aragonite is unstable under normal pressure and temperature, and over a long time period will change into calcite..</t>
        </is>
      </c>
      <c r="P10" s="2" t="inlineStr">
        <is>
          <t>Patchouli</t>
        </is>
      </c>
      <c r="Q10" s="3" t="inlineStr">
        <is>
          <t>Aragonite is found in Spain, Slovakia, Mexico, Morocco and the USA, as well as appearing in great deposits on the seabed in the Bahamas. It forms naturally in almost all mollusk shells, and in the endoskeleton of corals, as well as occurring as an inorganic precipitate in oceans and caves. Aragonite is unstable under normal pressure and temperature, and over a long time period will change into calcite.</t>
        </is>
      </c>
      <c r="R10" s="3" t="inlineStr">
        <is>
          <t>Generally safe for handling. Fragile — handle with care. Do not use in direct water elixirs.</t>
        </is>
      </c>
      <c r="S10" t="inlineStr">
        <is>
          <t>Magical power, Confidence, Strength, Increasing magical power, Increasing spell power, Power amplification, Bolstering spells, Bolstering incense, Strengthening spells, Potency, Power, Magic, WISDOM IN MAGICK, defensive magic, Self-confidence, Courage, Bravery, Determination, Will Power, Leadership, Leadership skills, Commanding, Personal power, Physical Strength, Fortitude, Vitality, Inner power, and strength</t>
        </is>
      </c>
      <c r="T10" s="42" t="inlineStr">
        <is>
          <t>The Earth Keeper found in Spain, Slovakia and Morocco — a calcium carbonate that forms in twin crystals, associated with transmitting energy and amplifying prayers. Used to direct spell energy to its target with precision. Encourages confidence, self-respect and feelings of worth — the stone that knows that energy must move to matter.</t>
        </is>
      </c>
      <c r="U10" t="inlineStr">
        <is>
          <t>Harmony and the direction of spell energy toward its goal.</t>
        </is>
      </c>
      <c r="V10" t="inlineStr">
        <is>
          <t>Meditation, healing and will power — aragonite's steady holding energy.</t>
        </is>
      </c>
      <c r="W10" t="inlineStr">
        <is>
          <t>None specified.</t>
        </is>
      </c>
      <c r="X10" t="inlineStr">
        <is>
          <t>Opens the feeling of worth and self-respect — where what was hidden about the self must be allowed to surface.</t>
        </is>
      </c>
      <c r="Y10" t="inlineStr">
        <is>
          <t>Turns through the encouragement of confidence and the amplification of what was beginning to work.</t>
        </is>
      </c>
      <c r="Z10" t="inlineStr">
        <is>
          <t>The energy transmitter in its most direct function — where the working requires that the intention reach its target without being diluted by the distance between them, aragonite amplifies and directs with the precision of a stone that understands how energy moves.</t>
        </is>
      </c>
    </row>
    <row r="11" ht="123" customHeight="1" s="56">
      <c r="A11" s="4" t="inlineStr">
        <is>
          <t>Aventurine</t>
        </is>
      </c>
      <c r="B11" s="4" t="inlineStr">
        <is>
          <t>Stone of Opportunity</t>
        </is>
      </c>
      <c r="C11" s="4" t="inlineStr">
        <is>
          <t>Quartz with mica (SiO₂)</t>
        </is>
      </c>
      <c r="D11" s="5"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E11" s="5" t="inlineStr">
        <is>
          <t>Used to attract prosperity, luck, and foster decisive action.</t>
        </is>
      </c>
      <c r="F11" s="4" t="inlineStr">
        <is>
          <t>Mercury</t>
        </is>
      </c>
      <c r="G11" s="4" t="inlineStr">
        <is>
          <t>Air</t>
        </is>
      </c>
      <c r="H11" s="4" t="inlineStr">
        <is>
          <t>Projective</t>
        </is>
      </c>
      <c r="I11" s="4" t="inlineStr">
        <is>
          <t>Wednesday</t>
        </is>
      </c>
      <c r="J11" s="4" t="inlineStr">
        <is>
          <t>MERCURY, ODIN, LOKI</t>
        </is>
      </c>
      <c r="K11" s="5" t="inlineStr">
        <is>
          <t>OSTARA</t>
        </is>
      </c>
      <c r="L11" s="5" t="inlineStr">
        <is>
          <t xml:space="preserve"> Aventurine is reputed to be a favourite stone of the Fair Folk and can be useful when trying to contact them. </t>
        </is>
      </c>
      <c r="M11" s="5" t="inlineStr">
        <is>
          <t>Creativity, motivation, inner peace, business success, intellect, perception, soothing emotions, heartache, clarity, imagination, independence, Happiness, sexuality, Strength, Prosperity, romance.</t>
        </is>
      </c>
      <c r="N11" s="5" t="inlineStr">
        <is>
          <t>Helps you to appreciate your right to happiness, Healing, Prosperity, to w, k towards these goals without blocking your own ambitions through negative thought. Excellent f, healing old traumas, emotional wounds which can be projected into the stone then given back to the Earth to be released, broken down into harmless energy.</t>
        </is>
      </c>
      <c r="O11" s="5" t="inlineStr">
        <is>
          <t>*Aventurine*  Also known as: Stone of Opportunity.  Mineral composition: Quartz with mica (SiO₂).  Planet: Mercury  Element: Air  Energy: Projective  Sacred Day: Wednesday.  Deity associations: Fildias.  Sabbat: OSTARA.  Association: Used to attract prosperity, luck, and foster decisive action..  Magical uses: 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  Powers: Creativity, motivation, inner peace, business success, intellect, perception, soothing emotions, heartache, clarity, imagination, independence, Happiness, sexuality, Strength, Prosperity, romance..  Spiritual uses: Helps you to appreciate your right to happiness, Healing, Prosperity, to w, k towards these goals without blocking your own ambitions through negative thought. Excellent f, healing old traumas, emotional wounds which can be projected into the stone then given back to the Earth to be released, broken down into harmless energy..  Folk lore: Aventurine is reputed to be a favourite stone of the Fair Folk and can be useful when trying to contact them..  Geology &amp; origin: Fine grained Quartz is the base mineral from which to base the meaning of aventurine stone. Other meanings are dependant on what additional minerals are mixed in to give the crystal its color with some of the most common being mica, goethite, hematite and iron hydroxides..</t>
        </is>
      </c>
      <c r="P11" s="4" t="inlineStr">
        <is>
          <t>Lavender</t>
        </is>
      </c>
      <c r="Q11" s="5" t="inlineStr">
        <is>
          <t xml:space="preserve"> Fine grained Quartz is the base mineral from which to base the meaning of aventurine stone. Other meanings are dependant on what additional minerals are mixed in to give the crystal its color with some of the most common being mica, goethite, hematite and iron hydroxides.</t>
        </is>
      </c>
      <c r="R11" s="5" t="inlineStr">
        <is>
          <t>Generally safe for handling and use.</t>
        </is>
      </c>
      <c r="S11" t="inlineStr">
        <is>
          <t>Prosperity, Increasing wealth, Protection, Fertility, Luck,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t>
        </is>
      </c>
      <c r="T11" s="42" t="inlineStr">
        <is>
          <t>The Stone of Opportunity — a fine-grained quartz with glittering fuchsite inclusions, carrying the powers of earthly goals: money, prosperity, protection, fertility, independence. Used to attune to Nature Spirits, it makes a wonderful gift left in a beautiful place when trying to contact them. The healing stone that draws Earth energy into the body when feeling listless.</t>
        </is>
      </c>
      <c r="U11" t="inlineStr">
        <is>
          <t>Money, prosperity, fertility, inner peace and happiness drawn — the opportunity stone.</t>
        </is>
      </c>
      <c r="V11" t="inlineStr">
        <is>
          <t>Protection, stability and strength — held in workings of protection and grounding.</t>
        </is>
      </c>
      <c r="W11" t="inlineStr">
        <is>
          <t>Perseverance — where what has been set in motion must be held to despite difficulty.</t>
        </is>
      </c>
      <c r="X11" t="inlineStr">
        <is>
          <t>Opens attunement to Nature Spirits and the perception that opportunity is near — where the chance must be seen before it can be taken.</t>
        </is>
      </c>
      <c r="Y11" t="inlineStr">
        <is>
          <t>Turns through the encouragement of optimism and the determination to work toward goals regardless of distance.</t>
        </is>
      </c>
      <c r="Z11" t="inlineStr">
        <is>
          <t>The stone of physical vitality in its most intimate expression — where the working requires the full grounding of desire in the body rather than keeping it abstract.</t>
        </is>
      </c>
    </row>
    <row r="12" ht="86.25" customHeight="1" s="56">
      <c r="A12" s="2" t="inlineStr">
        <is>
          <t>Bloodstone</t>
        </is>
      </c>
      <c r="B12" s="2" t="inlineStr">
        <is>
          <t>Martyr's Stone</t>
        </is>
      </c>
      <c r="C12" s="2" t="inlineStr">
        <is>
          <t>Chalcedony (SiO₂)</t>
        </is>
      </c>
      <c r="D12" s="3"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E12" s="3" t="inlineStr">
        <is>
          <t>Symbol of strength, courage, and purification; historically used to stop bleeding [cite: 1.2.5].</t>
        </is>
      </c>
      <c r="F12" s="2" t="inlineStr">
        <is>
          <t>Mars</t>
        </is>
      </c>
      <c r="G12" s="2" t="inlineStr">
        <is>
          <t>Fire</t>
        </is>
      </c>
      <c r="H12" s="2" t="inlineStr">
        <is>
          <t>Projective</t>
        </is>
      </c>
      <c r="I12" s="2" t="inlineStr">
        <is>
          <t>Tuesday</t>
        </is>
      </c>
      <c r="J12" s="2" t="inlineStr">
        <is>
          <t>ARES, MARS, TIWAZ, THOR</t>
        </is>
      </c>
      <c r="K12" s="3" t="inlineStr">
        <is>
          <t>BELTANE</t>
        </is>
      </c>
      <c r="L12" s="3" t="inlineStr">
        <is>
          <t xml:space="preserve">When used together Bloodstone and the herb Heliotrope are reputed to make the bearer invisible.   Ancient Babylonios carried it to overcome enemies and it was ysed in Ancient Egypt to open doors, break bonds and cause stone walls to fall. </t>
        </is>
      </c>
      <c r="M12" s="3" t="inlineStr">
        <is>
          <t>Healing, Prosperity, Confidence, physical strength, stress relief, help in business, legal matters, revitalization, guidance, rain, ganization.</t>
        </is>
      </c>
      <c r="N12" s="3" t="inlineStr">
        <is>
          <t>Sleeping with the stone beneath your pillow will show you the future in your dreams. Teaches you to find emotional balance, the courage to follow your heart</t>
        </is>
      </c>
      <c r="O12" s="3" t="inlineStr">
        <is>
          <t>*Bloodstone*  Also known as: Martyr's Stone.  Mineral composition: Chalcedony (SiO₂).  Planet: Mars  Element: Fire  Energy: Projective  Sacred Day: Tuesday.  Deity associations: Thor, all goddesses.  Sabbat: BELTANE.  Association: Symbol of strength, courage, and purification; historically used to stop bleeding [cite: 1.2.5]..  Magical uses: 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  Powers: Healing, Prosperity, Confidence, physical strength, stress relief, help in business, legal matters, revitalization, guidance, rain, ganization..  Spiritual uses: Sleeping with the stone beneath your pillow will show you the future in your dreams. Teaches you to find emotional balance, the courage to follow your heart.  Folk lore: When used together Bloodstone and the herb Heliotrope are reputed to make the bearer invisible.   Ancient Babylonios carried it to overcome enemies and it was ysed in Ancient Egypt to open doors, break bonds and cause stone walls to fall..  Geology &amp; origin: bloodstone is a green chalceony flecked with red spots..</t>
        </is>
      </c>
      <c r="P12" s="2" t="inlineStr">
        <is>
          <t>Pine</t>
        </is>
      </c>
      <c r="Q12" s="3" t="inlineStr">
        <is>
          <t>bloodstone is a green chalceony flecked with red spots.</t>
        </is>
      </c>
      <c r="R12" s="3" t="inlineStr">
        <is>
          <t>Generally safe for handling and use.</t>
        </is>
      </c>
      <c r="S12" t="inlineStr">
        <is>
          <t>Healing, Confidence, Strength, Success, Luck, Healing magic, Healing spells, Healing sachets, Healing incenses, Healing mixtures, Healing rituals, Healing incense, Healing vibrations, healing after surgery, Aiding recovery, Aiding the ill, Improving health, Speeding recovery, Good health, health, Self-confidence, Courage, Bravery, Determination, Will Power, Leadership, Leadership skills, Commanding, Personal power, Physical Strength, Fortitude, Vitality, Inner power, and strength, Victory, victory in battle, Conquest, Overcoming opposition, Courtroom success, Legal matters, Justice,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t>
        </is>
      </c>
      <c r="T12" s="42" t="inlineStr">
        <is>
          <t>The Martyr's Stone — a green chalcedony flecked with red jasper, associated with the healing powers of the Sun and the courage of those who have endured. A piece dipped in water channels Sun God power into a healing potion. Brings confidence and strength of mind, helps overcome helplessness, brings success in legal matters and competitions.</t>
        </is>
      </c>
      <c r="U12" t="inlineStr">
        <is>
          <t>Prosperity and luck drawn — the gambler's stone, the courtroom stone.</t>
        </is>
      </c>
      <c r="V12" t="inlineStr">
        <is>
          <t>Healing, confidence, physical strength — bloodstone in healing and strength workings.</t>
        </is>
      </c>
      <c r="W12" t="inlineStr">
        <is>
          <t>The overcoming of helplessness — where what was felt to be impossible is released as a belief.</t>
        </is>
      </c>
      <c r="X12" t="inlineStr">
        <is>
          <t>Opens the deeper courage — where the willingness to win must be opened before winning is possible.</t>
        </is>
      </c>
      <c r="Y12" t="inlineStr">
        <is>
          <t>Turns through the healing energy of the Sun and the physical strength it restores.</t>
        </is>
      </c>
      <c r="Z12" t="inlineStr">
        <is>
          <t>The Sun stone in its most complete masculine healing function — where the working concerns the healing of what has been damaged in the body's vital force, bloodstone channels the Sun's own healing power directly.</t>
        </is>
      </c>
    </row>
    <row r="13" ht="123" customHeight="1" s="56">
      <c r="A13" s="4" t="inlineStr">
        <is>
          <t>Calcite</t>
        </is>
      </c>
      <c r="B13" s="4" t="inlineStr">
        <is>
          <t>Light Bringer</t>
        </is>
      </c>
      <c r="C13" s="4" t="inlineStr">
        <is>
          <t>CaCO₃</t>
        </is>
      </c>
      <c r="D13" s="5"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E13" s="5" t="inlineStr">
        <is>
          <t>Amplifies energy and aids in spiritual development; various colors have specific cleansing properties [cite: 1.2.1].</t>
        </is>
      </c>
      <c r="F13" s="4" t="inlineStr">
        <is>
          <t>Moon</t>
        </is>
      </c>
      <c r="G13" s="4" t="inlineStr">
        <is>
          <t>Water</t>
        </is>
      </c>
      <c r="H13" s="4" t="inlineStr">
        <is>
          <t>Receptive</t>
        </is>
      </c>
      <c r="I13" s="4" t="inlineStr">
        <is>
          <t>Monday</t>
        </is>
      </c>
      <c r="J13" s="4" t="inlineStr">
        <is>
          <t>ARTEMIS, DIANA, LUNA, SELENE</t>
        </is>
      </c>
      <c r="K13" s="5" t="inlineStr">
        <is>
          <t>SAMHAIN</t>
        </is>
      </c>
      <c r="L13" s="5" t="inlineStr">
        <is>
          <t>Calcite has the unique quality of double refraction. This property can be used in spells to 'double the power' of the rite.</t>
        </is>
      </c>
      <c r="M13" s="5" t="inlineStr">
        <is>
          <t>Luck, Prosperity, problem resolution, gambling, Healing, creativity, business success, attracting love.</t>
        </is>
      </c>
      <c r="N13" s="5" t="inlineStr">
        <is>
          <t>It can help you to connect with your 'inner child', learn how to enjoy life without inhibitions.</t>
        </is>
      </c>
      <c r="O13" s="5" t="inlineStr">
        <is>
          <t>*Calcite*  Also known as: Light Bringer.  Mineral composition: CaCO₃.  Planet: Moon  Element: Water  Energy: Receptive  Sacred Day: Monday.  Deity associations: Venus.  Sabbat: SAMHAIN.  Association: Amplifies energy and aids in spiritual development; various colors have specific cleansing properties [cite: 1.2.1]..  Magical uses: 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  Powers: Luck, Prosperity, problem resolution, gambling, Healing, creativity, business success, attracting love..  Spiritual uses: It can help you to connect with your 'inner child', learn how to enjoy life without inhibitions..  Folk lore: Calcite has the unique quality of double refraction. This property can be used in spells to 'double the power' of the rite..  Geology &amp; origin: a transparent crystalthat is found in a widw variety of clours, including clear, green, pink, orange and blue..</t>
        </is>
      </c>
      <c r="P13" s="4" t="inlineStr">
        <is>
          <t>Melissa</t>
        </is>
      </c>
      <c r="Q13" s="5" t="inlineStr">
        <is>
          <t>a transparent crystalthat is found in a widw variety of clours, including clear, green, pink, orange and blue.</t>
        </is>
      </c>
      <c r="R13" s="5" t="inlineStr">
        <is>
          <t>Generally safe for handling. Soft and fragile — handle with care. Do not use in acidic solutions.</t>
        </is>
      </c>
      <c r="S13" t="inlineStr">
        <is>
          <t>Love, Prosperity, Healing, Clairvoyance, Magical power,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Stimulating psychic senses, Disabling psychic phenomena, Psychic communication, communication and psychic abilities, Increasing magical power, Increasing spell power, Power amplification, Bolstering spells, Bolstering incense, Strengthening spells, Potency, Power, Magic, WISDOM IN MAGICK, defensive magic</t>
        </is>
      </c>
      <c r="T13" s="42" t="inlineStr">
        <is>
          <t>The Light Bringer found in transparent crystals across the world — each colour of calcite carries a specific energy but all release powerful psychic energies. Gold Calcite cures depression and releases old emotions. Orange encourages creativity. Green heals. Clear opens doors and creates unexpected opportunities. A Mercurial stone that focuses group energy in any working.</t>
        </is>
      </c>
      <c r="U13" t="inlineStr">
        <is>
          <t>Love, prosperity, friendship and the drawing of all good things through calcite's opening power.</t>
        </is>
      </c>
      <c r="V13" t="inlineStr">
        <is>
          <t>Healing, harmony and the holding of focused group energy.</t>
        </is>
      </c>
      <c r="W13" t="inlineStr">
        <is>
          <t>The releasing of old emotions that harm progress — grief, limitation, what was carried too long.</t>
        </is>
      </c>
      <c r="X13" t="inlineStr">
        <is>
          <t>Opens unexpected opportunities and the shining of light on problems — where everything seemed hopeless and suddenly does not.</t>
        </is>
      </c>
      <c r="Y13" t="inlineStr">
        <is>
          <t>Turns through the releasing of what was held emotionally — the old pattern dissolved, the new available.</t>
        </is>
      </c>
      <c r="Z13" t="inlineStr">
        <is>
          <t>The light bringer in its most unexpected function — where everything seems impossible and the working asks for the illumination that creates opportunity from what looked like obstruction, calcite opens what had appeared to be closed.</t>
        </is>
      </c>
    </row>
    <row r="14" ht="123" customHeight="1" s="56">
      <c r="A14" s="2" t="inlineStr">
        <is>
          <t>Carnelian</t>
        </is>
      </c>
      <c r="B14" s="2" t="inlineStr">
        <is>
          <t>Talisman of Success</t>
        </is>
      </c>
      <c r="C14" s="2" t="inlineStr">
        <is>
          <t>Chalcedony (SiO₂)</t>
        </is>
      </c>
      <c r="D14" s="3"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E14" s="3" t="inlineStr">
        <is>
          <t>Associated with motivation, creativity, and protection against evil; used to attract love [cite: 1.2.4, 1.2.5].</t>
        </is>
      </c>
      <c r="F14" s="2" t="inlineStr">
        <is>
          <t>Sun</t>
        </is>
      </c>
      <c r="G14" s="2" t="inlineStr">
        <is>
          <t>Fire</t>
        </is>
      </c>
      <c r="H14" s="2" t="inlineStr">
        <is>
          <t>Sun</t>
        </is>
      </c>
      <c r="I14" s="2" t="inlineStr">
        <is>
          <t>Sunday</t>
        </is>
      </c>
      <c r="J14" s="2" t="inlineStr">
        <is>
          <t>ISIS</t>
        </is>
      </c>
      <c r="K14" s="3" t="inlineStr">
        <is>
          <t>LITHA</t>
        </is>
      </c>
      <c r="L14" s="3" t="inlineStr">
        <is>
          <t xml:space="preserve"> In Egypt the dead were buried with Carnelian amulets carved in the shape of the Buckle of Isis, believing that it would resurrect them just as Isis resurrected her beloved husband Osiris. Used by the living to pass between the worlds.    H</t>
        </is>
      </c>
      <c r="M14" s="3" t="inlineStr">
        <is>
          <t>Happiness, Protection, energy, easing depression, promoting self-confidence, Peace, concentration, focus, Attraction, sexuality, Love, Healing, courage.</t>
        </is>
      </c>
      <c r="N14" s="3" t="inlineStr">
        <is>
          <t>Healing f, PMS, endometriosis, sciatica, pelvic, reproductive dis, ders. Believed to help prevent miscarriage, assure a speedy birth.   Strengthens the voice, is an excellent stone to caryy f, publice speaking.</t>
        </is>
      </c>
      <c r="O14" s="3" t="inlineStr">
        <is>
          <t>*Carnelian*  Also known as: Talisman of Success.  Mineral composition: Chalcedony (SiO₂).  Planet: Sun  Element: Fire  Energy: Sun  Sacred Day: Sunday.  Deity associations: Isis.  Sabbat: LITHA.  Association: Associated with motivation, creativity, and protection against evil; used to attract love [cite: 1.2.4, 1.2.5]..  Magical uses: 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  Powers: Happiness, Protection, energy, easing depression, promoting self-confidence, Peace, concentration, focus, Attraction, sexuality, Love, Healing, courage..  Spiritual uses: Healing f, PMS, endometriosis, sciatica, pelvic, reproductive dis, ders. Believed to help prevent miscarriage, assure a speedy birth.   Strengthens the voice, is an excellent stone to caryy f, publice speaking..  Folk lore: In Egypt the dead were buried with Carnelian amulets carved in the shape of the Buckle of Isis, believing that it would resurrect them just as Isis resurrected her beloved husband Osiris. Used by the living to pass between the worlds.    H.  Geology &amp; origin: carnilian is a red form of chalcedony..</t>
        </is>
      </c>
      <c r="P14" s="2" t="inlineStr">
        <is>
          <t>Tea Tree</t>
        </is>
      </c>
      <c r="Q14" s="3" t="inlineStr">
        <is>
          <t>carnilian is a red form of chalcedony.</t>
        </is>
      </c>
      <c r="R14" s="3" t="inlineStr">
        <is>
          <t>Generally safe for handling and use.</t>
        </is>
      </c>
      <c r="S14" t="inlineStr">
        <is>
          <t>Clairvoyance, Aphrodisiac, Otherworld travel, Strength, Confidence, Enhancing clairvoyance, Psychic development, Psychic powers, INCREASE PSYCHIC ABILITIES, Psychic awareness, Stimulating psychic senses, Disabling psychic phenomena, Psychic communication, communication and psychic abilities, Aphrodisiac tea, Sensuality, Lust, Lust/Sex, Passionate love-making, LOVING &amp; LUSTFUL ENERGIES, SEX MAGIC, RAISE SEXUAL ENERGY, Sexual energy,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 Self-confidence, Courage, Bravery, Determination, Will Power, Leadership, Leadership skills, Commanding, Personal power</t>
        </is>
      </c>
      <c r="T14" s="42" t="inlineStr">
        <is>
          <t>The Talisman of Success — a red chalcedony that boosts psychic and magical powers with particular force. Long associated with sexual energies and the courage to be comfortable in the body. Lowers inhibitions, dispels shyness, balances the spiritual and the need to act. The orange-red fire stone that knows that insight without action is only half the work.</t>
        </is>
      </c>
      <c r="U14" t="inlineStr">
        <is>
          <t>Happiness, peace, attraction and love drawn through carnelian's solar fire.</t>
        </is>
      </c>
      <c r="V14" t="inlineStr">
        <is>
          <t>Protection, confidence and healing — the stone that promotes self-confidence and physical courage.</t>
        </is>
      </c>
      <c r="W14" t="inlineStr">
        <is>
          <t>The dispelling of shyness and self-doubt — released so that the full self can be present.</t>
        </is>
      </c>
      <c r="X14" t="inlineStr">
        <is>
          <t>Opens psychic powers and clairvoyance — carnelian placed on the altar or carried before any intuitive working.</t>
        </is>
      </c>
      <c r="Y14" t="inlineStr">
        <is>
          <t>Turns through the movement from insight into action — where the spiritual understanding must now do something.</t>
        </is>
      </c>
      <c r="Z14" t="inlineStr">
        <is>
          <t>The stone of the body's wisdom — long associated with sexual energy and the courage to be fully present in physical desire. Where the working asks for what the body knows, carnelian is the stone that carries that current without shame. The orange-red warmth of physical love made sacred.</t>
        </is>
      </c>
    </row>
    <row r="15" ht="98.25" customHeight="1" s="56">
      <c r="A15" s="4" t="inlineStr">
        <is>
          <t>Chrysocolla</t>
        </is>
      </c>
      <c r="B15" s="4" t="inlineStr">
        <is>
          <t>Wise Woman's Stone</t>
        </is>
      </c>
      <c r="C15" s="4" t="inlineStr">
        <is>
          <t>Cu₂H₂Si₂O₅(OH)₄</t>
        </is>
      </c>
      <c r="D15" s="5"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E15" s="5" t="inlineStr">
        <is>
          <t>A peaceful stone of communication and teaching, often used to bridge the gap between heart and mind [cite: 1.2.5].</t>
        </is>
      </c>
      <c r="F15" s="4" t="inlineStr">
        <is>
          <t>Venus</t>
        </is>
      </c>
      <c r="G15" s="4" t="inlineStr">
        <is>
          <t>Water</t>
        </is>
      </c>
      <c r="H15" s="4" t="inlineStr">
        <is>
          <t>Receptive</t>
        </is>
      </c>
      <c r="I15" s="4" t="inlineStr">
        <is>
          <t>Friday</t>
        </is>
      </c>
      <c r="J15" s="4" t="inlineStr">
        <is>
          <t>APHRODITE, VENUS, FREYJA, HATHOR</t>
        </is>
      </c>
      <c r="K15" s="5" t="inlineStr">
        <is>
          <t>OSTARA, BELTANE</t>
        </is>
      </c>
      <c r="L15" s="5" t="inlineStr">
        <is>
          <t xml:space="preserve"> Amplifies energy and can be used magically as a 'prayer stone'  whisper your dreams to the stone then put it outside overnight under a full Moon to see your wishes come true</t>
        </is>
      </c>
      <c r="M15" s="5" t="inlineStr">
        <is>
          <t>Clarity, Peace, patience, Love, wisdom, Negating dreams, Harmony, Prosperity, growth, hope, intimacy, Divination, tolerance, sleep, creativity, self-awareness.</t>
        </is>
      </c>
      <c r="N15" s="5" t="inlineStr">
        <is>
          <t>As a healing stone it is especially good f, PMT, mood swings, stomach cramps. Reputed to ease labour, childbirth.</t>
        </is>
      </c>
      <c r="O15" s="5" t="inlineStr">
        <is>
          <t>*Chrysocolla*  Also known as: Wise Woman's Stone.  Mineral composition: Cu₂H₂Si₂O₅(OH)₄.  Planet: Venus  Element: Water  Energy: Receptive  Sacred Day: Friday.  Deity associations: Venus.  Sabbat: OSTARA, BELTANE.  Association: A peaceful stone of communication and teaching, often used to bridge the gap between heart and mind [cite: 1.2.5]..  Magical uses: 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  Powers: Clarity, Peace, patience, Love, wisdom, Negating dreams, Harmony, Prosperity, growth, hope, intimacy, Divination, tolerance, sleep, creativity, self-awareness..  Spiritual uses: As a healing stone it is especially good f, PMT, mood swings, stomach cramps. Reputed to ease labour, childbirth..  Folk lore: Amplifies energy and can be used magically as a 'prayer stone'  whisper your dreams to the stone then put it outside overnight under a full Moon to see your wishes come true.  Geology &amp; origin: Chrysocolla generally appears in clusters like grapes or in  a crust. More often than not they are intergrown with Opal, Quartz, Malachite, Azurite and/or Turquoise.
When intergrown with Malachite and Turquoise, it is referred to as Elilat Stone. And when mingled with Quartz, it is referred to as Stellarite, which is an entirely different stone from Zoisite, which appears very similar. Gem Sillica is what Chrysocolla is known for in it’s gem state..</t>
        </is>
      </c>
      <c r="P15" s="4" t="inlineStr">
        <is>
          <t>Ylang Ylang</t>
        </is>
      </c>
      <c r="Q15" s="5" t="inlineStr">
        <is>
          <t>Chrysocolla generally appears in clusters like grapes or in  a crust. More often than not they are intergrown with Opal, Quartz, Malachite, Azurite and/or Turquoise.
When intergrown with Malachite and Turquoise, it is referred to as Elilat Stone. And when mingled with Quartz, it is referred to as Stellarite, which is an entirely different stone from Zoisite, which appears very similar. Gem Sillica is what Chrysocolla is known for in it’s gem state.</t>
        </is>
      </c>
      <c r="R15" s="5" t="inlineStr">
        <is>
          <t>Warning: Contains copper — can be toxic. Do not use in direct gem elixirs. Wash hands thoroughly after handling.</t>
        </is>
      </c>
      <c r="S15" t="inlineStr">
        <is>
          <t>Healing, Harmony, Peace, Strength,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t>
        </is>
      </c>
      <c r="T15" s="42" t="inlineStr">
        <is>
          <t>The Wise Woman's Stone — appearing in blue-green clusters, carrying the emotional intelligence of Venus and the healing depth of Water. Works on any emotional issue with honesty: alleviates depression, provides comfort in distress, relieves tension and guilt. Used by those who carry other people's pain and need to set boundaries.</t>
        </is>
      </c>
      <c r="U15" t="inlineStr">
        <is>
          <t>Peace, love, harmony and prosperity drawn through chrysocolla's Venus energy.</t>
        </is>
      </c>
      <c r="V15" t="inlineStr">
        <is>
          <t>Clarity and wisdom held — the wise woman's stone for those who need to see clearly through feeling.</t>
        </is>
      </c>
      <c r="W15" t="inlineStr">
        <is>
          <t>None specified.</t>
        </is>
      </c>
      <c r="X15" t="inlineStr">
        <is>
          <t>Opens the hidden emotional pattern — where what is driving depression or tension must be seen before it can be released.</t>
        </is>
      </c>
      <c r="Y15" t="inlineStr">
        <is>
          <t>Turns through the balancing of emotions and the healing of what was distorted by accumulated feeling.</t>
        </is>
      </c>
      <c r="Z15" t="inlineStr">
        <is>
          <t>The Wise Woman's Stone in its most unflinching emotional function — where the working must address what addiction or abuse has done to the capacity to trust, chrysocolla works in the place where that damage lives without flinching.</t>
        </is>
      </c>
    </row>
    <row r="16" ht="49.5" customHeight="1" s="56">
      <c r="A16" s="2" t="inlineStr">
        <is>
          <t>chrysophase</t>
        </is>
      </c>
      <c r="B16" s="2" t="inlineStr">
        <is>
          <t>Stone of Venus</t>
        </is>
      </c>
      <c r="C16" s="2" t="inlineStr">
        <is>
          <t>Chalcedony (SiO₂)</t>
        </is>
      </c>
      <c r="D16" s="3" t="inlineStr">
        <is>
          <t>Can be w, n to lift the emotions, to banish greed, envy, selfishness, tension, stress. A lucky stone, it is w, n f, eloquence, success in new undertakings, to attract friends. To attract money, cary a smal piece with you at all times utilise it as a general sheild against negativity..</t>
        </is>
      </c>
      <c r="E16" s="3" t="inlineStr">
        <is>
          <t>Promotes optimism, joy, and heart-centered healing.</t>
        </is>
      </c>
      <c r="F16" s="2" t="inlineStr">
        <is>
          <t>Venus</t>
        </is>
      </c>
      <c r="G16" s="2" t="inlineStr">
        <is>
          <t>earth</t>
        </is>
      </c>
      <c r="H16" s="2" t="inlineStr">
        <is>
          <t>Receptive</t>
        </is>
      </c>
      <c r="I16" s="2" t="inlineStr">
        <is>
          <t>Friday</t>
        </is>
      </c>
      <c r="J16" s="2" t="inlineStr">
        <is>
          <t>APHRODITE, VENUS, FREYJA, HATHOR</t>
        </is>
      </c>
      <c r="K16" s="3" t="inlineStr">
        <is>
          <t>OSTARA, BELTANE</t>
        </is>
      </c>
      <c r="L16" s="3" t="inlineStr">
        <is>
          <t>as a magiclal amlut of protection in the 13th century, it was engraved with the image of a bull and worn.</t>
        </is>
      </c>
      <c r="M16" s="3" t="inlineStr">
        <is>
          <t>Happiness, lick, Prosperity, Friendship, Protection, Healing</t>
        </is>
      </c>
      <c r="N16" s="3" t="inlineStr">
        <is>
          <t>It's healing powers include strengthening of the eyes, staunching blood, relieving pain of rheumatism</t>
        </is>
      </c>
      <c r="O16" s="3" t="inlineStr">
        <is>
          <t>*chrysophase*  Also known as: Stone of Venus.  Mineral composition: Chalcedony (SiO₂).  Planet: Venus  Element: earth  Energy: Receptive  Sacred Day: Friday.  Deity associations: Vesta.  Sabbat: OSTARA, BELTANE.  Association: Promotes optimism, joy, and heart-centered healing..  Magical uses: Can be w, n to lift the emotions, to banish greed, envy, selfishness, tension, stress. A lucky stone, it is w, n f, eloquence, success in new undertakings, to attract friends. To attract money, cary a smal piece with you at all times utilise it as a general sheild against negativity...  Powers: Happiness, lick, Prosperity, Friendship, Protection, Healing.  Spiritual uses: It's healing powers include strengthening of the eyes, staunching blood, relieving pain of rheumatism.  Folk lore: as a magiclal amlut of protection in the 13th century, it was engraved with the image of a bull and worn..  Geology &amp; origin: chrysophase is an apple green form of chalcedony..</t>
        </is>
      </c>
      <c r="P16" s="2" t="inlineStr">
        <is>
          <t>Patchouli</t>
        </is>
      </c>
      <c r="Q16" s="3" t="inlineStr">
        <is>
          <t>chrysophase is an apple green form of chalcedony.</t>
        </is>
      </c>
      <c r="R16" s="3" t="inlineStr">
        <is>
          <t>Generally safe for handling. A form of chalcedony. Do not use in direct gem elixirs.</t>
        </is>
      </c>
      <c r="S16" t="inlineStr">
        <is>
          <t>Happiness, Luck, Success, Prosperity, Protection, Joy, Joyous celebrations, Contentment, Serenity, Ensuring joy in the home, PEACE &amp; HAPPINESS,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Victory, victory in battle, Conquest, Overcoming opposition, Courtroom success, Legal matters, Justice,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t>
        </is>
      </c>
      <c r="T16" s="42" t="inlineStr">
        <is>
          <t>The Stone of Venus — an apple-green form of chalcedony, worn to lift the emotions and banish what is petty: greed, envy, selfishness, tension. A lucky stone worn for eloquence, success in new ventures and the attracting of friends. Carried for money, used as a general shield against the drag of negativity.</t>
        </is>
      </c>
      <c r="U16" t="inlineStr">
        <is>
          <t>Happiness, prosperity and friendship drawn — chrysophase the luck and friendship stone.</t>
        </is>
      </c>
      <c r="V16" t="inlineStr">
        <is>
          <t>Protection and healing — the shield against what is negative.</t>
        </is>
      </c>
      <c r="W16" t="inlineStr">
        <is>
          <t>The banishing of greed and envy — where the small emotions must be released to make room for the larger ones.</t>
        </is>
      </c>
      <c r="X16" t="inlineStr">
        <is>
          <t>Opens the hidden block to friendship and new beginnings — where success in new ventures requires seeing what was previously stopping it.</t>
        </is>
      </c>
      <c r="Y16" t="inlineStr">
        <is>
          <t>Turns through the banishing of what diminishes and the opening of what enlarges — from small to expansive.</t>
        </is>
      </c>
      <c r="Z16" t="inlineStr">
        <is>
          <t>The Venus stone in its most direct emotional clearing function — where the small emotions of greed, envy and selfishness must be genuinely released rather than suppressed, chrysophase takes them without making the bearer feel worse for having had them.</t>
        </is>
      </c>
    </row>
    <row r="17" ht="135" customHeight="1" s="56">
      <c r="A17" s="4" t="inlineStr">
        <is>
          <t>Citrine</t>
        </is>
      </c>
      <c r="B17" s="4" t="inlineStr">
        <is>
          <t>Merchant's Stone</t>
        </is>
      </c>
      <c r="C17" s="4" t="inlineStr">
        <is>
          <t>Quartz var. (SiO₂)</t>
        </is>
      </c>
      <c r="D17" s="5"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E17" s="5" t="inlineStr">
        <is>
          <t>Associated with drawing prosperity, abundance, and warmth of the sun [cite: 1.2.5].</t>
        </is>
      </c>
      <c r="F17" s="4" t="inlineStr">
        <is>
          <t>Sun</t>
        </is>
      </c>
      <c r="G17" s="4" t="inlineStr">
        <is>
          <t>Fire</t>
        </is>
      </c>
      <c r="H17" s="4" t="inlineStr">
        <is>
          <t>Projective</t>
        </is>
      </c>
      <c r="I17" s="4" t="inlineStr">
        <is>
          <t>Sunday</t>
        </is>
      </c>
      <c r="J17" s="4" t="inlineStr">
        <is>
          <t>ALL</t>
        </is>
      </c>
      <c r="K17" s="5" t="inlineStr">
        <is>
          <t>LITHA</t>
        </is>
      </c>
      <c r="L17" s="5" t="inlineStr">
        <is>
          <t xml:space="preserve"> It is believed to help combat the side-effects of electrical energy that we are all surrounded by nowadays.   </t>
        </is>
      </c>
      <c r="M17" s="5"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N17" s="5" t="inlineStr">
        <is>
          <t>Spiritually it cleanses vibrations in the atmposphere, can purify room used f, Magical power, healing. Brings conflicting energies into balance, helps integrate the physical, spiritual aspects of your nature.</t>
        </is>
      </c>
      <c r="O17" s="5" t="inlineStr">
        <is>
          <t>*Citrine*  Also known as: Merchant's Stone.  Mineral composition: Quartz var. (SiO₂).  Planet: Sun  Element: Fire  Energy: Projective  Sacred Day: Sunday.  Deity associations: Sekhmet.  Sabbat: LITHA.  Association: Associated with drawing prosperity, abundance, and warmth of the sun [cite: 1.2.5]..  Magical uses: 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  Powers: Sleep, Luck, creativity, Protection, Confidence, magickal power, optimism, Prosperity, acquisition &amp; maintenance of wealth, mental focus, Strength, clarity of thought, open mindedness, successful outcomes, career success, smoothing family problems, dissipating negative energy..  Spiritual uses: Spiritually it cleanses vibrations in the atmposphere, can purify room used f, Magical power, healing. Brings conflicting energies into balance, helps integrate the physical, spiritual aspects of your nature..  Folk lore: It is believed to help combat the side-effects of electrical energy that we are all surrounded by nowadays..  Geology &amp; origin: ctrine is a form of quartz.</t>
        </is>
      </c>
      <c r="P17" s="4" t="inlineStr">
        <is>
          <t>Tea Tree</t>
        </is>
      </c>
      <c r="Q17" s="5" t="inlineStr">
        <is>
          <t>ctrine is a form of quartz</t>
        </is>
      </c>
      <c r="R17" s="5" t="inlineStr">
        <is>
          <t>Generally safe for handling and use. Avoid prolonged sunlight exposure — colour may fade.</t>
        </is>
      </c>
      <c r="S17" t="inlineStr">
        <is>
          <t>Healing, Happiness, Prosperity, Strength, New beginnings, Healing magic, Healing spells, Healing sachets, Healing incenses, Healing mixtures, Healing rituals, Healing incense, Healing vibrations, healing after surgery, Aiding recovery, Aiding the ill, Improving health, Speeding recovery, Good health, health, Joy, Joyous celebrations, Contentment, Serenity, Ensuring joy in the home, PEACE &amp; HAPPINESS,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 Breaking habits, Breaking bad habits, Ending negative self-talk, Letting go of relationships, Ending guilt, Release, Renewal, New beginning spells, Fresh starts, Transformation, Change, rebirth, Breakthrough, Awakening, Growth, New ideas, Assisting transformation, Transformation/Evolution</t>
        </is>
      </c>
      <c r="T17" s="42" t="inlineStr">
        <is>
          <t>The Merchant's Stone — a form of quartz carrying the bright solar power of abundance and the healing of depression. One of the most powerful healing stones, working on heart, kidneys and stomach at once. Its bright sunny power brings hope even to those who find life impossible. Spiritually it cleanses vibrations in the atmosphere. Dreams and visions made physical reality.</t>
        </is>
      </c>
      <c r="U17" t="inlineStr">
        <is>
          <t>Love, new beginnings, luck and prosperity drawn — citrine the abundance stone.</t>
        </is>
      </c>
      <c r="V17" t="inlineStr">
        <is>
          <t>Protection, confidence, magical power and strength — the solar stone held in any working that needs power.</t>
        </is>
      </c>
      <c r="W17" t="inlineStr">
        <is>
          <t>The cleansing of atmospheric vibrations — depression and lethargy released.</t>
        </is>
      </c>
      <c r="X17" t="inlineStr">
        <is>
          <t>Opens the transformation of dreams and visions into physical reality — where the imagined must become real.</t>
        </is>
      </c>
      <c r="Y17" t="inlineStr">
        <is>
          <t>Turns through the healing of depression and the restoration of energy after depletion.</t>
        </is>
      </c>
      <c r="Z17" t="inlineStr">
        <is>
          <t>The Merchant's Stone in its most complete solar healing — where the depression being worked with has become the lens through which everything is seen, citrine is the stone that believes in recovery when the person holding it cannot yet.</t>
        </is>
      </c>
    </row>
    <row r="18" ht="171.75" customHeight="1" s="56">
      <c r="A18" s="2" t="inlineStr">
        <is>
          <t xml:space="preserve">Quartz Clear </t>
        </is>
      </c>
      <c r="B18" s="2" t="inlineStr">
        <is>
          <t>Master Healer</t>
        </is>
      </c>
      <c r="C18" s="2" t="inlineStr">
        <is>
          <t>Quartz (SiO₂)</t>
        </is>
      </c>
      <c r="D18" s="3"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E18" s="3" t="inlineStr">
        <is>
          <t>The most versatile tool in magic, used for amplification, clarity, and manifestation.</t>
        </is>
      </c>
      <c r="F18" s="2" t="inlineStr">
        <is>
          <t>Sun, Moon</t>
        </is>
      </c>
      <c r="G18" s="2" t="inlineStr">
        <is>
          <t>Fire, Water</t>
        </is>
      </c>
      <c r="H18" s="2" t="inlineStr">
        <is>
          <t>Projective, receptive</t>
        </is>
      </c>
      <c r="I18" s="2" t="inlineStr">
        <is>
          <t>Sunday</t>
        </is>
      </c>
      <c r="J18" s="2" t="inlineStr">
        <is>
          <t>SOL, RA, BALDUR</t>
        </is>
      </c>
      <c r="K18" s="3" t="inlineStr">
        <is>
          <t>LITHA, SAMHAIN</t>
        </is>
      </c>
      <c r="L18" s="3" t="inlineStr">
        <is>
          <t xml:space="preserve">North American Indians used it in rites and spells and ceremonial wands.  It is said to amplify healing energy and is used to perform diagnostic healing. It has been used historically to detect food poison. It is said to draw out pain. </t>
        </is>
      </c>
      <c r="M18" s="3" t="inlineStr">
        <is>
          <t>Protection, Healing, psychism, Strength, lactation</t>
        </is>
      </c>
      <c r="N18" s="3" t="inlineStr">
        <is>
          <t>Quartz is very useful on the third eye chakra f, clarity of psychic vision, can be used to communicate with spirits, other w, lds. Quartz is used in crystal healing to strengthen all body systems.</t>
        </is>
      </c>
      <c r="O18" s="3" t="inlineStr">
        <is>
          <t>*Quartz Clear*  Also known as: Master Healer.  Mineral composition: Quartz (SiO₂).  Planet: Sun, Moon  Element: Fire, Water  Energy: Projective, receptive  Sacred Day: Sunday.  Deity associations: The Great Mother.  Sabbat: LITHA, SAMHAIN.  Association: The most versatile tool in magic, used for amplification, clarity, and manifestation..  Magical uses: 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  Powers: Protection, Healing, psychism, Strength, lactation.  Spiritual uses: Quartz is very useful on the third eye chakra f, clarity of psychic vision, can be used to communicate with spirits, other w, lds. Quartz is used in crystal healing to strengthen all body systems..  Folk lore: North American Indians used it in rites and spells and ceremonial wands.  It is said to amplify healing energy and is used to perform diagnostic healing. It has been used historically to detect food poison. It is said to draw out pain..  Geology &amp; origin: Quartz is the most common mineral within the Earth, so common in fact that it truly could be called the bones of Mother Earth. There are several coloured Quartzes, such as purple Amethyst, yellow Citrine and pink Rose Quartz, but clear, colourless quartz epitomises the concept of a crystal..</t>
        </is>
      </c>
      <c r="P18" s="2" t="inlineStr">
        <is>
          <t>Rosemary</t>
        </is>
      </c>
      <c r="Q18" s="3" t="inlineStr">
        <is>
          <t xml:space="preserve"> Quartz is the most common mineral within the Earth, so common in fact that it truly could be called the bones of Mother Earth. There are several coloured Quartzes, such as purple Amethyst, yellow Citrine and pink Rose Quartz, but clear, colourless quartz epitomises the concept of a crystal.</t>
        </is>
      </c>
      <c r="R18" s="3" t="inlineStr">
        <is>
          <t>Generally safe for handling and use. Raw points may have sharp edges.</t>
        </is>
      </c>
      <c r="S18" t="inlineStr">
        <is>
          <t>Purification, Protection, Clairvoyance, Wisdom, Magical power, Healing, Otherworld travel,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Increasing magical power, Increasing spell power, Power amplification, Bolstering spells, Bolstering incense, Strengthening spells, Potency, Power, Magic, WISDOM IN MAGICK, defensive magic,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T18" s="42" t="inlineStr">
        <is>
          <t>The Master Healer — the most common mineral in the earth's crust, found everywhere, used everywhere, understanding everything. Dispels negativity, clarifies spiritual, mental and physical planes, enhances wisdom and inspires creativity. The stone that can access ancient wisdom, that is useful in astral travel, scrying and dreamwork, that communicates with spirits. The all-purpose amplifier.</t>
        </is>
      </c>
      <c r="U18" t="inlineStr">
        <is>
          <t>Harmony, balance and the drawing of whatever the working needs — clear quartz amplifies intention.</t>
        </is>
      </c>
      <c r="V18" t="inlineStr">
        <is>
          <t>Protection, healing and strength — clear quartz in any protective or healing working.</t>
        </is>
      </c>
      <c r="W18" t="inlineStr">
        <is>
          <t>Purification — dispelling negativity and clearing away what obscures.</t>
        </is>
      </c>
      <c r="X18" t="inlineStr">
        <is>
          <t>Opens psychic vision and the communication with spirits — clear quartz on the altar before any working where the unseen must be contacted.</t>
        </is>
      </c>
      <c r="Y18" t="inlineStr">
        <is>
          <t>Turns through the transformation of what was and the bringing of it into what must be — the Master Healer's broad capacity for change.</t>
        </is>
      </c>
      <c r="Z18" t="inlineStr">
        <is>
          <t>The Master Healer in the Over 18 context — where the working requires that what is being amplified is genuinely intentional and completely clear, clear quartz amplifies without discrimination. The stone for those who are absolutely certain of what they are working toward.</t>
        </is>
      </c>
    </row>
    <row r="19" ht="49.5" customHeight="1" s="56">
      <c r="A19" s="4" t="inlineStr">
        <is>
          <t>Copper flakes</t>
        </is>
      </c>
      <c r="B19" s="4" t="inlineStr">
        <is>
          <t>Conductor of Energy</t>
        </is>
      </c>
      <c r="C19" s="4" t="inlineStr">
        <is>
          <t>Cuprum (Cu)</t>
        </is>
      </c>
      <c r="D19" s="5" t="inlineStr">
        <is>
          <t>Use copper in rituals, Bolstering spells, amulets to promote love, sensuality, friendship, positive relationships of any kind, negotiations, peace.</t>
        </is>
      </c>
      <c r="E19" s="5" t="inlineStr">
        <is>
          <t>Used to conduct and ground magical energy; facilitates the flow of luck and healing.</t>
        </is>
      </c>
      <c r="F19" s="4" t="inlineStr">
        <is>
          <t>Venus</t>
        </is>
      </c>
      <c r="G19" s="4" t="inlineStr">
        <is>
          <t>Water</t>
        </is>
      </c>
      <c r="H19" s="4" t="inlineStr">
        <is>
          <t>Receptive</t>
        </is>
      </c>
      <c r="I19" s="4" t="inlineStr">
        <is>
          <t>Friday</t>
        </is>
      </c>
      <c r="J19" s="4" t="inlineStr">
        <is>
          <t>APHRODITE, VENUS, FREYJA, HATHOR</t>
        </is>
      </c>
      <c r="K19" s="5" t="inlineStr">
        <is>
          <t>OSTARA, BELTANE</t>
        </is>
      </c>
      <c r="L19" s="5" t="inlineStr">
        <is>
          <t xml:space="preserve">The metal copper has a great connecting power: it easily combines with other metals and it easily transfers warmth and electricity (think of the copper in electricity wires). </t>
        </is>
      </c>
      <c r="M19" s="5" t="inlineStr">
        <is>
          <t>Love, Peace, friendships</t>
        </is>
      </c>
      <c r="N19" s="5" t="inlineStr">
        <is>
          <t>Influences flow of blood. Supplies strong energy to body, mind. Aids metabolism. Helps detoxify body. An aid f, exhaustion, sexual imbalance. Aligns physical, emotional bodies. Raises self-esteem. Strong conduct, of energy.</t>
        </is>
      </c>
      <c r="O19" s="5" t="inlineStr">
        <is>
          <t>*Copper flakes*  Also known as: Conductor of Energy.  Mineral composition: Cuprum (Cu).  Planet: Venus  Element: Water  Energy: Receptive  Sacred Day: Friday.  Deity associations: The Great Mother, Oya.  Sabbat: OSTARA, BELTANE.  Association: Used to conduct and ground magical energy; facilitates the flow of luck and healing..  Magical uses: Use copper in rituals, Bolstering spells, amulets to promote love, sensuality, friendship, positive relationships of any kind, negotiations, peace..  Powers: Love, Peace, friendships.  Spiritual uses: Influences flow of blood. Supplies strong energy to body, mind. Aids metabolism. Helps detoxify body. An aid f, exhaustion, sexual imbalance. Aligns physical, emotional bodies. Raises self-esteem. Strong conduct, of energy..  Folk lore: The metal copper has a great connecting power: it easily combines with other metals and it easily transfers warmth and electricity (think of the copper in electricity wires)..  Geology &amp; origin: Copper is sometimes found as the free element and is present in many minerals. Important deposits are located in Canada, Chile, Germany, Italy, Peru, U.S.A., Zambia, and Zaire. The most important copper ores are the oxides, sulphides, and carbonates..</t>
        </is>
      </c>
      <c r="P19" s="4" t="inlineStr">
        <is>
          <t>Ylang Ylang</t>
        </is>
      </c>
      <c r="Q19" s="5" t="inlineStr">
        <is>
          <t>Copper is sometimes found as the free element and is present in many minerals. Important deposits are located in Canada, Chile, Germany, Italy, Peru, U.S.A., Zambia, and Zaire. The most important copper ores are the oxides, sulphides, and carbonates.</t>
        </is>
      </c>
      <c r="R19" s="5" t="inlineStr">
        <is>
          <t>Warning: Copper can be toxic if ingested. Do not use in direct gem elixirs. Wash hands after handling.</t>
        </is>
      </c>
      <c r="S19" t="inlineStr">
        <is>
          <t>Love, Harmony, Peace,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T19" s="42" t="inlineStr">
        <is>
          <t>The Conductor of Energy — copper found as free metal in various locations, the ancient conductor of magical and physical current alike. Used in amulets to promote love, sensuality, friendship and positive relationships. Copper flakes in a working add its conducting quality: energy moves through and between items more fluidly when copper is present.</t>
        </is>
      </c>
      <c r="U19" t="inlineStr">
        <is>
          <t>Love, peace and friendship drawn through copper's conductivity.</t>
        </is>
      </c>
      <c r="V19" t="inlineStr">
        <is>
          <t>None specified.</t>
        </is>
      </c>
      <c r="W19" t="inlineStr">
        <is>
          <t>None specified.</t>
        </is>
      </c>
      <c r="X19" t="inlineStr">
        <is>
          <t>Opens the energy flow between items in a working — where what must move between the elements of a spell needs a conductor.</t>
        </is>
      </c>
      <c r="Y19" t="inlineStr">
        <is>
          <t>Turns through the increased conductivity — what was separate now connected, what was still now moving.</t>
        </is>
      </c>
      <c r="Z19" t="inlineStr">
        <is>
          <t>The conductor of sensual energy — copper in the older love traditions carried the warmth of physical attraction between people. Where the working is about the physical current between two people, copper conducts it.</t>
        </is>
      </c>
    </row>
    <row r="20" ht="171.75" customHeight="1" s="56">
      <c r="A20" s="2" t="inlineStr">
        <is>
          <t>Emerald</t>
        </is>
      </c>
      <c r="B20" s="2" t="inlineStr">
        <is>
          <t>Heart of the Earth</t>
        </is>
      </c>
      <c r="C20" s="2" t="inlineStr">
        <is>
          <t>Beryl var. (Be₃Al₂(SiO₃)₆)</t>
        </is>
      </c>
      <c r="D20" s="3" t="inlineStr">
        <is>
          <t>Most of us have trouble living in the magical moment of ‘now’ because we are so busy brooding over the past, dreaming about the future. Teaches us to focus our attention in the present, live every moment to the fullest, making the most of the gifts we have. W, king with the stone can remind us how to move through Time with ease, allowing us to w, k m, e powerfully on the astral realms, access the Akashic Rec, Midsummer, meet with the beings that inhabit other w, lds. Sacred to Venus, Emerald is used in many love spells, especially to encourage faithfulness, bring back a straying lover. It is said that the stone will crack, fade if your lover is unfaithful. In love, sex magic it encourages passion, arousal, releases inhibitions. As a talisman it protects against violence, abuse, rape, is powerful f, healing the trauma of such attacks.  Increases your intuitive, prophetic powers, mem, Clairvoyance, eloquence, communication skills. Wearing the stone, drinking the elixir will help you get the best results from any psychic, magical exercises.</t>
        </is>
      </c>
      <c r="E20" s="3" t="inlineStr">
        <is>
          <t>Symbol of rebirth, love, and foresight; often used in royalty and high ritual [cite: 1.1.5].</t>
        </is>
      </c>
      <c r="F20" s="2" t="inlineStr">
        <is>
          <t>Venus</t>
        </is>
      </c>
      <c r="G20" s="2" t="inlineStr">
        <is>
          <t>Earth</t>
        </is>
      </c>
      <c r="H20" s="2" t="inlineStr">
        <is>
          <t>Receptive</t>
        </is>
      </c>
      <c r="I20" s="2" t="inlineStr">
        <is>
          <t>Friday</t>
        </is>
      </c>
      <c r="J20" s="2" t="inlineStr">
        <is>
          <t>APHRODITE, VENUS, FREYJA, HATHOR</t>
        </is>
      </c>
      <c r="K20" s="3" t="inlineStr">
        <is>
          <t>OSTARA, BELTANE</t>
        </is>
      </c>
      <c r="L20" s="3" t="inlineStr">
        <is>
          <t xml:space="preserve"> In Egypt Emerald represented resurrection and in many cultures it was buried with the dead to ensure safe passage and a fortunate reincarnation.</t>
        </is>
      </c>
      <c r="M20" s="3" t="inlineStr">
        <is>
          <t>Psychic awareness, meditation, Divination, Peace, sleep, Healing, Love, friendship, protection from evil, business success, mem, Clairvoyance, recognition, faith, Fertility, serenity, underst, Attracting good spirits, balance. Represents Time, the astral planes</t>
        </is>
      </c>
      <c r="N20" s="3" t="inlineStr">
        <is>
          <t>Develops strength, wisdom, brings happiness, good f, Fortune, friends, creativity, energy.</t>
        </is>
      </c>
      <c r="O20" s="3" t="inlineStr">
        <is>
          <t>*Emerald*  Also known as: Heart of the Earth.  Mineral composition: Beryl var. (Be₃Al₂(SiO₃)₆).  Planet: Venus  Element: Earth  Energy: Receptive  Sacred Day: Friday.  Deity associations: Isis, Venus, Ceres, Vishnu.  Sabbat: OSTARA, BELTANE.  Association: Symbol of rebirth, love, and foresight; often used in royalty and high ritual [cite: 1.1.5]..  Magical uses: Most of us have trouble living in the magical moment of ‘now’ because we are so busy brooding over the past, dreaming about the future. Teaches us to focus our attention in the present, live every moment to the fullest, making the most of the gifts we have. W, king with the stone can remind us how to move through Time with ease, allowing us to w, k m, e powerfully on the astral realms, access the Akashic Rec, Midsummer, meet with the beings that inhabit other w, lds. Sacred to Venus, Emerald is used in many love spells, especially to encourage faithfulness, bring back a straying lover. It is said that the stone will crack, fade if your lover is unfaithful. In love, sex magic it encourages passion, arousal, releases inhibitions. As a talisman it protects against violence, abuse, rape, is powerful f, healing the trauma of such attacks.  Increases your intuitive, prophetic powers, mem, Clairvoyance, eloquence, communication skills. Wearing the stone, drinking the elixir will help you get the best results from any psychic, magical exercises..  Powers: Psychic awareness, meditation, Divination, Peace, sleep, Healing, Love, friendship, protection from evil, business success, mem, Clairvoyance, recognition, faith, Fertility, serenity, underst, Attracting good spirits, balance. Represents Time, the astral planes.  Spiritual uses: Develops strength, wisdom, brings happiness, good f, Fortune, friends, creativity, energy..  Folk lore: In Egypt Emerald represented resurrection and in many cultures it was buried with the dead to ensure safe passage and a fortunate reincarnation..  Geology &amp; origin: A highly prized gem, variety of the mnieral corrundum. Columbia.</t>
        </is>
      </c>
      <c r="P20" s="2" t="inlineStr">
        <is>
          <t>Patchouli</t>
        </is>
      </c>
      <c r="Q20" s="3" t="inlineStr">
        <is>
          <t>A highly prized gem, variety of the mnieral corrundum. Columbia</t>
        </is>
      </c>
      <c r="R20" s="3" t="inlineStr">
        <is>
          <t>Generally safe for handling. Raw specimens may have sharp edges. Handle treated stones carefully.</t>
        </is>
      </c>
      <c r="S20" t="inlineStr">
        <is>
          <t>Divination, Clairvoyance, Wisdom, Love, Fidelity, Protection,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Faithfulness, Loyalty, Promoting fidelity, Ensuring a lover returns love, Protective charm, Protective charms, Protective sachets, Protective wreaths, Protective incense, PROTECT AGAINST NEGATIVITY, Protection from negativity, Circle protection</t>
        </is>
      </c>
      <c r="T20" s="42" t="inlineStr">
        <is>
          <t>The Jewel of Kings — natural transparent emerald one of four precious gemstones. A stone of great vision and prophecy, associated with the eyes and clairvoyance, long believed to foretell future events and reveal truths. A stone of wisdom that enhances memory and mental clarity. Combines intelligence with discernment — brings to the conscious mind what the unconscious already knows.</t>
        </is>
      </c>
      <c r="U20" t="inlineStr">
        <is>
          <t>Love, prosperity and fertility drawn through the kingly emerald's deep green power.</t>
        </is>
      </c>
      <c r="V20" t="inlineStr">
        <is>
          <t>Healing and truth — the healing and truth-telling functions of the wise stone.</t>
        </is>
      </c>
      <c r="W20" t="inlineStr">
        <is>
          <t>None specified.</t>
        </is>
      </c>
      <c r="X20" t="inlineStr">
        <is>
          <t>Opens the great vision and divination — where emerald is used as a focus for clairvoyance and the revealing of what is true.</t>
        </is>
      </c>
      <c r="Y20" t="inlineStr">
        <is>
          <t>Turns through the movement from unconscious knowing to conscious understanding — what was felt but not known now clearly seen.</t>
        </is>
      </c>
      <c r="Z20" t="inlineStr">
        <is>
          <t>The stone of Venus in her most complete aspect — love spells that encourage faithfulness alongside the passion that makes faithfulness worth choosing. Where sacred union magic requires a stone that understands both the heart and the body, emerald holds both.</t>
        </is>
      </c>
    </row>
    <row r="21" ht="98.25" customHeight="1" s="56">
      <c r="A21" s="4" t="inlineStr">
        <is>
          <t>Flourite</t>
        </is>
      </c>
      <c r="B21" s="4" t="inlineStr">
        <is>
          <t>Genius Stone</t>
        </is>
      </c>
      <c r="C21" s="4" t="inlineStr">
        <is>
          <t>Fluorite (CaF₂)</t>
        </is>
      </c>
      <c r="D21" s="5" t="inlineStr">
        <is>
          <t>Flu, ite is one of the most powerful stones f, creativity, mental powers. It is renowned f, giving a clarity of vision that is wonderful f, art, creative writing, astral travel, meditation, scrying, most magical w, k. It is very protective, keeps the bearer safe on dangerous paths, whether they are in the real w, Otherworld travel, the magical realms. Lessens the fear of ridicule, failure while also boosting confidence, belief in your talents. Brings inspiration, iginality, beauty to any artistic, creative project. Flu, ite awakens the intuitive senses that are used when w, king with crystals, it is one of the easiest stones f, a beginner to get a 'feel' f</t>
        </is>
      </c>
      <c r="E21" s="5" t="inlineStr">
        <is>
          <t>Used for focus, mental clarity, and protection against scattered energy.</t>
        </is>
      </c>
      <c r="F21" s="4" t="inlineStr">
        <is>
          <t>neptune</t>
        </is>
      </c>
      <c r="G21" s="4" t="inlineStr">
        <is>
          <t>water. Air</t>
        </is>
      </c>
      <c r="H21" s="4" t="inlineStr">
        <is>
          <t>protective</t>
        </is>
      </c>
      <c r="I21" s="4" t="inlineStr">
        <is>
          <t>Monday</t>
        </is>
      </c>
      <c r="J21" s="4" t="inlineStr">
        <is>
          <t>NJORD</t>
        </is>
      </c>
      <c r="K21" s="5" t="inlineStr">
        <is>
          <t>IMBOLC, SAMHAIN</t>
        </is>
      </c>
      <c r="L21" s="5" t="inlineStr">
        <is>
          <t>This stone has no long history of magical use; it is influences are only now being discovered</t>
        </is>
      </c>
      <c r="M21" s="5" t="inlineStr">
        <is>
          <t>Good luck, concentration, keenness of mind, perspective, reducing emotional involvement, increasing mental power, logic, managing anger, analytical skill, intellect, truth.</t>
        </is>
      </c>
      <c r="N21" s="5" t="inlineStr">
        <is>
          <t>. When w, n on the third eye it helps to enhance mental capacity, intellect, the power of concentration</t>
        </is>
      </c>
      <c r="O21" s="5" t="inlineStr">
        <is>
          <t>*Flourite*  Also known as: Genius Stone.  Mineral composition: Fluorite (CaF₂).  Planet: neptune  Element: water. Air  Energy: protective  Sacred Day: Monday.  Deity associations: Vak, Bona Dea.  Sabbat: IMBOLC, SAMHAIN.  Association: Used for focus, mental clarity, and protection against scattered energy..  Magical uses: Flu, ite is one of the most powerful stones f, creativity, mental powers. It is renowned f, giving a clarity of vision that is wonderful f, art, creative writing, astral travel, meditation, scrying, most magical w, k. It is very protective, keeps the bearer safe on dangerous paths, whether they are in the real w, Otherworld travel, the magical realms. Lessens the fear of ridicule, failure while also boosting confidence, belief in your talents. Brings inspiration, iginality, beauty to any artistic, creative project. Flu, ite awakens the intuitive senses that are used when w, king with crystals, it is one of the easiest stones f, a beginner to get a 'feel' f.  Powers: Good luck, concentration, keenness of mind, perspective, reducing emotional involvement, increasing mental power, logic, managing anger, analytical skill, intellect, truth..  Spiritual uses: . When w, n on the third eye it helps to enhance mental capacity, intellect, the power of concentration.  Folk lore: This stone has no long history of magical use; it is influences are only now being discovered.  Geology &amp; origin: flourite is found in various colours and in masses of interlocking interpenitrating cubes..</t>
        </is>
      </c>
      <c r="P21" s="4" t="inlineStr">
        <is>
          <t>Lavender</t>
        </is>
      </c>
      <c r="Q21" s="5" t="inlineStr">
        <is>
          <t>flourite is found in various colours and in masses of interlocking interpenitrating cubes.</t>
        </is>
      </c>
      <c r="R21" s="5" t="inlineStr">
        <is>
          <t>Warning: Fluorite dust is toxic — do not inhale. Handle raw specimens with care. Do not use in direct water elixirs as it contains fluorine.</t>
        </is>
      </c>
      <c r="S21" t="inlineStr">
        <is>
          <t>Clairvoyance, Magical power, Wisdom, Confidence, Otherworld travel, Enhancing clairvoyance, Psychic development, Psychic powers, INCREASE PSYCHIC ABILITIES, Psychic awareness, Stimulating psychic senses, Disabling psychic phenomena, Psychic communication, communication and psychic abilities, Increasing magical power, Increasing spell power, Power amplification, Bolstering spells, Bolstering incense, Strengthening spells, Potency, Power, Magic, WISDOM IN MAGICK, defensive magic, Knowledge, Intelligence, Intuition, Mental clarity, Sharpening the wits, Sharpening the brain, Mental powers, MEM, Memory, Concentration, Focus, Illumination, Enlightenment,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T21" s="42" t="inlineStr">
        <is>
          <t>The Genius Stone — one of the most powerful stones for creativity and mental powers. Famous for giving a clarity of vision used in art, creative writing, astral travel and meditation. Very protective on dangerous paths whether in the physical world or the Otherworld. Opens intuitive senses, boosts confidence and lessens the fear of failure.</t>
        </is>
      </c>
      <c r="U21" t="inlineStr">
        <is>
          <t>Good luck drawn — flourite the creativity and opportunity stone.</t>
        </is>
      </c>
      <c r="V21" t="inlineStr">
        <is>
          <t>Mental powers, protection and increasing mental power — held in any working where the mind must be sharpened.</t>
        </is>
      </c>
      <c r="W21" t="inlineStr">
        <is>
          <t>The lessening of fear of ridicule and failure — where self-doubt has been blocking the work.</t>
        </is>
      </c>
      <c r="X21" t="inlineStr">
        <is>
          <t>Opens clarity of vision and the deeper intuition used in all crystal work — where the beginner and the adept both feel the stone most easily.</t>
        </is>
      </c>
      <c r="Y21" t="inlineStr">
        <is>
          <t>Turns through the creative breakthrough — the mental block released, the inspired work beginning.</t>
        </is>
      </c>
      <c r="Z21" t="inlineStr">
        <is>
          <t>The Genius Stone in its most creative and risk-taking function — where the creative work being done requires the full opening of what the imagination can reach without the usual self-censorship, flourite holds the space for what the creative self most wants to make.</t>
        </is>
      </c>
    </row>
    <row r="22" ht="86.25" customHeight="1" s="56">
      <c r="A22" s="2" t="inlineStr">
        <is>
          <t>Fuchsite</t>
        </is>
      </c>
      <c r="B22" s="2" t="inlineStr">
        <is>
          <t>Fairy Frost</t>
        </is>
      </c>
      <c r="C22" s="2" t="inlineStr">
        <is>
          <t>Fuchsite (K(Al,Cr)₂(AlSi₃O₁₀)(OH)₂)</t>
        </is>
      </c>
      <c r="D22" s="3" t="inlineStr">
        <is>
          <t>It is known as the Healers Stone as it is particularly good f, healers... especially those who regularly try to save others from themselves, when it might be better to let the person to take responsibility f, their own health concerns.a stone that will generally help you by stimulating your mind. This may intensify inspiration, aid with problem solving..., help to develop your intuition.</t>
        </is>
      </c>
      <c r="E22" s="3" t="inlineStr">
        <is>
          <t>Associated with nature spirits and heart healing; helps one find their path.</t>
        </is>
      </c>
      <c r="F22" s="2" t="inlineStr">
        <is>
          <t>Venus</t>
        </is>
      </c>
      <c r="G22" s="2" t="inlineStr">
        <is>
          <t>fire</t>
        </is>
      </c>
      <c r="H22" s="2" t="inlineStr">
        <is>
          <t>Protective</t>
        </is>
      </c>
      <c r="I22" s="2" t="inlineStr">
        <is>
          <t>Friday</t>
        </is>
      </c>
      <c r="J22" s="2" t="inlineStr">
        <is>
          <t>APHRODITE, VENUS, FREYJA, HATHOR</t>
        </is>
      </c>
      <c r="K22" s="3" t="inlineStr">
        <is>
          <t>BELTANE</t>
        </is>
      </c>
      <c r="L22" s="3" t="inlineStr">
        <is>
          <t>Fuchsite is said to aid those who are herbalists to gain information about how to use certain natural remedies.</t>
        </is>
      </c>
      <c r="M22" s="3" t="inlineStr">
        <is>
          <t>Healing, wisdom, intellect, productivity, independence, problem solving, balance in the family, equilibrium in relationships, reducing mood swings</t>
        </is>
      </c>
      <c r="N22" s="3" t="inlineStr">
        <is>
          <t>Fuchsite assists with being m, e disciplined with your personal routines such as meditation, yoga, exercise, writing, any other activity that supp, ts your connection to self. Anyone with back problems, muscle pain, can benefit from its vibration... as it may promote deeper, faster healing.</t>
        </is>
      </c>
      <c r="O22" s="3" t="inlineStr">
        <is>
          <t>*Fuchsite*  Also known as: Fairy Frost.  Mineral composition: Fuchsite (K(Al,Cr)₂(AlSi₃O₁₀)(OH)₂).  Planet: Venus  Element: fire  Energy: Protective  Sacred Day: Friday.  Deity associations: Hygia.  Sabbat: BELTANE.  Association: Associated with nature spirits and heart healing; helps one find their path..  Magical uses: It is known as the Healers Stone as it is particularly good f, healers... especially those who regularly try to save others from themselves, when it might be better to let the person to take responsibility f, their own health concerns.a stone that will generally help you by stimulating your mind. This may intensify inspiration, aid with problem solving..., help to develop your intuition..  Powers: Healing, wisdom, intellect, productivity, independence, problem solving, balance in the family, equilibrium in relationships, reducing mood swings.  Spiritual uses: Fuchsite assists with being m, e disciplined with your personal routines such as meditation, yoga, exercise, writing, any other activity that supp, ts your connection to self. Anyone with back problems, muscle pain, can benefit from its vibration... as it may promote deeper, faster healing..  Folk lore: Fuchsite is said to aid those who are herbalists to gain information about how to use certain natural remedies..  Geology &amp; origin: Fuchsite or Fuschite is mainly found in Brazil... and is a variety of Muscovite. It was named after the German mineralogist Johann Fuchs.
It has also been found in Russia and India. Its color is due to the presence of chromium in it, as it is the green form of Muscovite Mica..</t>
        </is>
      </c>
      <c r="P22" s="2" t="inlineStr">
        <is>
          <t>Ylang Ylang</t>
        </is>
      </c>
      <c r="Q22" s="3" t="inlineStr">
        <is>
          <t xml:space="preserve">Fuchsite or Fuschite is mainly found in Brazil... and is a variety of Muscovite. It was named after the German mineralogist Johann Fuchs.
It has also been found in Russia and India. Its color is due to the presence of chromium in it, as it is the green form of Muscovite Mica.
</t>
        </is>
      </c>
      <c r="R22" s="3" t="inlineStr">
        <is>
          <t>Generally safe for handling. Contains mica — avoid inhaling any dust from raw specimens.</t>
        </is>
      </c>
      <c r="S22" t="inlineStr">
        <is>
          <t>Healing, Wisdom, Clairvoyance, Healing magic, Healing spells, Healing sachets, Healing incenses, Healing mixtures, Healing rituals, Healing incense, Healing vibrations, healing after surgery, Aiding recovery, Aiding the ill, Improving health, Speeding recovery, Good health, health,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t>
        </is>
      </c>
      <c r="T22" s="42" t="inlineStr">
        <is>
          <t>The Fairy Frost — a green muscovite mica from India and Brazil, known as the Healers Stone. Particularly good for healers who over-give, who try to save others from themselves when the better path is to let people take responsibility. Stimulates the mind, intensifies inspiration, aids problem-solving. Develops intuition in those who are just beginning.</t>
        </is>
      </c>
      <c r="U22" t="inlineStr">
        <is>
          <t>None specified — fuchsite works in healing and wisdom.</t>
        </is>
      </c>
      <c r="V22" t="inlineStr">
        <is>
          <t>Healing, wisdom and the intuition of the healer.</t>
        </is>
      </c>
      <c r="W22" t="inlineStr">
        <is>
          <t>None specified.</t>
        </is>
      </c>
      <c r="X22" t="inlineStr">
        <is>
          <t>Opens intuition and the wisdom to know when to help and when to step back — the Healers Stone's primary gift.</t>
        </is>
      </c>
      <c r="Y22" t="inlineStr">
        <is>
          <t>Turns through healing and the miraculous — where fuchsite is said to sometimes catalyse unexpected recoveries.</t>
        </is>
      </c>
      <c r="Z22" t="inlineStr">
        <is>
          <t>The Fairy Frost healer in its most boundary-setting function — where the healer must learn to allow others to take responsibility for their own healing, fuchsite is the stone that teaches this lesson with firmness and genuine care.</t>
        </is>
      </c>
    </row>
    <row r="23" ht="110.25" customHeight="1" s="56">
      <c r="A23" s="4" t="inlineStr">
        <is>
          <t>Garnet</t>
        </is>
      </c>
      <c r="B23" s="4" t="inlineStr">
        <is>
          <t>Vampire's Bane</t>
        </is>
      </c>
      <c r="C23" s="4" t="inlineStr">
        <is>
          <t>Silicate minerals</t>
        </is>
      </c>
      <c r="D23" s="5"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E23" s="5" t="inlineStr">
        <is>
          <t>Protective stone against dark forces; used for stamina and loyalty [cite: 1.1.2].</t>
        </is>
      </c>
      <c r="F23" s="4" t="inlineStr">
        <is>
          <t>mars</t>
        </is>
      </c>
      <c r="G23" s="4" t="inlineStr">
        <is>
          <t>fire</t>
        </is>
      </c>
      <c r="H23" s="4" t="inlineStr">
        <is>
          <t>projective</t>
        </is>
      </c>
      <c r="I23" s="4" t="inlineStr">
        <is>
          <t>Tuesday</t>
        </is>
      </c>
      <c r="J23" s="4" t="inlineStr">
        <is>
          <t>ISIS</t>
        </is>
      </c>
      <c r="K23" s="5" t="inlineStr">
        <is>
          <t>BELTANE</t>
        </is>
      </c>
      <c r="L23" s="5" t="inlineStr">
        <is>
          <t xml:space="preserve">Sacred to the Goddess Isis, Garnet was believed to be solidified drops of her blood. Long believed to be a favourite stone of Dragons, it draws on their protective powers and helps the bearer communicate with them and learn their great secrets.   Garnet establishes and activates the connection between your root chakra and the Earth, helping you to draw on the Earth's vast power for healing and empowering yourself.      </t>
        </is>
      </c>
      <c r="M23" s="5" t="inlineStr">
        <is>
          <t>Healing, cheery disposition, Confidence, Love, business success, past life regression, consistency of love &amp; friendship, travel protection, Happiness, Peace, Harmony, patience, inspiration, persistence, wisdom, fertility.</t>
        </is>
      </c>
      <c r="N23" s="5" t="inlineStr">
        <is>
          <t>Garnet can be used to help anyone who uses metal, including farmers, ironmongers, smiths, soldiers, surgeons, jewellers, craftspeople. Provides fertility, Prosperity, prosperity.   A healing stone, it is used to relieve skin conditions, regulates the heart, blood.</t>
        </is>
      </c>
      <c r="O23" s="5" t="inlineStr">
        <is>
          <t>*Garnet*  Also known as: Vampire's Bane.  Mineral composition: Silicate minerals.  Planet: mars  Element: fire  Energy: projective  Sacred Day: Tuesday.  Deity associations: isis.  Sabbat: BELTANE.  Association: Protective stone against dark forces; used for stamina and loyalty [cite: 1.1.2]..  Magical uses: 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  Powers: Healing, cheery disposition, Confidence, Love, business success, past life regression, consistency of love &amp; friendship, travel protection, Happiness, Peace, Harmony, patience, inspiration, persistence, wisdom, fertility..  Spiritual uses: Garnet can be used to help anyone who uses metal, including farmers, ironmongers, smiths, soldiers, surgeons, jewellers, craftspeople. Provides fertility, Prosperity, prosperity.   A healing stone, it is used to relieve skin conditions, regulates the heart, blood..  Folk lore: Sacred to the Goddess Isis, Garnet was believed to be solidified drops of her blood. Long believed to be a favourite stone of Dragons, it draws on their protective powers and helps the bearer communicate with them and learn their great secrets.   Garnet establishes and activates the connection between your root chakra and the Earth, helping you to draw on the Earth's vast power for healing and empowering yourself..  Geology &amp; origin: a semi- precious stone that occurs in a number of different types and colours..</t>
        </is>
      </c>
      <c r="P23" s="4" t="inlineStr">
        <is>
          <t>Pine</t>
        </is>
      </c>
      <c r="Q23" s="5" t="inlineStr">
        <is>
          <t xml:space="preserve">a semi- precious stone that occurs in a number of different types and colours. </t>
        </is>
      </c>
      <c r="R23" s="5" t="inlineStr">
        <is>
          <t>Generally safe for handling and use. Raw specimens may have sharp edges.</t>
        </is>
      </c>
      <c r="S23" t="inlineStr">
        <is>
          <t>Strength, Magical power, Protection, Aphrodisiac, Success, Physical Strength, Fortitude, Vitality, Inner power, and strength, Increasing magical power, Increasing spell power, Power amplification, Bolstering spells, Bolstering incense, Strengthening spells, Potency, Power, Magic, WISDOM IN MAGICK, defensive magic, Protective charm, Protective charms, Protective sachets, Protective wreaths, Protective incense, PROTECT AGAINST NEGATIVITY, Protection from negativity, Circle protection, Aphrodisiac tea, Sensuality, Lust, Lust/Sex, Passionate love-making, LOVING &amp; LUSTFUL ENERGIES, SEX MAGIC, RAISE SEXUAL ENERGY, Sexual energy, Victory, victory in battle, Conquest, Overcoming opposition, Courtroom success, Legal matters, Justice</t>
        </is>
      </c>
      <c r="T23" s="42" t="inlineStr">
        <is>
          <t>The Vampire's Bane — a semi-precious stone that occurs in a range of colours, most magically known in deep red. Closely associated with the powers of Earth and Fire at once, a stone of passion and courage and the awesome energy of raw, untamed magic. Wearing it brings you under the influence of the Mistress of Magic. Stirs the blood, wards off depression, empowers magical regeneration.</t>
        </is>
      </c>
      <c r="U23" t="inlineStr">
        <is>
          <t>Love, happiness, peace, harmony and fertility drawn through garnet's warm fire energy.</t>
        </is>
      </c>
      <c r="V23" t="inlineStr">
        <is>
          <t>Healing, confidence and wisdom — the stone that gives stamina to complete what was begun.</t>
        </is>
      </c>
      <c r="W23" t="inlineStr">
        <is>
          <t>None specified.</t>
        </is>
      </c>
      <c r="X23" t="inlineStr">
        <is>
          <t>Opens the deeper magic — where raw power is needed and the polished stone is not enough, unpolished garnet is used.</t>
        </is>
      </c>
      <c r="Y23" t="inlineStr">
        <is>
          <t>Turns through magical regeneration and the stamina to complete a long complex working.</t>
        </is>
      </c>
      <c r="Z23" t="inlineStr">
        <is>
          <t>The raw unpolished magic of the Mistress of Magic in its most complete function — where the working requires the awesome energy of what has not been tamed or polished into acceptability, garnet in its natural form carries that charge fully.</t>
        </is>
      </c>
    </row>
    <row r="24" ht="98.25" customHeight="1" s="56">
      <c r="A24" s="2" t="inlineStr">
        <is>
          <t>Goldstone</t>
        </is>
      </c>
      <c r="B24" s="2" t="inlineStr">
        <is>
          <t>Stone of Ambition</t>
        </is>
      </c>
      <c r="C24" s="2" t="inlineStr">
        <is>
          <t>Glass (man-made, copper flecked)</t>
        </is>
      </c>
      <c r="D24" s="3"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E24" s="3" t="inlineStr">
        <is>
          <t>Created by man to attract success and light in times of darkness.</t>
        </is>
      </c>
      <c r="F24" s="2" t="inlineStr">
        <is>
          <t>Jupiter  Venus</t>
        </is>
      </c>
      <c r="G24" s="2" t="inlineStr">
        <is>
          <t>water</t>
        </is>
      </c>
      <c r="H24" s="2" t="inlineStr">
        <is>
          <t>receptive</t>
        </is>
      </c>
      <c r="I24" s="2" t="inlineStr">
        <is>
          <t>Friday</t>
        </is>
      </c>
      <c r="J24" s="2" t="inlineStr">
        <is>
          <t>APHRODITE, VENUS, FREYJA, HATHOR</t>
        </is>
      </c>
      <c r="K24" s="3" t="inlineStr">
        <is>
          <t>MABON</t>
        </is>
      </c>
      <c r="L24" s="3" t="inlineStr">
        <is>
          <t>There are a few stories of alchemist monks attempting to make gold (some are French Monks, some Italian Monks) and in the process either a monk or a general worker accidentally knocked some copper shavings into a pot of molten glass…hence to  variations of how it came about its name.</t>
        </is>
      </c>
      <c r="M24" s="3" t="inlineStr">
        <is>
          <t>Hope, protection.</t>
        </is>
      </c>
      <c r="N24" s="3" t="inlineStr">
        <is>
          <t>Called the Stone of Ambition, it is said that Goldstone will assist in attaining one’s goals. In keeping one’s emotions stable, Peace, this energy generat, revitalizes one’s personal energy field, building confidence, Confidence, a positive attitude, promotes vitality.</t>
        </is>
      </c>
      <c r="O24" s="3" t="inlineStr">
        <is>
          <t>*Goldstone*  Also known as: Stone of Ambition.  Mineral composition: Glass (man-made, copper flecked).  Planet: Jupiter  Venus  Element: water  Energy: receptive  Sacred Day: Friday.  Deity associations: Baldur &amp; Hathor.  Sabbat: MABON.  Association: Created by man to attract success and light in times of darkness..  Magical uses: 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  Powers: Hope, protection..  Spiritual uses: Called the Stone of Ambition, it is said that Goldstone will assist in attaining one’s goals. In keeping one’s emotions stable, Peace, this energy generat, revitalizes one’s personal energy field, building confidence, Confidence, a positive attitude, promotes vitality..  Folk lore: There are a few stories of alchemist monks attempting to make gold (some are French Monks, some Italian Monks) and in the process either a monk or a general worker accidentally knocked some copper shavings into a pot of molten glass…hence to  variations of how it came about its name..  Geology &amp; origin: Usually brown (black and red Goldstone is also available) and shimmering with pin-pricks of golden light, there are at least two different types of Goldstone available. One is a form of dyed Aventurine and the other is made from glass but both seem to work equally well in spells and pouches..</t>
        </is>
      </c>
      <c r="P24" s="2" t="inlineStr">
        <is>
          <t>Rosemary</t>
        </is>
      </c>
      <c r="Q24" s="3" t="inlineStr">
        <is>
          <t xml:space="preserve">Usually brown (black and red Goldstone is also available) and shimmering with pin-pricks of golden light, there are at least two different types of Goldstone available. One is a form of dyed Aventurine and the other is made from glass but both seem to work equally well in spells and pouches. </t>
        </is>
      </c>
      <c r="R24" s="3" t="inlineStr">
        <is>
          <t>Generally safe for handling — it is man-made glass. Sharp edges on raw pieces.</t>
        </is>
      </c>
      <c r="S24" t="inlineStr">
        <is>
          <t>Prosperity, Increasing wealth, Success, Confidence, Strength,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Victory, victory in battle, Conquest, Overcoming opposition, Courtroom success, Legal matters, Justice, Self-confidence, Courage, Bravery, Determination, Will Power, Leadership, Leadership skills, Commanding, Personal power, Physical Strength, Fortitude, Vitality, Inner power, and strength</t>
        </is>
      </c>
      <c r="T24" s="42" t="inlineStr">
        <is>
          <t>The Stone of Ambition — not naturally occurring but made by human ingenuity, goldstone symbolises the drive to improve one's own situation. Used in rituals to gain wealth, honour and public recognition. Also helpful in keeping feet on the ground when success arrives. Its glittering copper inclusions in dark glass speak of ambition made visible.</t>
        </is>
      </c>
      <c r="U24" t="inlineStr">
        <is>
          <t>Prosperity and beauty drawn through goldstone's aspiring energy.</t>
        </is>
      </c>
      <c r="V24" t="inlineStr">
        <is>
          <t>Strength and protection — held to stay grounded through what is being worked toward.</t>
        </is>
      </c>
      <c r="W24" t="inlineStr">
        <is>
          <t>None specified.</t>
        </is>
      </c>
      <c r="X24" t="inlineStr">
        <is>
          <t>Opens the deeper current of prosperity and the seeing of one's own potential — where ambition must first be acknowledged.</t>
        </is>
      </c>
      <c r="Y24" t="inlineStr">
        <is>
          <t>Turns through the building of strength and the realisation of ambition — from wanting to having.</t>
        </is>
      </c>
      <c r="Z24" t="inlineStr">
        <is>
          <t>The stone of ambition in its most direct function — where the working is about the genuine claiming of public recognition and the willingness to be seen in one's full ambition, goldstone supports the courage that requires.</t>
        </is>
      </c>
    </row>
    <row r="25" ht="147" customHeight="1" s="56">
      <c r="A25" s="4" t="inlineStr">
        <is>
          <t>Hematite</t>
        </is>
      </c>
      <c r="B25" s="4" t="inlineStr">
        <is>
          <t>Iron Rose</t>
        </is>
      </c>
      <c r="C25" s="4" t="inlineStr">
        <is>
          <t>Haematite (Fe₂O₃)</t>
        </is>
      </c>
      <c r="D25" s="5" t="inlineStr">
        <is>
          <t>Magical use:      It is a very powerful stone of magical energy that contains within it the combined essences of elemental Earth, Fire. It is often used in magic to release a sudden burst of power, Anti-theft, example at the conclusion of a spell. Breaks through any barriers that may be holding you back such as fear, inhibition, guilt, Increasing wealth, Fairy portals, self-doubt. An excellent stone f, abs, bing, grounding negative energy, it can be used to stop poltergeist activity, psychic disturbances. It augments, balances the flow of energy in the body, is believed to be particularly useful when practising astral travel, out of body projection. It can be used to ground high spiritual, magical energies, Negating dreams, visions into physical reality. Creates a powerful connection with the Earth, is a useful stone f, anyone who is becoming 'spaced out' by meditation, magical w, k.</t>
        </is>
      </c>
      <c r="E25" s="5" t="inlineStr">
        <is>
          <t>Powerful grounding stone used to shield against negative energy and blood health.</t>
        </is>
      </c>
      <c r="F25" s="4" t="inlineStr">
        <is>
          <t>saturn</t>
        </is>
      </c>
      <c r="G25" s="4" t="inlineStr">
        <is>
          <t>fire</t>
        </is>
      </c>
      <c r="H25" s="4" t="inlineStr">
        <is>
          <t>saturn</t>
        </is>
      </c>
      <c r="I25" s="4" t="inlineStr">
        <is>
          <t>Saturday</t>
        </is>
      </c>
      <c r="J25" s="4" t="inlineStr">
        <is>
          <t>SATURN, HECATE, URD, SKULD</t>
        </is>
      </c>
      <c r="K25" s="5" t="inlineStr">
        <is>
          <t>SAMHAIN, YULE</t>
        </is>
      </c>
      <c r="L25" s="5" t="inlineStr">
        <is>
          <t xml:space="preserve">.Helps recovery after childbirth or surgery and can be used in magic to make sure the surgeon's knife is swift and accurate. The name Haematite is from the Greek 'Haimatites', meaning 'Stone of Blood' because when it is cut or ground it gives off a red dust that runs like blood when mixed with water. This is iron oxide (rust) and the dry powder is called Red Ochre. It has been used for thousands of years as a pigment for cave painting and also to colour tombs and the bodies of the dead. The blood red colour symbolises life energy and Haematite has long been used in funeral rites to ensure a safe journey to the Underworld and a favourable reincarnation. </t>
        </is>
      </c>
      <c r="M25" s="5" t="inlineStr">
        <is>
          <t>Concentration, mem, Clairvoyance, banishing negativity, clarity, Confidence, stress relief, energy, Healing, Divination, grounding, centering, scrying, reliability, legal matters.</t>
        </is>
      </c>
      <c r="N25" s="5" t="inlineStr">
        <is>
          <t>When used in healing it is a powerful blood cleanser, purifier.</t>
        </is>
      </c>
      <c r="O25" s="5" t="inlineStr">
        <is>
          <t>*Hematite*  Also known as: Iron Rose.  Mineral composition: Haematite (Fe₂O₃).  Planet: saturn  Element: fire  Energy: saturn  Sacred Day: Saturday.  Deity associations: Aradia.  Sabbat: SAMHAIN, YULE.  Association: Powerful grounding stone used to shield against negative energy and blood health..  Magical uses: Magical use:      It is a very powerful stone of magical energy that contains within it the combined essences of elemental Earth, Fire. It is often used in magic to release a sudden burst of power, Anti-theft, example at the conclusion of a spell. Breaks through any barriers that may be holding you back such as fear, inhibition, guilt, Increasing wealth, Fairy portals, self-doubt. An excellent stone f, abs, bing, grounding negative energy, it can be used to stop poltergeist activity, psychic disturbances. It augments, balances the flow of energy in the body, is believed to be particularly useful when practising astral travel, out of body projection. It can be used to ground high spiritual, magical energies, Negating dreams, visions into physical reality. Creates a powerful connection with the Earth, is a useful stone f, anyone who is becoming 'spaced out' by meditation, magical w, k..  Powers: Concentration, mem, Clairvoyance, banishing negativity, clarity, Confidence, stress relief, energy, Healing, Divination, grounding, centering, scrying, reliability, legal matters..  Spiritual uses: When used in healing it is a powerful blood cleanser, purifier..  Folk lore: .Helps recovery after childbirth or surgery and can be used in magic to make sure the surgeon's knife is swift and accurate. The name Haematite is from the Greek 'Haimatites', meaning 'Stone of Blood' because when it is cut or ground it gives off a red dust that runs like blood when mixed with water. This is iron oxide (rust) and the dry powder is called Red Ochre. It has been used for thousands of years as a pigment for cave painting and also to colour tombs and the bodies of the dead. The blood red colour symbolises life energy and Haematite has long been used in funeral rites to ensure a safe journey to the Underworld and a favourable reincarnation..  Geology &amp; origin: Haematite is the gem form of iron, in the same way that Diamond is the gem form of carbon.</t>
        </is>
      </c>
      <c r="P25" s="4" t="inlineStr">
        <is>
          <t>Patchouli</t>
        </is>
      </c>
      <c r="Q25" s="5" t="inlineStr">
        <is>
          <t>Haematite is the gem form of iron, in the same way that Diamond is the gem form of carbon</t>
        </is>
      </c>
      <c r="R25" s="5" t="inlineStr">
        <is>
          <t>Generally safe for handling. Avoid water immersion as it may rust. Do not use in direct gem elixirs.</t>
        </is>
      </c>
      <c r="S25" t="inlineStr">
        <is>
          <t>Strength, Protection, Magical power, Otherworld travel, Banishing, Physical Strength, Fortitude, Vitality, Inner power, and strength, Protective charm, Protective charms, Protective sachets, Protective wreaths, Protective incense, PROTECT AGAINST NEGATIVITY, Protection from negativity, Circle protection, Increasing magical power, Increasing spell power, Power amplification, Bolstering spells, Bolstering incense, Strengthening spells, Potency, Power, Magic, WISDOM IN MAGICK, defensive magic,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T25" s="42" t="inlineStr">
        <is>
          <t>The Iron Rose — haematite is the gem form of iron, and it carries iron's quality of grounding the otherworldly into the physical. Used to release a sudden burst of power at the conclusion of a spell. Breaks through fear, inhibition and self-doubt. Grounds high spiritual energies and visions into physical reality. Stops poltergeist activity.</t>
        </is>
      </c>
      <c r="U25" t="inlineStr">
        <is>
          <t>None specified — hematite works primarily in grounding and release.</t>
        </is>
      </c>
      <c r="V25" t="inlineStr">
        <is>
          <t>Clarity, confidence, healing and grounding — hematite in any working that needs earthing.</t>
        </is>
      </c>
      <c r="W25" t="inlineStr">
        <is>
          <t>The release of fear, inhibition and banishing of negativity.</t>
        </is>
      </c>
      <c r="X25" t="inlineStr">
        <is>
          <t>Opens the fairy portal and the hidden connection between physical and magical reality — where the two must be bridged.</t>
        </is>
      </c>
      <c r="Y25" t="inlineStr">
        <is>
          <t>Turns through the grounding of visions — where what was only imagined must now be made real.</t>
        </is>
      </c>
      <c r="Z25" t="inlineStr">
        <is>
          <t>The iron stone in its most grounding function in the Over 18 context — where what is being grounded is the high charge of a working that has moved significant energy and must now be earthed before the bearer leaves the space.</t>
        </is>
      </c>
    </row>
    <row r="26" ht="123" customHeight="1" s="56">
      <c r="A26" s="2" t="inlineStr">
        <is>
          <t>Howlite</t>
        </is>
      </c>
      <c r="B26" s="2" t="inlineStr">
        <is>
          <t>Calm Spirit</t>
        </is>
      </c>
      <c r="C26" s="2" t="inlineStr">
        <is>
          <t>Howlite (Ca₂B₅SiO₉(OH)₅)</t>
        </is>
      </c>
      <c r="D26" s="3" t="inlineStr">
        <is>
          <t>Focusing on a piece of Howlite can assist in journeying outside the body, gaining insight from past lives. Placed on the third eye, it opens mem, ies of previous times, lifetimes.                                                                                                                                                                                                                                                                                                                                                                                      Howlite is best known f, it’s strong associations with self-awareness, creativity, improving one’s emotional well being, attitudes. It enhances character building, a sense of decency, encourages the development of desirable personal aspect.  In general, Howlite aids in dispelling anger, resentfulness, selfishness, allows one to look inside the f, answers. It also aids in communicating the negative emotions with a clearer emotional expression, which will always result in calmer ‘confrontations’.</t>
        </is>
      </c>
      <c r="E26" s="3" t="inlineStr">
        <is>
          <t>Used for patience, alleviating insomnia, and softening the temper.</t>
        </is>
      </c>
      <c r="F26" s="2" t="inlineStr">
        <is>
          <t>moon</t>
        </is>
      </c>
      <c r="G26" s="2" t="inlineStr">
        <is>
          <t>earth</t>
        </is>
      </c>
      <c r="H26" s="2" t="inlineStr">
        <is>
          <t>protective</t>
        </is>
      </c>
      <c r="I26" s="2" t="inlineStr">
        <is>
          <t>Monday</t>
        </is>
      </c>
      <c r="J26" s="2" t="inlineStr">
        <is>
          <t>ARTEMIS, DIANA, LUNA, SELENE</t>
        </is>
      </c>
      <c r="K26" s="3" t="inlineStr">
        <is>
          <t>IMBOLC</t>
        </is>
      </c>
      <c r="L26" s="3" t="inlineStr">
        <is>
          <t>It decreases the over critical mind, rudeness and offensive behavior, increasing subtly, decency, and tact. It is also quite helpful for those who tend to procrastinate.</t>
        </is>
      </c>
      <c r="M26" s="3" t="inlineStr">
        <is>
          <t>Stress relief, anxiety, Peace, tension, artistic expression, creativity, eliminating selfishness, purity, spirituality  Patience, Peace &amp; Insomnia.</t>
        </is>
      </c>
      <c r="N26" s="3" t="inlineStr">
        <is>
          <t>It will aid in sleeping, calming the overactive mind, eases insomnia, dreaming, dream retention, stress relief. Physically, it calms the whole body, releases muscle tension. It eliminates pain brought about by stress., is said to aid in healing stress related injuries such as ulcers, heart problems, rashes.</t>
        </is>
      </c>
      <c r="O26" s="3" t="inlineStr">
        <is>
          <t>*Howlite*  Also known as: Calm Spirit.  Mineral composition: Howlite (Ca₂B₅SiO₉(OH)₅).  Planet: moon  Element: earth  Energy: protective  Sacred Day: Monday.  Deity associations: ALL.  Sabbat: IMBOLC.  Association: Used for patience, alleviating insomnia, and softening the temper..  Magical uses: Focusing on a piece of Howlite can assist in journeying outside the body, gaining insight from past lives. Placed on the third eye, it opens mem, ies of previous times, lifetimes.                                                                                                                                                                                                                                                                                                                                                                                      Howlite is best known f, it’s strong associations with self-awareness, creativity, improving one’s emotional well being, attitudes. It enhances character building, a sense of decency, encourages the development of desirable personal aspect.  In general, Howlite aids in dispelling anger, resentfulness, selfishness, allows one to look inside the f, answers. It also aids in communicating the negative emotions with a clearer emotional expression, which will always result in calmer ‘confrontations’..  Powers: Stress relief, anxiety, Peace, tension, artistic expression, creativity, eliminating selfishness, purity, spirituality  Patience, Peace &amp; Insomnia..  Spiritual uses: It will aid in sleeping, calming the overactive mind, eases insomnia, dreaming, dream retention, stress relief. Physically, it calms the whole body, releases muscle tension. It eliminates pain brought about by stress., is said to aid in healing stress related injuries such as ulcers, heart problems, rashes..  Folk lore: It decreases the over critical mind, rudeness and offensive behavior, increasing subtly, decency, and tact. It is also quite helpful for those who tend to procrastinate..  Geology &amp; origin: Howlite is found in it’s original state as large cauliflower-like masses. Originally named for Henry How, a 19th century mineralogist, as he was said to be the first to make this discovery in Nova Scotia..</t>
        </is>
      </c>
      <c r="P26" s="2" t="inlineStr">
        <is>
          <t>Melissa</t>
        </is>
      </c>
      <c r="Q26" s="3" t="inlineStr">
        <is>
          <t>Howlite is found in it’s original state as large cauliflower-like masses. Originally named for Henry How, a 19th century mineralogist, as he was said to be the first to make this discovery in Nova Scotia.</t>
        </is>
      </c>
      <c r="R26" s="3" t="inlineStr">
        <is>
          <t>Generally safe for handling and use.</t>
        </is>
      </c>
      <c r="S26" t="inlineStr">
        <is>
          <t>Clairvoyance, Wisdom, Healing, Harmony,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T26" s="42" t="inlineStr">
        <is>
          <t>The Calm Spirit — howlite found in its original state in evaporite deposits, white with grey veining. Used to focus on past lives and gain insight from them, placed on the third eye for memory of previous times. Primarily associated with self-awareness, creativity and emotional well-being. Aids in dispelling anger and allows the self to look inward for answers.</t>
        </is>
      </c>
      <c r="U26" t="inlineStr">
        <is>
          <t>Peace and insomnia relief drawn through howlite's calming white energy.</t>
        </is>
      </c>
      <c r="V26" t="inlineStr">
        <is>
          <t>The encouragement of desirable personal qualities and the development of character.</t>
        </is>
      </c>
      <c r="W26" t="inlineStr">
        <is>
          <t>The dispelling of anger and resentfulness — howlite's primary releasing function.</t>
        </is>
      </c>
      <c r="X26" t="inlineStr">
        <is>
          <t>Opens past life insight and the deeper self-knowledge that comes from looking back.</t>
        </is>
      </c>
      <c r="Y26" t="inlineStr">
        <is>
          <t>Turns through the movement from anger into honest emotional expression — the confrontation that becomes a conversation.</t>
        </is>
      </c>
      <c r="Z26" t="inlineStr">
        <is>
          <t>The calm spirit stone in its most searching past-life function — where the working is a genuine exploration of what previous lifetimes are contributing to patterns in this one, howlite on the third eye opens that inquiry with honesty.</t>
        </is>
      </c>
    </row>
    <row r="27" ht="98.25" customHeight="1" s="56">
      <c r="A27" s="4" t="inlineStr">
        <is>
          <t>Iolite</t>
        </is>
      </c>
      <c r="B27" s="4" t="inlineStr">
        <is>
          <t>Viking Compass</t>
        </is>
      </c>
      <c r="C27" s="4" t="inlineStr">
        <is>
          <t>Cordierite (Mg₂Al₄Si₅O₁₈)</t>
        </is>
      </c>
      <c r="D27" s="5" t="inlineStr">
        <is>
          <t>Iolite is the stone of Witchcraft. Enhances all magical powers when w, Amulets/talismans, if you keep a piece with you then over time it will subtly increase your occult powers, psychic sensitivity. Improves visualisation skills, creativity.Sacred to the Mother Goddess. Increases your appreciation of feminine power, Magical power, spirituality, helps you to draw that power into your own life. A protective, nurturing stone that will help you to recognise your own unique talents, develop them in ways that will better your life.</t>
        </is>
      </c>
      <c r="E27" s="5" t="inlineStr">
        <is>
          <t>Used by sailors for navigation; aids in intuition and inner vision.</t>
        </is>
      </c>
      <c r="F27" s="4" t="inlineStr">
        <is>
          <t>jupiter</t>
        </is>
      </c>
      <c r="G27" s="4" t="inlineStr">
        <is>
          <t>water</t>
        </is>
      </c>
      <c r="H27" s="4" t="inlineStr">
        <is>
          <t>receptive</t>
        </is>
      </c>
      <c r="I27" s="4" t="inlineStr">
        <is>
          <t>Thursday</t>
        </is>
      </c>
      <c r="J27" s="4" t="inlineStr">
        <is>
          <t>ZEUS, JUPITER, THOR, ODIN</t>
        </is>
      </c>
      <c r="K27" s="5" t="inlineStr">
        <is>
          <t>MABON</t>
        </is>
      </c>
      <c r="L27" s="5" t="inlineStr">
        <is>
          <t xml:space="preserve">Legend tells us that when Leif Eriksson and the other legendary Viking explorers ventured far out into the Atlantic Ocean, moving away from any coastline that could help them determine their position, they had a secret gem weapon: Iolite. It is told that the Viking mariners used very thin pieces of iolite as some of the world’s first polarizing filter. Looking through an iolite lens, they were able to determine the exact position of the sun, and to navigate safely to the new lands and back. </t>
        </is>
      </c>
      <c r="M27" s="5" t="inlineStr">
        <is>
          <t>Truth, Peace, psychic ability, curiosity, spiritual growth, leadership.</t>
        </is>
      </c>
      <c r="N27" s="5" t="inlineStr">
        <is>
          <t>Aids your concentration, focus, dedication to learning, helps to ensure that all your newly found knowledge stays in your head, leads to increased wisdom.</t>
        </is>
      </c>
      <c r="O27" s="5" t="inlineStr">
        <is>
          <t>*Iolite*  Also known as: Viking Compass.  Mineral composition: Cordierite (Mg₂Al₄Si₅O₁₈).  Planet: jupiter  Element: water  Energy: receptive  Sacred Day: Thursday.  Deity associations: mother goddess, jupiter.  Sabbat: MABON.  Association: Used by sailors for navigation; aids in intuition and inner vision..  Magical uses: Iolite is the stone of Witchcraft. Enhances all magical powers when w, Amulets/talismans, if you keep a piece with you then over time it will subtly increase your occult powers, psychic sensitivity. Improves visualisation skills, creativity.Sacred to the Mother Goddess. Increases your appreciation of feminine power, Magical power, spirituality, helps you to draw that power into your own life. A protective, nurturing stone that will help you to recognise your own unique talents, develop them in ways that will better your life..  Powers: Truth, Peace, psychic ability, curiosity, spiritual growth, leadership..  Spiritual uses: Aids your concentration, focus, dedication to learning, helps to ensure that all your newly found knowledge stays in your head, leads to increased wisdom..  Folk lore: Legend tells us that when Leif Eriksson and the other legendary Viking explorers ventured far out into the Atlantic Ocean, moving away from any coastline that could help them determine their position, they had a secret gem weapon: Iolite. It is told that the Viking mariners used very thin pieces of iolite as some of the world’s first polarizing filter. Looking through an iolite lens, they were able to determine the exact position of the sun, and to navigate safely to the new lands and back..  Geology &amp; origin: Also known as Cordierite and Water Sapphire it is a transparent, pale blue purple stone.Iolite is a lovely violet/blue color and is also referred to as Cordierite, Dichroite, and Indialite. It is dichroic, meaning that it appears full of color in one direction and completely colorless in another..</t>
        </is>
      </c>
      <c r="P27" s="4" t="inlineStr">
        <is>
          <t>Honeysuckle</t>
        </is>
      </c>
      <c r="Q27" s="5" t="inlineStr">
        <is>
          <t>Also known as Cordierite and Water Sapphire it is a transparent, pale blue purple stone.Iolite is a lovely violet/blue color and is also referred to as Cordierite, Dichroite, and Indialite. It is dichroic, meaning that it appears full of color in one direction and completely colorless in another.</t>
        </is>
      </c>
      <c r="R27" s="5" t="inlineStr">
        <is>
          <t>Generally safe for handling and use.</t>
        </is>
      </c>
      <c r="S27" t="inlineStr">
        <is>
          <t>Magical power, Clairvoyance, Protection, Strength, Wisdom, Increasing magical power, Increasing spell power, Power amplification, Bolstering spells, Bolstering incense, Strengthening spells, Potency, Power, Magic, WISDOM IN MAGICK, defensive magic, Enhancing clairvoyance, Psychic development, Psychic powers, INCREASE PSYCHIC ABILITIES, Psychic awareness, Stimulating psychic senses, Disabling psychic phenomena, Psychic communication, communication and psychic abilities, Protective charm, Protective charms, Protective sachets, Protective wreaths, Protective incense, PROTECT AGAINST NEGATIVITY, Protection from negativity, Circle protection, Physical Strength, Fortitude, Vitality, Inner power, and strength, Knowledge, Intelligence, Intuition, Mental clarity, Sharpening the wits, Sharpening the brain, Mental powers, MEM, Memory, Concentration, Focus, Illumination, Enlightenment</t>
        </is>
      </c>
      <c r="T27" s="42" t="inlineStr">
        <is>
          <t>The Viking Compass — the stone navigators used to find the sun on overcast days by its polarising effect on light. Iolite is the stone of Witchcraft itself, enhancing all magical powers and subtly increasing occult ability over time. Sacred to the Mother Goddess, increases appreciation of feminine power. A protective nurturing stone that helps the bearer recognise unique talents.</t>
        </is>
      </c>
      <c r="U27" t="inlineStr">
        <is>
          <t>Peace and spiritual growth drawn through iolite's deep water energy.</t>
        </is>
      </c>
      <c r="V27" t="inlineStr">
        <is>
          <t>Magical power, psychic ability and truth — the stone held in any working where magical power must be sustained.</t>
        </is>
      </c>
      <c r="W27" t="inlineStr">
        <is>
          <t>None specified.</t>
        </is>
      </c>
      <c r="X27" t="inlineStr">
        <is>
          <t>Opens psychic sensitivity and the spiritual path — where what has been latent in the psychic self must now be developed.</t>
        </is>
      </c>
      <c r="Y27" t="inlineStr">
        <is>
          <t>Turns through the recognition of unique talents and the courage to develop them — where the gift must now be used.</t>
        </is>
      </c>
      <c r="Z27" t="inlineStr">
        <is>
          <t>The Witchcraft stone in its most complete Over 18 function — where the magical powers being developed include what the body knows as part of the practice, iolite supports the recognition that the physical and the magical are not separate.</t>
        </is>
      </c>
    </row>
    <row r="28" ht="86.25" customHeight="1" s="56">
      <c r="A28" s="2" t="inlineStr">
        <is>
          <t>Jade (jadeite)</t>
        </is>
      </c>
      <c r="B28" s="2" t="inlineStr">
        <is>
          <t>Stone of Heaven</t>
        </is>
      </c>
      <c r="C28" s="2" t="inlineStr">
        <is>
          <t>Jadeite or Nephrite</t>
        </is>
      </c>
      <c r="D28" s="3"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E28" s="3" t="inlineStr">
        <is>
          <t>Symbol of purity, wisdom, and protection in Chinese culture.</t>
        </is>
      </c>
      <c r="F28" s="2" t="inlineStr">
        <is>
          <t>venus</t>
        </is>
      </c>
      <c r="G28" s="2" t="inlineStr">
        <is>
          <t>water</t>
        </is>
      </c>
      <c r="H28" s="2" t="inlineStr">
        <is>
          <t>receptive</t>
        </is>
      </c>
      <c r="I28" s="2" t="inlineStr">
        <is>
          <t>Friday</t>
        </is>
      </c>
      <c r="J28" s="2" t="inlineStr">
        <is>
          <t>APHRODITE, VENUS, FREYJA, HATHOR</t>
        </is>
      </c>
      <c r="K28" s="3" t="inlineStr">
        <is>
          <t>OSTARA, BELTANE</t>
        </is>
      </c>
      <c r="L28" s="3" t="inlineStr">
        <is>
          <t>Jade is used to create musucal instruments such as; xylophones, gongs and windchimes. They were used in China, Africa and by the hopi Indians. It is believed ti have power over the weather.</t>
        </is>
      </c>
      <c r="M28" s="3" t="inlineStr">
        <is>
          <t>Concentration, unconditional love, concentration, Fidelity, Harmony, Healing, justice, Protection, Luck, beauty, energy, stress relief, perspective, wisdom, growth.</t>
        </is>
      </c>
      <c r="N28" s="3" t="inlineStr">
        <is>
          <t>Can be used to help you make the most of a period of study, to give you the confidence to express your knowledge clearly, keep your audience's attention. In physical healing Jade is reputed to be excellent f, kidney problems, also helps the heart, larynx, liver, spleen, thymus, thyroid, nervous system. It is believed to strengthen the body, immune system, giving good health, longevity.</t>
        </is>
      </c>
      <c r="O28" s="3" t="inlineStr">
        <is>
          <t>*Jade (jadeite)*  Also known as: Stone of Heaven.  Mineral composition: Jadeite or Nephrite.  Planet: venus  Element: water  Energy: receptive  Sacred Day: Friday.  Deity associations: Maat, Kwan-Yin and Buddha.  Sabbat: OSTARA, BELTANE.  Association: Symbol of purity, wisdom, and protection in Chinese culture..  Magical uses: 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  Powers: Concentration, unconditional love, concentration, Fidelity, Harmony, Healing, justice, Protection, Luck, beauty, energy, stress relief, perspective, wisdom, growth..  Spiritual uses: Can be used to help you make the most of a period of study, to give you the confidence to express your knowledge clearly, keep your audience's attention. In physical healing Jade is reputed to be excellent f, kidney problems, also helps the heart, larynx, liver, spleen, thymus, thyroid, nervous system. It is believed to strengthen the body, immune system, giving good health, longevity..  Folk lore: Jade is used to create musucal instruments such as; xylophones, gongs and windchimes. They were used in China, Africa and by the hopi Indians. It is believed ti have power over the weather..  Geology &amp; origin: Jeeite is one of the two minerals called Jade, the other mineral is nephrite.</t>
        </is>
      </c>
      <c r="P28" s="2" t="inlineStr">
        <is>
          <t>Ylang Ylang</t>
        </is>
      </c>
      <c r="Q28" s="3" t="inlineStr">
        <is>
          <t>Jeeite is one of the two minerals called Jade, the other mineral is nephrite</t>
        </is>
      </c>
      <c r="R28" s="3" t="inlineStr">
        <is>
          <t>Generally safe for handling and use.</t>
        </is>
      </c>
      <c r="S28" t="inlineStr">
        <is>
          <t>Prosperity, Increasing wealth, Luck, Healing, Wisdom, Protection,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Healing magic, Healing spells, Healing sachets, Healing incenses, Healing mixtures, Healing rituals, Healing incense, Healing vibrations, healing after surgery, Aiding recovery, Aiding the ill, Improving health, Speeding recovery, Good health, health, Knowledge, Intelligence, Intuition, Mental clarity, Sharpening the wits, Sharpening the brain, Mental powers, MEM, Memory, Concentration, Focus, Illumination, Enlightenment, Protective charm, Protective charms, Protective sachets, Protective wreaths, Protective incense, PROTECT AGAINST NEGATIVITY, Protection from negativity, Circle protection</t>
        </is>
      </c>
      <c r="T28" s="42" t="inlineStr">
        <is>
          <t>The Stone of Heaven — jade held daily is said to increase wealth. The stone of prosperity, carried in charm bags to draw material wealth and increase personal power. Boosts courage, brings good fortune, protects from misfortune and accidents. Helps break unwanted links with people and places that have been outgrown.</t>
        </is>
      </c>
      <c r="U28" t="inlineStr">
        <is>
          <t>Prosperity, attracting good spirits, fidelity, harmony, luck and beauty drawn through jade's deep earth energy.</t>
        </is>
      </c>
      <c r="V28" t="inlineStr">
        <is>
          <t>Healing, protection and wisdom — jade in the healing and protective traditions.</t>
        </is>
      </c>
      <c r="W28" t="inlineStr">
        <is>
          <t>The breaking of unwanted links with people and places — where connection must be released.</t>
        </is>
      </c>
      <c r="X28" t="inlineStr">
        <is>
          <t>Opens the deeper current of prosperity — where what has been blocking abundance must be seen and the link broken.</t>
        </is>
      </c>
      <c r="Y28" t="inlineStr">
        <is>
          <t>Turns through the courage to break what was binding — the old connection released, the new space opened.</t>
        </is>
      </c>
      <c r="Z28" t="inlineStr">
        <is>
          <t>The Stone of Heaven in its most complete prosperity function — where the working is about breaking the link with what has been outgrown — people, places, limiting stories about what is possible — jade supports that breaking with clear authority.</t>
        </is>
      </c>
    </row>
    <row r="29" ht="171.75" customHeight="1" s="56">
      <c r="A29" s="4" t="inlineStr">
        <is>
          <t>Jet</t>
        </is>
      </c>
      <c r="B29" s="4" t="inlineStr">
        <is>
          <t>Witch's Amber</t>
        </is>
      </c>
      <c r="C29" s="4" t="inlineStr">
        <is>
          <t>Jet (fossilised wood/lignite)</t>
        </is>
      </c>
      <c r="D29" s="5" t="inlineStr">
        <is>
          <t>Represents the power of the Goddess, the mystery of the night in which the silver Moon is Queen. Can be polished to a high sheen with brass polish (, a bit of elbow grease!), flat pieces of Jet make excellent magic mirr, s that can be used in scrying, divination to gain Underw, ld knowledge. Wear it in honour of the Mighty Dead, to speak with Underw, ld deities. Helpful f, those who find it hard to make firm decisions. Increases shamanic powers, especially the power to travel between planes. Acc, ding to an early writer Jet has eight virtues – it protects from st, Negating dreams, lightning, prevents poisoning, defends against s, cery, banishes demons from any home in which it is kept, an elixir given to one possessed by the ‘hateful fiend’ will reveal this, release them, a potion of it will rest, e health, the same potion rest, es a ‘smooth body’, whosoever takes the potion is immune to snakebite. Sacred to Cybele, the Mother goddess of Greek, Rome ~ hold a piece of Jet in your h, Amulets/talismans, you can ask her f, a favour.I</t>
        </is>
      </c>
      <c r="E29" s="5" t="inlineStr">
        <is>
          <t>Strong protective stone used against the 'evil eye' and for mourning rituals.</t>
        </is>
      </c>
      <c r="F29" s="4" t="inlineStr">
        <is>
          <t>saturn, moon</t>
        </is>
      </c>
      <c r="G29" s="4" t="inlineStr">
        <is>
          <t>earth, akasha</t>
        </is>
      </c>
      <c r="H29" s="4" t="inlineStr">
        <is>
          <t>receptive</t>
        </is>
      </c>
      <c r="I29" s="4" t="inlineStr">
        <is>
          <t>Monday</t>
        </is>
      </c>
      <c r="J29" s="4" t="inlineStr">
        <is>
          <t>ARTEMIS, DIANA, LUNA, SELENE</t>
        </is>
      </c>
      <c r="K29" s="5" t="inlineStr">
        <is>
          <t>IMBOLC, YULE</t>
        </is>
      </c>
      <c r="L29" s="5" t="inlineStr">
        <is>
          <t xml:space="preserve"> Jet was popular in Victorian times as a stone of mourning.  Jet is common in prehistoric burials and is associated with powerful women, Queens and Priestesses.   </t>
        </is>
      </c>
      <c r="M29" s="5" t="inlineStr">
        <is>
          <t>Purification, psychic protection, virility, control, Luck, Healing, Divination, protection from illness &amp; violence, guarding against nightmares.</t>
        </is>
      </c>
      <c r="N29" s="5" t="inlineStr">
        <is>
          <t>Ancient greek w, shipers of Cybele w, s jet to obtain her favours. Modern day gardeners also wear jet ti make thieir plants fl, ish.</t>
        </is>
      </c>
      <c r="O29" s="5" t="inlineStr">
        <is>
          <t>*Jet*  Also known as: Witch's Amber.  Mineral composition: Jet (fossilised wood/lignite).  Planet: saturn, moon  Element: earth, akasha  Energy: receptive  Sacred Day: Monday.  Deity associations: Cebele.  Sabbat: IMBOLC, YULE.  Association: Strong protective stone used against the 'evil eye' and for mourning rituals..  Magical uses: Represents the power of the Goddess, the mystery of the night in which the silver Moon is Queen. Can be polished to a high sheen with brass polish (, a bit of elbow grease!), flat pieces of Jet make excellent magic mirr, s that can be used in scrying, divination to gain Underw, ld knowledge. Wear it in honour of the Mighty Dead, to speak with Underw, ld deities. Helpful f, those who find it hard to make firm decisions. Increases shamanic powers, especially the power to travel between planes. Acc, ding to an early writer Jet has eight virtues – it protects from st, Negating dreams, lightning, prevents poisoning, defends against s, cery, banishes demons from any home in which it is kept, an elixir given to one possessed by the ‘hateful fiend’ will reveal this, release them, a potion of it will rest, e health, the same potion rest, es a ‘smooth body’, whosoever takes the potion is immune to snakebite. Sacred to Cybele, the Mother goddess of Greek, Rome ~ hold a piece of Jet in your h, Amulets/talismans, you can ask her f, a favour.I.  Powers: Purification, psychic protection, virility, control, Luck, Healing, Divination, protection from illness &amp; violence, guarding against nightmares..  Spiritual uses: Ancient greek w, shipers of Cybele w, s jet to obtain her favours. Modern day gardeners also wear jet ti make thieir plants fl, ish..  Folk lore: Jet was popular in Victorian times as a stone of mourning.  Jet is common in prehistoric burials and is associated with powerful women, Queens and Priestesses..  Geology &amp; origin: It is a fossilised organic substance very similar to coal and in fact Jet and coal are created from the same materials in the same way. The best way to tell if you have found Jet is to use it to draw a line on hard stone. If you draw a light brown line you have Jet and if you draw a black line then you have found coal..</t>
        </is>
      </c>
      <c r="P29" s="4" t="inlineStr">
        <is>
          <t>Patchouli</t>
        </is>
      </c>
      <c r="Q29" s="5" t="inlineStr">
        <is>
          <t xml:space="preserve">It is a fossilised organic substance very similar to coal and in fact Jet and coal are created from the same materials in the same way. The best way to tell if you have found Jet is to use it to draw a line on hard stone. If you draw a light brown line you have Jet and if you draw a black line then you have found coal. </t>
        </is>
      </c>
      <c r="R29" s="5" t="inlineStr">
        <is>
          <t>Generally safe for handling. A form of fossilised wood — avoid strong chemicals.</t>
        </is>
      </c>
      <c r="S29" t="inlineStr">
        <is>
          <t>Divination, Clairvoyance, Otherworld travel, Samhain/ancestral altars, Protection,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Protective charm, Protective charms, Protective sachets, Protective wreaths, Protective incense, PROTECT AGAINST NEGATIVITY, Protection from negativity, Circle protection</t>
        </is>
      </c>
      <c r="T29" s="42" t="inlineStr">
        <is>
          <t>The Witch's Amber — fossilised organic matter, very like coal, polished to a high sheen that makes excellent scrying mirrors. Represents the power of the Goddess and the mystery of the night where the Moon is Queen. Wear it to honour the Mighty Dead, to speak with Underworld deities. Eight virtues recorded in the early sources: protects from storm, lightning, prevents poisoning, defends against sorcery, banishes demons.</t>
        </is>
      </c>
      <c r="U29" t="inlineStr">
        <is>
          <t>Luck drawn through jet's protective black depth.</t>
        </is>
      </c>
      <c r="V29" t="inlineStr">
        <is>
          <t>Psychic protection, healing and protection from illness and violence — jet's comprehensive holding energy.</t>
        </is>
      </c>
      <c r="W29" t="inlineStr">
        <is>
          <t>The banishing of demons and purification of space.</t>
        </is>
      </c>
      <c r="X29" t="inlineStr">
        <is>
          <t>Opens the scrying mirror — jet used in divination to gain Underworld knowledge.</t>
        </is>
      </c>
      <c r="Y29" t="inlineStr">
        <is>
          <t>Turns through the shamanic journey between planes — the increase of shamanic powers, the safe passage between worlds.</t>
        </is>
      </c>
      <c r="Z29" t="inlineStr">
        <is>
          <t>The Witch's Amber in its most complete necromantic function — where the working requires genuine communication with the Underworld deities through the jet's known capacity as a mirror for what the night knows, jet is the stone that holds the darkness clearly.</t>
        </is>
      </c>
    </row>
    <row r="30" ht="98.25" customHeight="1" s="56">
      <c r="A30" s="2" t="inlineStr">
        <is>
          <t>Kyanite</t>
        </is>
      </c>
      <c r="B30" s="2" t="inlineStr">
        <is>
          <t>Wands of Alignment</t>
        </is>
      </c>
      <c r="C30" s="2" t="inlineStr">
        <is>
          <t>Kyanite (Al₂SiO₅)</t>
        </is>
      </c>
      <c r="D30" s="3" t="inlineStr">
        <is>
          <t>The crystals can be used f, emotional healing, to strengthen your resolve, self confidence. Helps you to recognise your own strengths, talents, make the most of them. Can be used to develop charisma, the ability to hold people’s attention, speak without fear. A useful stone f, anyone suffering from shyness, Anti-theft, people who feel ‘invisible’ in life, wants to make m, e of an impact on society. When used in meditation it grants visions into past lives. Magically the blade can be used like a knife to symbolically cut away the emotional ties that link you to people, places you have outgrown.</t>
        </is>
      </c>
      <c r="E30" s="3" t="inlineStr">
        <is>
          <t>Used to align chakras and bridge the communication between realms.</t>
        </is>
      </c>
      <c r="F30" s="2" t="inlineStr">
        <is>
          <t>jupiter</t>
        </is>
      </c>
      <c r="G30" s="2" t="inlineStr">
        <is>
          <t>water</t>
        </is>
      </c>
      <c r="H30" s="2" t="inlineStr">
        <is>
          <t>receptive</t>
        </is>
      </c>
      <c r="I30" s="2" t="inlineStr">
        <is>
          <t>Thursday</t>
        </is>
      </c>
      <c r="J30" s="2" t="inlineStr">
        <is>
          <t>ALL</t>
        </is>
      </c>
      <c r="K30" s="3" t="inlineStr">
        <is>
          <t>MABON</t>
        </is>
      </c>
      <c r="L30" s="3" t="inlineStr">
        <is>
          <t>Kyanite is said to be used to embrace universal love fully in all it’s aspects. It assists in fostering the right frame of mind to prepare for meditation.</t>
        </is>
      </c>
      <c r="M30" s="3" t="inlineStr">
        <is>
          <t>Creativity, commitment, loyalty, meditation, communication, Cleansing, Negating dreams, Truth</t>
        </is>
      </c>
      <c r="N30" s="3" t="inlineStr">
        <is>
          <t>Kyanite is known to have several uses in Chakra balancing. It is said that the dark blue shade of Kyanite will automatically, immediately align all chakras without one making a conscious decision, direction to do so.</t>
        </is>
      </c>
      <c r="O30" s="3" t="inlineStr">
        <is>
          <t>*Kyanite*  Also known as: Wands of Alignment.  Mineral composition: Kyanite (Al₂SiO₅).  Planet: jupiter  Element: water  Energy: receptive  Sacred Day: Thursday.  Deity associations: Sophia.  Sabbat: MABON.  Association: Used to align chakras and bridge the communication between realms..  Magical uses: The crystals can be used f, emotional healing, to strengthen your resolve, self confidence. Helps you to recognise your own strengths, talents, make the most of them. Can be used to develop charisma, the ability to hold people’s attention, speak without fear. A useful stone f, anyone suffering from shyness, Anti-theft, people who feel ‘invisible’ in life, wants to make m, e of an impact on society. When used in meditation it grants visions into past lives. Magically the blade can be used like a knife to symbolically cut away the emotional ties that link you to people, places you have outgrown..  Powers: Creativity, commitment, loyalty, meditation, communication, Cleansing, Negating dreams, Truth.  Spiritual uses: Kyanite is known to have several uses in Chakra balancing. It is said that the dark blue shade of Kyanite will automatically, immediately align all chakras without one making a conscious decision, direction to do so..  Folk lore: Kyanite is said to be used to embrace universal love fully in all it’s aspects. It assists in fostering the right frame of mind to prepare for meditation..  Geology &amp; origin: Kyanite is a wonderfully rare polymorph that actually displays two separate hardness within one gemstone, they may be softer parallel to the direction of the cleavage and harder to the perpendicular. This is a unique characteristic within the gem world..</t>
        </is>
      </c>
      <c r="P30" s="2" t="inlineStr">
        <is>
          <t>Honeysuckle</t>
        </is>
      </c>
      <c r="Q30" s="3" t="inlineStr">
        <is>
          <t>Kyanite is a wonderfully rare polymorph that actually displays two separate hardness within one gemstone, they may be softer parallel to the direction of the cleavage and harder to the perpendicular. This is a unique characteristic within the gem world.</t>
        </is>
      </c>
      <c r="R30" s="3" t="inlineStr">
        <is>
          <t>Generally safe for handling. Fragile along cleavage planes — handle with care.</t>
        </is>
      </c>
      <c r="S30" t="inlineStr">
        <is>
          <t>Healing, Confidence, Wisdom, Clairvoyance, Healing magic, Healing spells, Healing sachets, Healing incenses, Healing mixtures, Healing rituals, Healing incense, Healing vibrations, healing after surgery, Aiding recovery, Aiding the ill, Improving health, Speeding recovery, Good health, health, Self-confidence, Courage, Bravery, Determination, Will Power, Leadership, Leadership skills, Commanding, Personal power,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t>
        </is>
      </c>
      <c r="T30" s="42" t="inlineStr">
        <is>
          <t>The Wand of Alignment — a wonderfully rare polymorph found in blue blade crystals. Used like a knife to cut away emotional ties to people and places that have been outgrown. Develops charisma and the ability to speak without fear. Grants visions into past lives during meditation. For the shy, the invisible, the overlooked — this stone helps them make an impact.</t>
        </is>
      </c>
      <c r="U30" t="inlineStr">
        <is>
          <t>None specified — kyanite works primarily in clearing, aligning and revealing.</t>
        </is>
      </c>
      <c r="V30" t="inlineStr">
        <is>
          <t>Emotional healing, self-confidence and truth — kyanite in the work of building genuine inner authority.</t>
        </is>
      </c>
      <c r="W30" t="inlineStr">
        <is>
          <t>The cutting away of emotional ties — kyanite's most distinctive magical function.</t>
        </is>
      </c>
      <c r="X30" t="inlineStr">
        <is>
          <t>Opens past life vision and the recognition of one's own strengths — where the hidden talents must surface.</t>
        </is>
      </c>
      <c r="Y30" t="inlineStr">
        <is>
          <t>Turns through the strengthening of resolve and the cutting of what was binding — the blade of alignment.</t>
        </is>
      </c>
      <c r="Z30" t="inlineStr">
        <is>
          <t>The wand of alignment in its most complete emotional-cutting function — where the ties being cut are not symbolic but genuinely binding at the level of what the nervous system holds, kyanite does the work that conventional means cannot reach.</t>
        </is>
      </c>
    </row>
    <row r="31" ht="159.75" customHeight="1" s="56">
      <c r="A31" s="4" t="inlineStr">
        <is>
          <t>Labradorite</t>
        </is>
      </c>
      <c r="B31" s="4" t="inlineStr">
        <is>
          <t>Stone of Magic</t>
        </is>
      </c>
      <c r="C31" s="4" t="inlineStr">
        <is>
          <t>Labradorite (NaAlSi₃O₈–CaAl₂Si₂O₈)</t>
        </is>
      </c>
      <c r="D31" s="5" t="inlineStr">
        <is>
          <t>Earth magick, faith, patience, imagination, introspection, Strength, sleep, Protection, stress relief, Peace, Divination, strengthening convictions, Confidence, facilitating transf, mation.                                                                                                                                                                                                                                                                                                                                                                         Magical use:   The perfect stone f, any practising magic user. Frees the power of imagination, releases inhibitions, false modesty, increases belief in your self, your unique, magical abilities. Helpful to anyone seeking a spiritual ally, a familiar as it can be used to open channels of communication with spiritual beings, invite them to be present in your life. Encourages, assists those who are searching f, wisdom, can help you find magical knowledge in the most unlikely of places. There is also a very rare f, m of golden Labrad, ite which has a clear ‘Topaz’colour. Known as ‘Sun after St, m’ it brings deliverance from oppression, helps relieve the effects of stress, especially after a long, arduous time of troubles.</t>
        </is>
      </c>
      <c r="E31" s="5" t="inlineStr">
        <is>
          <t>Associated with the Aurora Borealis; used for protection and opening psychic gifts.</t>
        </is>
      </c>
      <c r="F31" s="4" t="inlineStr">
        <is>
          <t>earth</t>
        </is>
      </c>
      <c r="G31" s="4" t="inlineStr">
        <is>
          <t>water</t>
        </is>
      </c>
      <c r="H31" s="4" t="inlineStr">
        <is>
          <t>protective</t>
        </is>
      </c>
      <c r="I31" s="4" t="inlineStr">
        <is>
          <t>Saturday</t>
        </is>
      </c>
      <c r="J31" s="4" t="inlineStr">
        <is>
          <t>GAIA, NERTHUS, CERES</t>
        </is>
      </c>
      <c r="K31" s="5" t="inlineStr">
        <is>
          <t>MABON</t>
        </is>
      </c>
      <c r="L31" s="5" t="inlineStr">
        <is>
          <t>As legend tells us, Labradorite originates from Canada, discovered in 1770 on St. Paul Island in Labrador. During an archaeological dig for artifacts of the “Red Painted People” of Maine, pieces of this stone were found as well.</t>
        </is>
      </c>
      <c r="M31" s="5" t="inlineStr">
        <is>
          <t>Earth magick, faith, patience, imagination, introspection, Strength, sleep, Protection, stress relief, Peace, Divination, strengthening convictions, Confidence, facilitating transf, mation</t>
        </is>
      </c>
      <c r="N31" s="5" t="inlineStr">
        <is>
          <t>Told to provide quick relief from anxiety, depression, hopelessness, replacing them with self-confidence, enthusiasm, inspiration. When one is experiencing times of conflict, change, Labrad, ite is said to offer perseverance, Strength, enhanced inner intuition to assist in that time of disruption. Said to dispel negative thoughts, energies, bringing instead enhanced clarity of thought f, a clearer underst, Attracting good spirits, as well as improving one’s ability to cooperate in harmony with others.</t>
        </is>
      </c>
      <c r="O31" s="5" t="inlineStr">
        <is>
          <t>*Labradorite*  Also known as: Stone of Magic.  Mineral composition: Labradorite (NaAlSi₃O₈–CaAl₂Si₂O₈).  Planet: earth  Element: water  Energy: protective  Sacred Day: Saturday.  Deity associations: Arianrhod.  Sabbat: MABON.  Association: Associated with the Aurora Borealis; used for protection and opening psychic gifts..  Magical uses: Earth magick, faith, patience, imagination, introspection, Strength, sleep, Protection, stress relief, Peace, Divination, strengthening convictions, Confidence, facilitating transf, mation.                                                                                                                                                                                                                                                                                                                                                                         Magical use:   The perfect stone f, any practising magic user. Frees the power of imagination, releases inhibitions, false modesty, increases belief in your self, your unique, magical abilities. Helpful to anyone seeking a spiritual ally, a familiar as it can be used to open channels of communication with spiritual beings, invite them to be present in your life. Encourages, assists those who are searching f, wisdom, can help you find magical knowledge in the most unlikely of places. There is also a very rare f, m of golden Labrad, ite which has a clear ‘Topaz’colour. Known as ‘Sun after St, m’ it brings deliverance from oppression, helps relieve the effects of stress, especially after a long, arduous time of troubles..  Powers: Earth magick, faith, patience, imagination, introspection, Strength, sleep, Protection, stress relief, Peace, Divination, strengthening convictions, Confidence, facilitating transf, mation.  Spiritual uses: Told to provide quick relief from anxiety, depression, hopelessness, replacing them with self-confidence, enthusiasm, inspiration. When one is experiencing times of conflict, change, Labrad, ite is said to offer perseverance, Strength, enhanced inner intuition to assist in that time of disruption. Said to dispel negative thoughts, energies, bringing instead enhanced clarity of thought f, a clearer underst, Attracting good spirits, as well as improving one’s ability to cooperate in harmony with others..  Folk lore: As legend tells us, Labradorite originates from Canada, discovered in 1770 on St. Paul Island in Labrador. During an archaeological dig for artifacts of the “Red Painted People” of Maine, pieces of this stone were found as well..  Geology &amp; origin: Labradorite is a type of translucent feldspar which displays strong iridescence when viewed from different angles, Finnish Spectrolite exhibits vivid colors of bright aqua, golden yellow, peacock blue, reddish orange, greens, and browns..</t>
        </is>
      </c>
      <c r="P31" s="4" t="inlineStr">
        <is>
          <t>Rosemary</t>
        </is>
      </c>
      <c r="Q31" s="5" t="inlineStr">
        <is>
          <t>Labradorite is a type of translucent feldspar which displays strong iridescence when viewed from different angles, Finnish Spectrolite exhibits vivid colors of bright aqua, golden yellow, peacock blue, reddish orange, greens, and browns.</t>
        </is>
      </c>
      <c r="R31" s="5" t="inlineStr">
        <is>
          <t>Generally safe for handling and use.</t>
        </is>
      </c>
      <c r="S31" t="inlineStr">
        <is>
          <t>Magical power, Clairvoyance, Wisdom, Protection, Strength, Increasing magical power, Increasing spell power, Power amplification, Bolstering spells, Bolstering incense, Strengthening spells, Potency, Power, Magic, WISDOM IN MAGICK, defensive magic,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Protective charm, Protective charms, Protective sachets, Protective wreaths, Protective incense, PROTECT AGAINST NEGATIVITY, Protection from negativity, Circle protection, Physical Strength, Fortitude, Vitality, Inner power, and strength</t>
        </is>
      </c>
      <c r="T31" s="42" t="inlineStr">
        <is>
          <t>The Stone of Magic — a translucent feldspar with its characteristic labradorescence, the shifting blue-green light that looks like trapped northern lights. Frees the power of imagination, releases inhibitions and false modesty, opens channels of communication with spiritual beings. Used by those seeking wisdom — it finds magical knowledge in unlikely places. Rare golden Labradorite known as Sun after Storm.</t>
        </is>
      </c>
      <c r="U31" t="inlineStr">
        <is>
          <t>Peace drawn through labradorite's dreaming light.</t>
        </is>
      </c>
      <c r="V31" t="inlineStr">
        <is>
          <t>Strength, protection, confidence — labradorite in any working where the magical will must be fortified.</t>
        </is>
      </c>
      <c r="W31" t="inlineStr">
        <is>
          <t>The releasing of inhibitions and false modesty — the stone that removes what was limiting.</t>
        </is>
      </c>
      <c r="X31" t="inlineStr">
        <is>
          <t>Opens divination and the communication with spiritual beings — labradorite on the altar before any spirit contact.</t>
        </is>
      </c>
      <c r="Y31" t="inlineStr">
        <is>
          <t>Turns through the strengthening of conviction and the seeing of knowledge in unexpected places — the magical mind opening.</t>
        </is>
      </c>
      <c r="Z31" t="inlineStr">
        <is>
          <t>The Stone of Magic in its most complete imaginative function — where the working requires the full liberation of what the imagination can reach when freed from false modesty and the inhibition of what others might think, labradorite opens that completely.</t>
        </is>
      </c>
    </row>
    <row r="32" ht="123" customHeight="1" s="56">
      <c r="A32" s="2" t="inlineStr">
        <is>
          <t>Lapis Lazuli</t>
        </is>
      </c>
      <c r="B32" s="2" t="inlineStr">
        <is>
          <t>Stone of the Afterlife</t>
        </is>
      </c>
      <c r="C32" s="2" t="inlineStr">
        <is>
          <t>Sodalite group</t>
        </is>
      </c>
      <c r="D32" s="3" t="inlineStr">
        <is>
          <t>Lapis is a very magical stone that has been renowned since ancient times f, its power, beauty. Its rich blue colour, covered with tiny golden sparkles of Iron Pyrite, resembles the star studded night sky, magically it is used to symbolise this, call upon the powers of Night. Used to increase magical energy levels, strengthen your psychic protection against negative energy. Most commonly used in magic f, Love, sexuality. The stone is sacred to the love Goddess Laz, also to Ishtar, can be used to call upon them when you are in need of their aid. Touching Laps Lazuli every day is reputed to ensure contentment, a comf, table life – jewellery would be ideal f, this purpose, though if you can aff, d lots of beautiful Lapis jewellery you probably already have a comf, table life!</t>
        </is>
      </c>
      <c r="E32" s="3" t="inlineStr">
        <is>
          <t>Used in Egyptian burial rites for truth and wisdom; aids communication [cite: 1.1.2].</t>
        </is>
      </c>
      <c r="F32" s="2" t="inlineStr">
        <is>
          <t>venus</t>
        </is>
      </c>
      <c r="G32" s="2" t="inlineStr">
        <is>
          <t>water</t>
        </is>
      </c>
      <c r="H32" s="2" t="inlineStr">
        <is>
          <t>receptive</t>
        </is>
      </c>
      <c r="I32" s="2" t="inlineStr">
        <is>
          <t>Friday</t>
        </is>
      </c>
      <c r="J32" s="2" t="inlineStr">
        <is>
          <t>APHRODITE, VENUS, FREYJA, HATHOR</t>
        </is>
      </c>
      <c r="K32" s="3" t="inlineStr">
        <is>
          <t>OSTARA, BELTANE</t>
        </is>
      </c>
      <c r="L32" s="3" t="inlineStr">
        <is>
          <t>Lapis lazuli has timeless associations with Kings and Queens. In ancient Sumer the stone was closely associated with the dieties in general.</t>
        </is>
      </c>
      <c r="M32" s="3" t="inlineStr">
        <is>
          <t>Confidence, healing emotional wounds, compassion, wisdom, Strength, clarity, Fidelity, spiritual love, past life recall, divination (especially scrying, Tarot, runes), Peace, eloquence, expressiveness, creativity.</t>
        </is>
      </c>
      <c r="N32" s="3" t="inlineStr">
        <is>
          <t>Lapis is also supposed to bring its bearer peace of mind, calmness, clear thoughts so it is a very useful stone to keep near you when practising meditation.</t>
        </is>
      </c>
      <c r="O32" s="3" t="inlineStr">
        <is>
          <t>*Lapis Lazuli*  Also known as: Stone of the Afterlife.  Mineral composition: Sodalite group.  Planet: venus  Element: water  Energy: receptive  Sacred Day: Friday.  Deity associations: isis, venus, nuit.  Sabbat: OSTARA, BELTANE.  Association: Used in Egyptian burial rites for truth and wisdom; aids communication [cite: 1.1.2]..  Magical uses: Lapis is a very magical stone that has been renowned since ancient times f, its power, beauty. Its rich blue colour, covered with tiny golden sparkles of Iron Pyrite, resembles the star studded night sky, magically it is used to symbolise this, call upon the powers of Night. Used to increase magical energy levels, strengthen your psychic protection against negative energy. Most commonly used in magic f, Love, sexuality. The stone is sacred to the love Goddess Laz, also to Ishtar, can be used to call upon them when you are in need of their aid. Touching Laps Lazuli every day is reputed to ensure contentment, a comf, table life – jewellery would be ideal f, this purpose, though if you can aff, d lots of beautiful Lapis jewellery you probably already have a comf, table life!.  Powers: Confidence, healing emotional wounds, compassion, wisdom, Strength, clarity, Fidelity, spiritual love, past life recall, divination (especially scrying, Tarot, runes), Peace, eloquence, expressiveness, creativity..  Spiritual uses: Lapis is also supposed to bring its bearer peace of mind, calmness, clear thoughts so it is a very useful stone to keep near you when practising meditation..  Folk lore: Lapis lazuli has timeless associations with Kings and Queens. In ancient Sumer the stone was closely associated with the dieties in general..  Geology &amp; origin: Much like the Diamond, Kyanite has perfect cleavage in one direction. This combined with its varying harness, makes this stone quite a challenge to cut..</t>
        </is>
      </c>
      <c r="P32" s="2" t="inlineStr">
        <is>
          <t>Ylang Ylang</t>
        </is>
      </c>
      <c r="Q32" s="3" t="inlineStr">
        <is>
          <t>Much like the Diamond, Kyanite has perfect cleavage in one direction. This combined with its varying harness, makes this stone quite a challenge to cut.</t>
        </is>
      </c>
      <c r="R32" s="3" t="inlineStr">
        <is>
          <t>Warning: Contains pyrite and lazurite. Do not use in direct gem elixirs — use indirect method. Avoid salt water cleansing.</t>
        </is>
      </c>
      <c r="S32" t="inlineStr">
        <is>
          <t>Magical power, Clairvoyance, Love, Protection, Otherworld travel, Increasing magical power, Increasing spell power, Power amplification, Bolstering spells, Bolstering incense, Strengthening spells, Potency, Power, Magic, WISDOM IN MAGICK, defensive magic, Enhancing clairvoyance, Psychic development, Psychic powers, INCREASE PSYCHIC ABILITIES, Psychic awareness, Stimulating psychic senses, Disabling psychic phenomena, Psychic communication, communication and psychic abilities,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t>
        </is>
      </c>
      <c r="T32" s="42" t="inlineStr">
        <is>
          <t>The Stone of the Afterlife — the night-sky stone, its blue covered with golden pyrite stars, used since ancient times to call upon the powers of Night. Sacred to Laz and Ishtar, used in love and sexuality magic. Touching it daily ensures contentment. Increases magical energy levels and strengthens psychic protection. The most dramatic-looking stone of any tradition.</t>
        </is>
      </c>
      <c r="U32" t="inlineStr">
        <is>
          <t>Love, sexuality, compassion, fidelity, spiritual love and peace drawn through lapis lazuli's deep blue power.</t>
        </is>
      </c>
      <c r="V32" t="inlineStr">
        <is>
          <t>Confidence, healing of emotional wounds and strength — the star-stone held in serious protective working.</t>
        </is>
      </c>
      <c r="W32" t="inlineStr">
        <is>
          <t>None specified.</t>
        </is>
      </c>
      <c r="X32" t="inlineStr">
        <is>
          <t>Opens the deeper magical power available through the night sky connection — where what the stars can see, lapis lazuli reveals.</t>
        </is>
      </c>
      <c r="Y32" t="inlineStr">
        <is>
          <t>Turns through the healing of what was emotionally damaged and the restoration of wisdom.</t>
        </is>
      </c>
      <c r="Z32" t="inlineStr">
        <is>
          <t>The night-sky stone in its ancient role as the stone of love and sexuality — most commonly used for workings where physical desire and spiritual love are understood as the same current moving at different speeds.</t>
        </is>
      </c>
    </row>
    <row r="33" ht="98.25" customHeight="1" s="56">
      <c r="A33" s="4" t="inlineStr">
        <is>
          <t>Lepidolite</t>
        </is>
      </c>
      <c r="B33" s="4" t="inlineStr">
        <is>
          <t>Stone of Transition</t>
        </is>
      </c>
      <c r="C33" s="4" t="inlineStr">
        <is>
          <t>Lepidolite (K(Li,Al)₃(Al,Si)₄O₁₀(OH,F)₂)</t>
        </is>
      </c>
      <c r="D33" s="5" t="inlineStr">
        <is>
          <t>Brings peace, Harmony, is very useful f, cleansing a room after an argument, confrontation. Helps you to relieve stress, learn to let go of hurtful w, Midsummer, mem, ies so that you can find inner peace. Aids restful sleep, protects against nightmares. This stone is closely connected with Earth magic, it is said that of you treat it gently it will teach you how to tread lightly on the Earth. Meditation with Lepidolite can increase your awareness of the role you play as part of the web of life. A healing stone f, mental illness, emotional problems</t>
        </is>
      </c>
      <c r="E33" s="5" t="inlineStr">
        <is>
          <t>Contains natural lithium; used to soothe the spirit and release old patterns.</t>
        </is>
      </c>
      <c r="F33" s="4" t="inlineStr">
        <is>
          <t>jupiter, neptune</t>
        </is>
      </c>
      <c r="G33" s="4" t="inlineStr">
        <is>
          <t>water</t>
        </is>
      </c>
      <c r="H33" s="4" t="inlineStr">
        <is>
          <t>receptive</t>
        </is>
      </c>
      <c r="I33" s="4" t="inlineStr">
        <is>
          <t>Thursday</t>
        </is>
      </c>
      <c r="J33" s="4" t="inlineStr">
        <is>
          <t>ZEUS, JUPITER, THOR, ODIN</t>
        </is>
      </c>
      <c r="K33" s="5" t="inlineStr">
        <is>
          <t>MABON, SAMHAIN</t>
        </is>
      </c>
      <c r="L33" s="5" t="inlineStr">
        <is>
          <t xml:space="preserve">bound to the left arm it dispels enchantments, heals the mind, prevents sleepwalking and apparently cures haemorrhoids! </t>
        </is>
      </c>
      <c r="M33" s="5" t="inlineStr">
        <is>
          <t>Serenity, Peace, stress relief, unity of the mind, heart, transitions, New beginnings, overcoming dependencies, addictions, objectivity, clear communication, acceptance of life's inevitable changes.</t>
        </is>
      </c>
      <c r="N33" s="5" t="inlineStr">
        <is>
          <t>a calming stone, suitable f, relieving the stresses of everyday life.</t>
        </is>
      </c>
      <c r="O33" s="5" t="inlineStr">
        <is>
          <t>*Lepidolite*  Also known as: Stone of Transition.  Mineral composition: Lepidolite (K(Li,Al)₃(Al,Si)₄O₁₀(OH,F)₂).  Planet: jupiter, neptune  Element: water  Energy: receptive  Sacred Day: Thursday.  Deity associations: zeus.  Sabbat: MABON, SAMHAIN.  Association: Contains natural lithium; used to soothe the spirit and release old patterns..  Magical uses: Brings peace, Harmony, is very useful f, cleansing a room after an argument, confrontation. Helps you to relieve stress, learn to let go of hurtful w, Midsummer, mem, ies so that you can find inner peace. Aids restful sleep, protects against nightmares. This stone is closely connected with Earth magic, it is said that of you treat it gently it will teach you how to tread lightly on the Earth. Meditation with Lepidolite can increase your awareness of the role you play as part of the web of life. A healing stone f, mental illness, emotional problems.  Powers: Serenity, Peace, stress relief, unity of the mind, heart, transitions, New beginnings, overcoming dependencies, addictions, objectivity, clear communication, acceptance of life's inevitable changes..  Spiritual uses: a calming stone, suitable f, relieving the stresses of everyday life..  Folk lore: bound to the left arm it dispels enchantments, heals the mind, prevents sleepwalking and apparently cures haemorrhoids!.  Geology &amp; origin: Lepidolite is an uncommon mica, one rich in lithium that presents in shades of deep purple to a soft pink. Found intermingled with pink Tourmaline, Lepidolite is sometimes ‘shot through’ with the crystal.
Found in California, Lepidolite is created amongst other minerals such as Tourmaline, Morganite, Hiddenite and Kunzite, often with some of the same traits..</t>
        </is>
      </c>
      <c r="P33" s="4" t="inlineStr">
        <is>
          <t>Honeysuckle</t>
        </is>
      </c>
      <c r="Q33" s="5" t="inlineStr">
        <is>
          <t>Lepidolite is an uncommon mica, one rich in lithium that presents in shades of deep purple to a soft pink. Found intermingled with pink Tourmaline, Lepidolite is sometimes ‘shot through’ with the crystal.
Found in California, Lepidolite is created amongst other minerals such as Tourmaline, Morganite, Hiddenite and Kunzite, often with some of the same traits.</t>
        </is>
      </c>
      <c r="R33" s="5" t="inlineStr">
        <is>
          <t>Generally safe for handling. Contains lithium — do not use in direct gem elixirs.</t>
        </is>
      </c>
      <c r="S33" t="inlineStr">
        <is>
          <t>Harmony, Peace, Sleep, Healing, Cleansing,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Nightmare prevention, Preventing nightmares, Negating dreams, RID OF BAD DREAMS, Nightmares, Rest, Encouraging sound sleep, Healing magic, Healing spells, Healing sachets, Healing incenses, Healing mixtures, Healing rituals, Healing incense, Healing vibrations, healing after surgery, Aiding recovery, Aiding the ill, Improving health, Speeding recovery, Good health, health,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T33" s="42" t="inlineStr">
        <is>
          <t>The Stone of Transition — an uncommon mica rich in lithium, which accounts for its genuine calming effect on the mood. Brings peace and harmony after arguments, teaches how to tread lightly on the earth. Aids restful sleep and protects from nightmares. A healing stone for mental illness and emotional problems. Meditation with it increases awareness of the web of life.</t>
        </is>
      </c>
      <c r="U33" t="inlineStr">
        <is>
          <t>Peace, harmony and new beginnings drawn through lepidolite's gentle lithium energy.</t>
        </is>
      </c>
      <c r="V33" t="inlineStr">
        <is>
          <t>Protection against nightmares and the learning to let go of what hurt.</t>
        </is>
      </c>
      <c r="W33" t="inlineStr">
        <is>
          <t>The releasing of communication blocks — where clear expression has been impossible.</t>
        </is>
      </c>
      <c r="X33" t="inlineStr">
        <is>
          <t>Opens the deeper peace available through the awareness of life's interconnection — the web of which we are all part.</t>
        </is>
      </c>
      <c r="Y33" t="inlineStr">
        <is>
          <t>Turns through the cleansing after conflict — the room after the argument, the relationship after the breaking point.</t>
        </is>
      </c>
      <c r="Z33" t="inlineStr">
        <is>
          <t>The transition stone in its most complete mental health function — where the working is about genuine healing from what has been diagnosed rather than merely managed, lepidolite carries the patience of a stone formed slowly in conditions of real pressure.</t>
        </is>
      </c>
    </row>
    <row r="34" ht="171.75" customHeight="1" s="56">
      <c r="A34" s="2" t="inlineStr">
        <is>
          <t>Lodestone</t>
        </is>
      </c>
      <c r="B34" s="2" t="inlineStr">
        <is>
          <t>Magnetic Heart</t>
        </is>
      </c>
      <c r="C34" s="2" t="inlineStr">
        <is>
          <t>Magnetite (Fe₃O₄)</t>
        </is>
      </c>
      <c r="D34" s="3" t="inlineStr">
        <is>
          <t>It has been used in spells f, hundreds of years to increase the power of attraction. Add to charm bags to draw love, Prosperity, Luck, Happiness, just to increase the power of the other ingredients. Many believe that Lodestones should be carried in pairs, one to attract good things, the other to repel evil. Roman prostitutes w, e the stone as a talisman to attract wealthy clients. Lodestones, iron kept together in a charm bag will encourage fidelity, boost sexual desire between a couple. A Lodestone w, n at the belt is reputed to increase a man’s sexual vigour, encourage interest from the opposite sex. Carved Lodestone belt buckles are w, n not just to increase sexual prowess but also to increase success in business, gambling, money matters. Used magically to increase general health, to boost all levels of energy, physical, mental, spiritual. Whenever Lodestones are used in magic, even in charm bags, they should be removed regularly, cleansed because their magnetic power can lead them to become saturated with the energy they have drawn</t>
        </is>
      </c>
      <c r="E34" s="3" t="inlineStr">
        <is>
          <t>Used to 'draw' things (love, money, luck) to the user; the original compass.</t>
        </is>
      </c>
      <c r="F34" s="2" t="inlineStr">
        <is>
          <t>Venus</t>
        </is>
      </c>
      <c r="G34" s="2" t="inlineStr">
        <is>
          <t>Water</t>
        </is>
      </c>
      <c r="H34" s="2" t="inlineStr">
        <is>
          <t>receptive</t>
        </is>
      </c>
      <c r="I34" s="2" t="inlineStr">
        <is>
          <t>Friday</t>
        </is>
      </c>
      <c r="J34" s="2" t="inlineStr">
        <is>
          <t>APHRODITE, VENUS, FREYJA, HATHOR</t>
        </is>
      </c>
      <c r="K34" s="3" t="inlineStr">
        <is>
          <t>OSTARA, BELTANE</t>
        </is>
      </c>
      <c r="L34" s="3" t="inlineStr">
        <is>
          <t>This magical stone was used to make the first compasses because a sliver of Lodestone floated in a bowl of water will align itself with the Earth’s magnetic field.</t>
        </is>
      </c>
      <c r="M34" s="3" t="inlineStr">
        <is>
          <t>Focus, sleep, grounding.</t>
        </is>
      </c>
      <c r="N34" s="3" t="inlineStr">
        <is>
          <t>Used to align chakras and draw spiritual energy. Placed on altars to attract positive forces and enhance the power of spells and ritual workings.</t>
        </is>
      </c>
      <c r="O34" s="3" t="inlineStr">
        <is>
          <t>*Lodestone*  Also known as: Magnetic Heart.  Mineral composition: Magnetite (Fe₃O₄).  Planet: Venus  Element: Water  Energy: receptive  Sacred Day: Friday.  Deity associations: Diana.  Sabbat: OSTARA, BELTANE.  Association: Used to 'draw' things (love, money, luck) to the user; the original compass..  Magical uses: It has been used in spells f, hundreds of years to increase the power of attraction. Add to charm bags to draw love, Prosperity, Luck, Happiness, just to increase the power of the other ingredients. Many believe that Lodestones should be carried in pairs, one to attract good things, the other to repel evil. Roman prostitutes w, e the stone as a talisman to attract wealthy clients. Lodestones, iron kept together in a charm bag will encourage fidelity, boost sexual desire between a couple. A Lodestone w, n at the belt is reputed to increase a man’s sexual vigour, encourage interest from the opposite sex. Carved Lodestone belt buckles are w, n not just to increase sexual prowess but also to increase success in business, gambling, money matters. Used magically to increase general health, to boost all levels of energy, physical, mental, spiritual. Whenever Lodestones are used in magic, even in charm bags, they should be removed regularly, cleansed because their magnetic power can lead them to become saturated with the energy they have drawn.  Powers: Focus, sleep, grounding..  Spiritual uses: Used to align chakras and draw spiritual energy. Placed on altars to attract positive forces and enhance the power of spells and ritual workings..  Folk lore: This magical stone was used to make the first compasses because a sliver of Lodestone floated in a bowl of water will align itself with the Earth’s magnetic field..  Geology &amp; origin: Occurring in a variety of locations, the best deposits are told to hail from the Kali Gandaki Region of West Central Nepal, as well as Tibet..</t>
        </is>
      </c>
      <c r="P34" s="2" t="inlineStr">
        <is>
          <t>Ylang Ylang</t>
        </is>
      </c>
      <c r="Q34" s="3" t="inlineStr">
        <is>
          <t>Occurring in a variety of locations, the best deposits are told to hail from the Kali Gandaki Region of West Central Nepal, as well as Tibet.</t>
        </is>
      </c>
      <c r="R34" s="3" t="inlineStr">
        <is>
          <t>Generally safe for handling. Natural magnet — keep away from electronics and magnetic storage.</t>
        </is>
      </c>
      <c r="S34" t="inlineStr">
        <is>
          <t>Love, Prosperity, Luck, Happiness, Fidelity, Aphrodisiac, Healing, Strength,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Faithfulness, Loyalty, Promoting fidelity, Ensuring a lover returns love, Aphrodisiac tea, Sensuality, Lust, Lust/Sex, Passionate love-making, LOVING &amp; LUSTFUL ENERGIES, SEX MAGIC, RAISE SEXUAL ENERGY, Sexual energy, Healing magic, Healing spells, Healing sachets, Healing incenses, Healing mixtures, Healing rituals, Healing incense, Healing vibrations, healing after surgery, Aiding recovery, Aiding the ill, Improving health, Speeding recovery, Good health, health, Physical Strength, Fortitude, Vitality, Inner power, and strength</t>
        </is>
      </c>
      <c r="T34" s="42" t="inlineStr">
        <is>
          <t>The Magnetic Heart — naturally magnetic, used in spells for hundreds of years to increase attraction. Added to charm bags to draw love, prosperity, luck and happiness or simply to increase the power of other ingredients. Roman prostitutes wore it to attract wealthy clients. Lodestones should be carried in pairs: one to attract good, one to repel evil. Must be cleansed regularly or the magnetic power becomes saturated.</t>
        </is>
      </c>
      <c r="U34" t="inlineStr">
        <is>
          <t>Love, prosperity, luck and happiness drawn — the attraction stone in any drawing working.</t>
        </is>
      </c>
      <c r="V34" t="inlineStr">
        <is>
          <t>Grounding and the general increase of health and energy — lodestone held in any working that needs sustained power.</t>
        </is>
      </c>
      <c r="W34" t="inlineStr">
        <is>
          <t>The cleansing of saturated attraction energy — lodestone that has absorbed what it drew must be regularly released.</t>
        </is>
      </c>
      <c r="X34" t="inlineStr">
        <is>
          <t>Opens the hidden magnetic quality of a working — where attraction must be increased beyond what was already present.</t>
        </is>
      </c>
      <c r="Y34" t="inlineStr">
        <is>
          <t>Turns through the increasing of all energies simultaneously — the lodestone that amplifies whatever surrounds it.</t>
        </is>
      </c>
      <c r="Z34" t="inlineStr">
        <is>
          <t>Where mutual attraction must deepen into physical desire, the lodestone pair carries both — one drawing what is good toward you, one holding the specific magnetism of bodies drawn together.</t>
        </is>
      </c>
    </row>
    <row r="35" ht="98.25" customHeight="1" s="56">
      <c r="A35" s="4" t="inlineStr">
        <is>
          <t>Malachite</t>
        </is>
      </c>
      <c r="B35" s="4" t="inlineStr">
        <is>
          <t>Stone of Transformation</t>
        </is>
      </c>
      <c r="C35" s="4" t="inlineStr">
        <is>
          <t>Cu₂(CO₃)(OH)₂</t>
        </is>
      </c>
      <c r="D35" s="5" t="inlineStr">
        <is>
          <t>Malachite is believed to bring good luck, Anti-theft, tune to anyone travelling by sea, especially expl, ers, adventurers. A stone cut into a triangle protects against the evil eye, can be used in spells to attract lovers. Can help you become m, e creative by helping you realise the w, th of your talents while being flexible enough to make the best use of them. The stone is well known f, its ability to turn aside mental, magical attacks. Malachite is linked with the magical Will, can be used in spells, meditation to strengthen that skill, increase your personal power, confidence.</t>
        </is>
      </c>
      <c r="E35" s="5" t="inlineStr">
        <is>
          <t>A powerful guardian stone used for protection and change.</t>
        </is>
      </c>
      <c r="F35" s="4" t="inlineStr">
        <is>
          <t>venus</t>
        </is>
      </c>
      <c r="G35" s="4" t="inlineStr">
        <is>
          <t>earth</t>
        </is>
      </c>
      <c r="H35" s="4" t="inlineStr">
        <is>
          <t>receptive</t>
        </is>
      </c>
      <c r="I35" s="4" t="inlineStr">
        <is>
          <t>Friday</t>
        </is>
      </c>
      <c r="J35" s="4" t="inlineStr">
        <is>
          <t>APHRODITE, VENUS, FREYJA, HATHOR</t>
        </is>
      </c>
      <c r="K35" s="5" t="inlineStr">
        <is>
          <t>OSTARA, BELTANE</t>
        </is>
      </c>
      <c r="L35" s="5" t="inlineStr">
        <is>
          <t xml:space="preserve"> A Malachite pendant given to a child as a gift will protect them from illness and accidents                                                                                                                                                                                                                                                                                                                                                                       Lore:  It is said that a piece of Malachite in your till will ensure continuing business success. </t>
        </is>
      </c>
      <c r="M35" s="5" t="inlineStr">
        <is>
          <t>Strength, Prosperity, inspiration, releasing pain, anger, concentration, travel protection, Healing, sleep, psychic visions, overcoming negativity &amp; depression, business success, protection from physical danger, emotional maturity, Fertility, wisdom</t>
        </is>
      </c>
      <c r="N35" s="5" t="inlineStr">
        <is>
          <t>Used in healing to treat headache, migraine</t>
        </is>
      </c>
      <c r="O35" s="5" t="inlineStr">
        <is>
          <t>*Malachite*  Also known as: Stone of Transformation.  Mineral composition: Cu₂(CO₃)(OH)₂.  Planet: venus  Element: earth  Energy: receptive  Sacred Day: Friday.  Deity associations: Isis.  Sabbat: OSTARA, BELTANE.  Association: A powerful guardian stone used for protection and change..  Magical uses: Malachite is believed to bring good luck, Anti-theft, tune to anyone travelling by sea, especially expl, ers, adventurers. A stone cut into a triangle protects against the evil eye, can be used in spells to attract lovers. Can help you become m, e creative by helping you realise the w, th of your talents while being flexible enough to make the best use of them. The stone is well known f, its ability to turn aside mental, magical attacks. Malachite is linked with the magical Will, can be used in spells, meditation to strengthen that skill, increase your personal power, confidence..  Powers: Strength, Prosperity, inspiration, releasing pain, anger, concentration, travel protection, Healing, sleep, psychic visions, overcoming negativity &amp; depression, business success, protection from physical danger, emotional maturity, Fertility, wisdom.  Spiritual uses: Used in healing to treat headache, migraine.  Folk lore: A Malachite pendant given to a child as a gift will protect them from illness and accidents                                                                                                                                                                                                                                                                                                                                                                       Lore:  It is said that a piece of Malachite in your till will ensure continuing business success..  Geology &amp; origin: Malachite is usually found in large opaque green masses, copper being the cause for the coloring. It often crystallizes in the form of crusts, tufts, masses, or rosettes. But a few will also exhibit a drusy of small crystals of Malachite on the surface..</t>
        </is>
      </c>
      <c r="P35" s="4" t="inlineStr">
        <is>
          <t>Patchouli</t>
        </is>
      </c>
      <c r="Q35" s="5" t="inlineStr">
        <is>
          <t>Malachite is usually found in large opaque green masses, copper being the cause for the coloring. It often crystallizes in the form of crusts, tufts, masses, or rosettes. But a few will also exhibit a drusy of small crystals of Malachite on the surface.</t>
        </is>
      </c>
      <c r="R35" s="5" t="inlineStr">
        <is>
          <t>Warning: Contains copper and is toxic. Never use in direct gem elixirs. Wash hands thoroughly after handling. Do not inhale dust from raw or polished specimens.</t>
        </is>
      </c>
      <c r="S35" t="inlineStr">
        <is>
          <t>Luck, Confidence, Magical power, Protection,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Self-confidence, Courage, Bravery, Determination, Will Power, Leadership, Leadership skills, Commanding, Personal power, Increasing magical power, Increasing spell power, Power amplification, Bolstering spells, Bolstering incense, Strengthening spells, Potency, Power, Magic, WISDOM IN MAGICK, defensive magic, Protective charm, Protective charms, Protective sachets, Protective wreaths, Protective incense, PROTECT AGAINST NEGATIVITY, Protection from negativity, Circle protection</t>
        </is>
      </c>
      <c r="T35" s="42" t="inlineStr">
        <is>
          <t>The Stone of Transformation — usually found in large opaque masses of banded green. Good luck and protection for sea travellers, anti-evil-eye when cut in a triangle. Turns aside mental and magical attacks. Linked with the magical Will — used in spells and meditation to strengthen will and increase personal power. A stone that actively resists what tries to harm.</t>
        </is>
      </c>
      <c r="U35" t="inlineStr">
        <is>
          <t>Prosperity, fertility and the drawing of luck drawn through malachite's deep green earth energy.</t>
        </is>
      </c>
      <c r="V35" t="inlineStr">
        <is>
          <t>Strength, travel protection, healing and wisdom — the stone held in serious protective and healing work.</t>
        </is>
      </c>
      <c r="W35" t="inlineStr">
        <is>
          <t>The turning aside of magical attacks — malachite's primary defensive release function.</t>
        </is>
      </c>
      <c r="X35" t="inlineStr">
        <is>
          <t>Opens the deeper magical will — where the will has been weak or scattered, malachite opens and focuses it.</t>
        </is>
      </c>
      <c r="Y35" t="inlineStr">
        <is>
          <t>Turns through the empowerment of personal will — what was hesitant now resolute, what was defended against now repelled.</t>
        </is>
      </c>
      <c r="Z35" t="inlineStr">
        <is>
          <t>The transformation stone in its most direct magical will function — where the will has been eroded by what has attacked it and the working is about its genuine restoration, malachite strengthens the magical will at the place where it was undermined.</t>
        </is>
      </c>
    </row>
    <row r="36" ht="159.75" customHeight="1" s="56">
      <c r="A36" s="2" t="inlineStr">
        <is>
          <t>Moonstone</t>
        </is>
      </c>
      <c r="B36" s="2" t="inlineStr">
        <is>
          <t>Lunar Stone</t>
        </is>
      </c>
      <c r="C36" s="2" t="inlineStr">
        <is>
          <t>Feldspar var.</t>
        </is>
      </c>
      <c r="D36" s="3"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E36" s="3" t="inlineStr">
        <is>
          <t>Associated with the stars, moon, and healing; used for feminine power [cite: 1.1.2].</t>
        </is>
      </c>
      <c r="F36" s="2" t="inlineStr">
        <is>
          <t>moon</t>
        </is>
      </c>
      <c r="G36" s="2" t="inlineStr">
        <is>
          <t>water</t>
        </is>
      </c>
      <c r="H36" s="2" t="inlineStr">
        <is>
          <t>receptive</t>
        </is>
      </c>
      <c r="I36" s="2" t="inlineStr">
        <is>
          <t>Monday</t>
        </is>
      </c>
      <c r="J36" s="2" t="inlineStr">
        <is>
          <t>APHRODITE, SELENE</t>
        </is>
      </c>
      <c r="K36" s="3" t="inlineStr">
        <is>
          <t>SAMHAIN</t>
        </is>
      </c>
      <c r="L36" s="3" t="inlineStr">
        <is>
          <t xml:space="preserve">Moonstone was called Aphroselene by the Greeks in honour of Aphrodite, Goddess of love and beauty and Selene, Goddess of the Moon. </t>
        </is>
      </c>
      <c r="M36" s="3"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N36" s="3" t="inlineStr">
        <is>
          <t>In healing Moonstone is used to clear the mind, discard any confusion, turmoil that is preventing you from being fully healthy.</t>
        </is>
      </c>
      <c r="O36" s="3" t="inlineStr">
        <is>
          <t>*Moonstone*  Also known as: Lunar Stone.  Mineral composition: Feldspar var..  Planet: moon  Element: water  Energy: receptive  Sacred Day: Monday.  Deity associations: diana, selene,isis, all lunar goddesses.  Sabbat: SAMHAIN.  Association: Associated with the stars, moon, and healing; used for feminine power [cite: 1.1.2]..  Magical uses: 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  Powers: Travel protection (especially water travel), stress relief, past life regression, Luck, clarity, spiritual underst, Attracting good spirits, calming emotions, hope, opening heart to love, Happiness, good f, Fortune, New beginnings, beauty, childbirth, dieting, Divination, humanitarian matters..  Spiritual uses: In healing Moonstone is used to clear the mind, discard any confusion, turmoil that is preventing you from being fully healthy..  Folk lore: Moonstone was called Aphroselene by the Greeks in honour of Aphrodite, Goddess of love and beauty and Selene, Goddess of the Moon..  Geology &amp; origin: A delicate, white stone that seems filled with the glow of moonlight.</t>
        </is>
      </c>
      <c r="P36" s="2" t="inlineStr">
        <is>
          <t>Melissa</t>
        </is>
      </c>
      <c r="Q36" s="3" t="inlineStr">
        <is>
          <t xml:space="preserve">A delicate, white stone that seems filled with the glow of moonlight                                                                                                                                            </t>
        </is>
      </c>
      <c r="R36" s="3" t="inlineStr">
        <is>
          <t>Generally safe for handling and use. Fragile — handle with care.</t>
        </is>
      </c>
      <c r="S36" t="inlineStr">
        <is>
          <t>Clairvoyance, Divination, Love, Harmony, Star magick,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T36" s="42" t="inlineStr">
        <is>
          <t>The Lunar Stone — a delicate white stone that seems filled with light, used differently at different moon phases. Greatly helps attunement with the emotional body. Enhances intuition, telepathy, clairvoyance and all psychic skills. In India was the stone of lovers — two charmed moonstones kept the couple in each other's thoughts. Soothes and balances emotions.</t>
        </is>
      </c>
      <c r="U36" t="inlineStr">
        <is>
          <t>Luck, attracting good spirits, opening the heart to love, happiness and new beginnings drawn.</t>
        </is>
      </c>
      <c r="V36" t="inlineStr">
        <is>
          <t>Travel protection and clarity — moonstone in any working where the path must be seen clearly.</t>
        </is>
      </c>
      <c r="W36" t="inlineStr">
        <is>
          <t>The clearing of confusion — where the situation has become too complicated to navigate.</t>
        </is>
      </c>
      <c r="X36" t="inlineStr">
        <is>
          <t>Opens psychic matters and the intuition — moonstone used before any reading or moon working.</t>
        </is>
      </c>
      <c r="Y36" t="inlineStr">
        <is>
          <t>Turns through the emotional journey — moonstone as witness to the full arc from new to full to waning to dark.</t>
        </is>
      </c>
      <c r="Z36" t="inlineStr">
        <is>
          <t>The lunar stone in its most intimate function — where the working is about the full emotional body including what it carries about physical love and the fear of intimacy, moonstone soothes what has been wounded at that depth.</t>
        </is>
      </c>
    </row>
    <row r="37" ht="110.25" customHeight="1" s="56">
      <c r="A37" s="4" t="inlineStr">
        <is>
          <t>Obsidian</t>
        </is>
      </c>
      <c r="B37" s="4" t="inlineStr">
        <is>
          <t>The Wizard's Mirror</t>
        </is>
      </c>
      <c r="C37" s="4" t="inlineStr">
        <is>
          <t>Obsidian (volcanic glass, SiO₂)</t>
        </is>
      </c>
      <c r="D37" s="5" t="inlineStr">
        <is>
          <t>It is used to help gain underst, ing of the Web of Wyrd, the w, kings of destiny in your life. The stone is said to lend great strength to those who are weak, protect the gentle from abuse. All f, ms of Obsidian are excellent stones f, drawing Earth energy, helping to ground yourself, are especially helpful to people who live in a city, have to endure an unpleasant atmosphere as the stone can help shield ou from unhealthy energetic noise. They are very protective, help to reflect negative energy, curses back to the sender, provide psychic protection during times of stress, magical attack.</t>
        </is>
      </c>
      <c r="E37" s="5" t="inlineStr">
        <is>
          <t>Used for scrying and protection; mirrors the shadow side of the self.</t>
        </is>
      </c>
      <c r="F37" s="4" t="inlineStr">
        <is>
          <t>saturn</t>
        </is>
      </c>
      <c r="G37" s="4" t="inlineStr">
        <is>
          <t>fire</t>
        </is>
      </c>
      <c r="H37" s="4" t="inlineStr">
        <is>
          <t>projective</t>
        </is>
      </c>
      <c r="I37" s="4" t="inlineStr">
        <is>
          <t>Saturday</t>
        </is>
      </c>
      <c r="J37" s="4" t="inlineStr">
        <is>
          <t>SATURN, HECATE, URD, SKULD</t>
        </is>
      </c>
      <c r="K37" s="5" t="inlineStr">
        <is>
          <t>SAMHAIN, YULE</t>
        </is>
      </c>
      <c r="L37" s="5" t="inlineStr">
        <is>
          <t xml:space="preserve">The stone is sharp, easy to work with and fairly strong and so has been used for tools and weapons for thousands of years. Obsidian was a very important stone to the Aztecs, who knew it as Iztli or sometimes Teotetl, meaning ‘Divine Stone’. It was polished and crafted into scrying mirrors that were sacred to the God Tezcatlipoca, whose name means ‘Shining Mirror’ and who had one of his feet replaced with a round Obsidian mirror. This is a very shamanic stone that holds within it the power of elemental Earth and Fire.     </t>
        </is>
      </c>
      <c r="M37" s="5" t="inlineStr">
        <is>
          <t>Grounding, centering, Divination, increasing spirituality, Healing, Cleansing, clarity, Luck, manifestation, transf, mation, inner growth.</t>
        </is>
      </c>
      <c r="N37" s="5" t="inlineStr">
        <is>
          <t>Obsidian in general is said to alleviate pain, reduce tension, release negative energy. Obsidian is said to be an excellent stone to simply carry around to abs, b negative energies, transf, m them into positive, vibrating with calmness, security, stabilizing the energies of all within it’s reach.</t>
        </is>
      </c>
      <c r="O37" s="5" t="inlineStr">
        <is>
          <t>*Obsidian*  Also known as: The Wizard's Mirror.  Mineral composition: Obsidian (volcanic glass, SiO₂).  Planet: saturn  Element: fire  Energy: projective  Sacred Day: Saturday.  Deity associations: Jana.  Sabbat: SAMHAIN, YULE.  Association: Used for scrying and protection; mirrors the shadow side of the self..  Magical uses: It is used to help gain underst, ing of the Web of Wyrd, the w, kings of destiny in your life. The stone is said to lend great strength to those who are weak, protect the gentle from abuse. All f, ms of Obsidian are excellent stones f, drawing Earth energy, helping to ground yourself, are especially helpful to people who live in a city, have to endure an unpleasant atmosphere as the stone can help shield ou from unhealthy energetic noise. They are very protective, help to reflect negative energy, curses back to the sender, provide psychic protection during times of stress, magical attack..  Powers: Grounding, centering, Divination, increasing spirituality, Healing, Cleansing, clarity, Luck, manifestation, transf, mation, inner growth..  Spiritual uses: Obsidian in general is said to alleviate pain, reduce tension, release negative energy. Obsidian is said to be an excellent stone to simply carry around to abs, b negative energies, transf, m them into positive, vibrating with calmness, security, stabilizing the energies of all within it’s reach..  Folk lore: The stone is sharp, easy to work with and fairly strong and so has been used for tools and weapons for thousands of years. Obsidian was a very important stone to the Aztecs, who knew it as Iztli or sometimes Teotetl, meaning ‘Divine Stone’. It was polished and crafted into scrying mirrors that were sacred to the God Tezcatlipoca, whose name means ‘Shining Mirror’ and who had one of his feet replaced with a round Obsidian mirror. This is a very shamanic stone that holds within it the power of elemental Earth and Fire..  Geology &amp; origin: There are several forms of Obsidian but all are forms of natural volcanic glass. They seem to be opaque but if you hold a piece of Obsidian to the light you will see that it is transparent..</t>
        </is>
      </c>
      <c r="P37" s="4" t="inlineStr">
        <is>
          <t>Patchouli</t>
        </is>
      </c>
      <c r="Q37" s="5" t="inlineStr">
        <is>
          <t xml:space="preserve">There are several forms of Obsidian but all are forms of natural volcanic glass. They seem to be opaque but if you hold a piece of Obsidian to the light you will see that it is transparent. </t>
        </is>
      </c>
      <c r="R37" s="5" t="inlineStr">
        <is>
          <t>Warning: Sharp edges on raw specimens — handle with care. Can be used to make very sharp blades.</t>
        </is>
      </c>
      <c r="S37" t="inlineStr">
        <is>
          <t>Protection, Banishing, Protection (hexes/evil), Strength, Wisdom,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Physical Strength, Fortitude, Vitality, Inner power, and strength, Knowledge, Intelligence, Intuition, Mental clarity, Sharpening the wits, Sharpening the brain, Mental powers, MEM, Memory, Concentration, Focus, Illumination, Enlightenment</t>
        </is>
      </c>
      <c r="T37" s="42" t="inlineStr">
        <is>
          <t>The Wizard's Mirror — volcanic glass formed where lava cooled so fast it caught its own reflection. Used to understand the Web of Wyrd, to gain insight into destiny. Lends strength to the weak, protects the gentle from abuse. Excellent for drawing Earth energy and grounding. Reflects negative energy and curses back to their sender. The protective mirror of every serious magical tradition.</t>
        </is>
      </c>
      <c r="U37" t="inlineStr">
        <is>
          <t>Luck and inner growth drawn through obsidian's grounding reflection.</t>
        </is>
      </c>
      <c r="V37" t="inlineStr">
        <is>
          <t>Grounding, healing and psychic protection — obsidian in any protective working.</t>
        </is>
      </c>
      <c r="W37" t="inlineStr">
        <is>
          <t>The returning of curses to sender — obsidian's primary release function.</t>
        </is>
      </c>
      <c r="X37" t="inlineStr">
        <is>
          <t>Opens the Web of Wyrd and the workings of destiny — where what is coming must be understood before it arrives.</t>
        </is>
      </c>
      <c r="Y37" t="inlineStr">
        <is>
          <t>Turns through the grounding of what was too elevated — the spiritual made practical, the vision made liveable.</t>
        </is>
      </c>
      <c r="Z37" t="inlineStr">
        <is>
          <t>The Wizard's Mirror in its most unsparing function — where the working requires that the shadow be seen completely, the Web of Wyrd understood in its full complexity, obsidian is the stone that shows what is there without softening it.</t>
        </is>
      </c>
    </row>
    <row r="38" ht="110.25" customHeight="1" s="56">
      <c r="A38" s="2" t="inlineStr">
        <is>
          <t>obsidian snowflake</t>
        </is>
      </c>
      <c r="B38" s="2" t="inlineStr">
        <is>
          <t>Stone of Purity</t>
        </is>
      </c>
      <c r="C38" s="2" t="inlineStr">
        <is>
          <t>Obsidian (SiO₂) with Cristobalite inclusions</t>
        </is>
      </c>
      <c r="D38" s="3" t="inlineStr">
        <is>
          <t>It develops intuition, Divination, ability to f, esee future events. Obsidian protects from "evil eye", "bedevilling", Amulets/talismans, cery, damnations, other magic, protects its wearer in long trips, rest, es composure of after unf, tunate love, guards from infidelity. In the real life, Obsidian protects from any mischief, suppresses aggressive energy, sharpens mind, removes stress. Obsidian is a stone of prudence. When w, n constantly, Obsidian may f, ce its wearer to reduce his activity, make him inert. It is a magic stone. Any magician has an Obsidian stone to concentrate astral f, Samhain/ancestral altars, to grant vict, y over astral spirits.</t>
        </is>
      </c>
      <c r="E38" s="3" t="inlineStr">
        <is>
          <t>Balances the light and dark; used for meditation and calming.</t>
        </is>
      </c>
      <c r="F38" s="2" t="inlineStr">
        <is>
          <t xml:space="preserve"> Saturn, Moon</t>
        </is>
      </c>
      <c r="G38" s="2" t="inlineStr">
        <is>
          <t>Earth</t>
        </is>
      </c>
      <c r="H38" s="2" t="inlineStr">
        <is>
          <t xml:space="preserve"> Projective, Receptive</t>
        </is>
      </c>
      <c r="I38" s="2" t="inlineStr">
        <is>
          <t>Monday</t>
        </is>
      </c>
      <c r="J38" s="2" t="inlineStr">
        <is>
          <t>PLUTO</t>
        </is>
      </c>
      <c r="K38" s="3" t="inlineStr">
        <is>
          <t>IMBOLC, YULE</t>
        </is>
      </c>
      <c r="L38" s="3" t="inlineStr">
        <is>
          <t>According to ancient superstition, Obsidian brings to its wearer the energy of Earth, thus strengthening his spirit and healing his body. Ancient people called Obsidian "Satan's claws' fragments". A legend says the stone was named after a Roman warrior Obsidian who brought this stone from Ethiopia. Astrologists consider Obsidian a stone of Pluto.A</t>
        </is>
      </c>
      <c r="M38" s="3" t="inlineStr">
        <is>
          <t>Grounds spiritual energy to the physical plane, abs, bs negativity, enhances serenity</t>
        </is>
      </c>
      <c r="N38" s="3" t="inlineStr">
        <is>
          <t>Stone of purity, Snowflake Obsidian brings about a balance to body, mind, spirit. Snowflake Obsidian helps to keep centered, focused when any type of chaotic situation (office, commute, home, etc.) presents itself. Snowflake Obsidian can remove negativity from a space, person with ease.</t>
        </is>
      </c>
      <c r="O38" s="3" t="inlineStr">
        <is>
          <t>*obsidian snowflake*  Also known as: Stone of Purity.  Mineral composition: Obsidian (SiO₂) with Cristobalite inclusions.  Planet: Saturn, Moon  Element: Earth  Energy: Projective, Receptive  Sacred Day: Monday.  Deity associations: Madame Pele.  Sabbat: IMBOLC, YULE.  Association: Balances the light and dark; used for meditation and calming..  Magical uses: It develops intuition, Divination, ability to f, esee future events. Obsidian protects from "evil eye", "bedevilling", Amulets/talismans, cery, damnations, other magic, protects its wearer in long trips, rest, es composure of after unf, tunate love, guards from infidelity. In the real life, Obsidian protects from any mischief, suppresses aggressive energy, sharpens mind, removes stress. Obsidian is a stone of prudence. When w, n constantly, Obsidian may f, ce its wearer to reduce his activity, make him inert. It is a magic stone. Any magician has an Obsidian stone to concentrate astral f, Samhain/ancestral altars, to grant vict, y over astral spirits..  Powers: Grounds spiritual energy to the physical plane, abs, bs negativity, enhances serenity.  Spiritual uses: Stone of purity, Snowflake Obsidian brings about a balance to body, mind, spirit. Snowflake Obsidian helps to keep centered, focused when any type of chaotic situation (office, commute, home, etc.) presents itself. Snowflake Obsidian can remove negativity from a space, person with ease..  Folk lore: According to ancient superstition, Obsidian brings to its wearer the energy of Earth, thus strengthening his spirit and healing his body. Ancient people called Obsidian "Satan's claws' fragments". A legend says the stone was named after a Roman warrior Obsidian who brought this stone from Ethiopia. Astrologists consider Obsidian a stone of Pluto.A.  Geology &amp; origin: Snowflake Obsidian is black with white, snow-like speckles that are caused by ash settling on the glass as it cools.Obsidian is found in areas where volcanic activity is, or has been in the past. Many locations including Hawaii, Japan, Iceland, Hungary, Mexico, Ecuador, and Guatemala..</t>
        </is>
      </c>
      <c r="P38" s="2" t="inlineStr">
        <is>
          <t>Patchouli</t>
        </is>
      </c>
      <c r="Q38" s="3" t="inlineStr">
        <is>
          <t>Snowflake Obsidian is black with white, snow-like speckles that are caused by ash settling on the glass as it cools.Obsidian is found in areas where volcanic activity is, or has been in the past. Many locations including Hawaii, Japan, Iceland, Hungary, Mexico, Ecuador, and Guatemala.</t>
        </is>
      </c>
      <c r="R38" s="3" t="inlineStr">
        <is>
          <t>Warning: Sharp edges on raw specimens — handle with care.</t>
        </is>
      </c>
      <c r="S38" t="inlineStr">
        <is>
          <t>Divination, Clairvoyance, Protection, Protection (hexes/evil), Samhain/ancestral altars,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T38" s="42" t="inlineStr">
        <is>
          <t>The Stone of Purity — black obsidian with white snowflake patterns of cristobalite inclusions. Grounds spiritual energy to the physical plane, develops intuition and the ability to foresee future events. Protects from the evil eye, from sorcery, from infidelity. Magicians have used obsidian to concentrate astral forces for millennia.</t>
        </is>
      </c>
      <c r="U38" t="inlineStr">
        <is>
          <t>None specified — snowflake obsidian works primarily in grounding and protection.</t>
        </is>
      </c>
      <c r="V38" t="inlineStr">
        <is>
          <t>Grounding spiritual energy to the physical plane — the mixed obsidian that bridges both.</t>
        </is>
      </c>
      <c r="W38" t="inlineStr">
        <is>
          <t>The removal of stress and the sharpening of the mind — the black stone clearing what clouds.</t>
        </is>
      </c>
      <c r="X38" t="inlineStr">
        <is>
          <t>Opens intuition and divination — snowflake obsidian used before readings where foresight is being sought.</t>
        </is>
      </c>
      <c r="Y38" t="inlineStr">
        <is>
          <t>Turns through the grounding of what was astral — the spiritual force now anchored in physical reality.</t>
        </is>
      </c>
      <c r="Z38" t="inlineStr">
        <is>
          <t>The purity stone in its most grounding function for Over 18 working — where the spiritual forces being worked with require a very firm anchor in physical reality, snowflake obsidian grounds what would otherwise remain too elevated to be useful.</t>
        </is>
      </c>
    </row>
    <row r="39" ht="183.75" customHeight="1" s="56">
      <c r="A39" s="4" t="inlineStr">
        <is>
          <t>Onyx</t>
        </is>
      </c>
      <c r="B39" s="4" t="inlineStr">
        <is>
          <t>Grounding Stone</t>
        </is>
      </c>
      <c r="C39" s="4" t="inlineStr">
        <is>
          <t>Chalcedony (SiO₂)</t>
        </is>
      </c>
      <c r="D39" s="5" t="inlineStr">
        <is>
          <t>Onyx has long been associated with magic, Anti-theft, occult purposes it is most commonly the black variety that is used. Some say that Onyx is a stone of ‘black magic’. It is certainly in tune with the darker, Amulets/talismans, e mysterious side of magic, cery, necromancy but to label it as ‘evil’ is a serious misunderst, ing of the stone’s energy. Onyx protects its bearer from misf, Fortune, Healing, prevents illusions, nightmares caused by evil spirits. It is a stone of powerful protection, strength. It is reputed to bring unexpected good luck to its bearer, to protect them from the plots, ill wishes of their enemies. A piece of Onyx, especially a sphere, can be kept on your altar to protect you from unruly energies, warn of any impending danger. The stone is helpful when trying to contact the spirits of ancest, the Mighty Dead, helps recall mem, ies of past lives. Onyx softens the barriers between w, lds, shamanic w, k with this stone can help summon friendly spirits who will guide a dying soul on their journey. An excellent stone f, increasing knowledge, helping you to focus on your studies which also helps you to gain deeper insights when casting bones, stones f, divination.</t>
        </is>
      </c>
      <c r="E39" s="5" t="inlineStr">
        <is>
          <t>Protects against negativity and helps with self-control.</t>
        </is>
      </c>
      <c r="F39" s="4" t="inlineStr">
        <is>
          <t>saturn</t>
        </is>
      </c>
      <c r="G39" s="4" t="inlineStr">
        <is>
          <t>fire</t>
        </is>
      </c>
      <c r="H39" s="4" t="inlineStr">
        <is>
          <t>projective</t>
        </is>
      </c>
      <c r="I39" s="4" t="inlineStr">
        <is>
          <t>Saturday</t>
        </is>
      </c>
      <c r="J39" s="4" t="inlineStr">
        <is>
          <t>CUPID, VENUS</t>
        </is>
      </c>
      <c r="K39" s="5" t="inlineStr">
        <is>
          <t>SAMHAIN, YULE</t>
        </is>
      </c>
      <c r="L39" s="5" t="inlineStr">
        <is>
          <t>The tale is that one afternoon, Cupid cut the fingernails from the divine goddess Venus, with an arrowhead while she slept, leaving clipping scattered amongst the sand and that the Fates turned them to stones. As they were no longer part of the heavenly body, they would still never perish.</t>
        </is>
      </c>
      <c r="M39" s="5" t="inlineStr">
        <is>
          <t>Balancing, Protection, faith, grounding spiritual energy to the physical plane, stability, scrying, relaxation.</t>
        </is>
      </c>
      <c r="N39" s="5" t="inlineStr">
        <is>
          <t>Known to be particularly helpful with skin ailments, fungal infections, healing infected wounds. It is also helpful with inflammation, especially when one has been sunburned.Onyx will assist one in removing tethers, as well as protecting one from attachment in the future. Grounding, then controlling, eliminating excess, unwanted energies, Onyx will keep any energy vampires at bay.</t>
        </is>
      </c>
      <c r="O39" s="5" t="inlineStr">
        <is>
          <t>*Onyx*  Also known as: Grounding Stone.  Mineral composition: Chalcedony (SiO₂).  Planet: saturn  Element: fire  Energy: projective  Sacred Day: Saturday.  Deity associations: mars, Hel.  Sabbat: SAMHAIN, YULE.  Association: Protects against negativity and helps with self-control..  Magical uses: Onyx has long been associated with magic, Anti-theft, occult purposes it is most commonly the black variety that is used. Some say that Onyx is a stone of ‘black magic’. It is certainly in tune with the darker, Amulets/talismans, e mysterious side of magic, cery, necromancy but to label it as ‘evil’ is a serious misunderst, ing of the stone’s energy. Onyx protects its bearer from misf, Fortune, Healing, prevents illusions, nightmares caused by evil spirits. It is a stone of powerful protection, strength. It is reputed to bring unexpected good luck to its bearer, to protect them from the plots, ill wishes of their enemies. A piece of Onyx, especially a sphere, can be kept on your altar to protect you from unruly energies, warn of any impending danger. The stone is helpful when trying to contact the spirits of ancest, the Mighty Dead, helps recall mem, ies of past lives. Onyx softens the barriers between w, lds, shamanic w, k with this stone can help summon friendly spirits who will guide a dying soul on their journey. An excellent stone f, increasing knowledge, helping you to focus on your studies which also helps you to gain deeper insights when casting bones, stones f, divination..  Powers: Balancing, Protection, faith, grounding spiritual energy to the physical plane, stability, scrying, relaxation..  Spiritual uses: Known to be particularly helpful with skin ailments, fungal infections, healing infected wounds. It is also helpful with inflammation, especially when one has been sunburned.Onyx will assist one in removing tethers, as well as protecting one from attachment in the future. Grounding, then controlling, eliminating excess, unwanted energies, Onyx will keep any energy vampires at bay..  Folk lore: The tale is that one afternoon, Cupid cut the fingernails from the divine goddess Venus, with an arrowhead while she slept, leaving clipping scattered amongst the sand and that the Fates turned them to stones. As they were no longer part of the heavenly body, they would still never perish..  Geology &amp; origin: . Onyx is a form of Chalcedony made from sub-microscopic grains of Quartz. Because of the way these grains stack up in layers Onyx often has a banded appearance. This layering has made the stone popular for centuries for carving intaglios and cameos..</t>
        </is>
      </c>
      <c r="P39" s="4" t="inlineStr">
        <is>
          <t>Patchouli</t>
        </is>
      </c>
      <c r="Q39" s="5" t="inlineStr">
        <is>
          <t xml:space="preserve">. Onyx is a form of Chalcedony made from sub-microscopic grains of Quartz. Because of the way these grains stack up in layers Onyx often has a banded appearance. This layering has made the stone popular for centuries for carving intaglios and cameos. </t>
        </is>
      </c>
      <c r="R39" s="5" t="inlineStr">
        <is>
          <t>Generally safe for handling and use.</t>
        </is>
      </c>
      <c r="S39" t="inlineStr">
        <is>
          <t>Protection, Strength, Luck, Samhain/ancestral altars, Divination, Protective charm, Protective charms, Protective sachets, Protective wreaths, Protective incense, PROTECT AGAINST NEGATIVITY, Protection from negativity, Circle protection, Physical Strength, Fortitude, Vitality, Inner power, and strength,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Enhancing divination, Divinatory incense, Foretelling the future, Future divination, Scrying, Dowsing, Prophecy</t>
        </is>
      </c>
      <c r="T39" s="42" t="inlineStr">
        <is>
          <t>The Grounding Stone — a form of chalcedony made from alternating layers of black and white. Long associated with the deeper, more mysterious side of magic — not evil, as it is sometimes labelled, but in tune with the darker and more ancient currents. Protects from the plots and ill-wishes of enemies. Helps recall past life memories. Softens the barriers between worlds for shamanic work.</t>
        </is>
      </c>
      <c r="U39" t="inlineStr">
        <is>
          <t>Luck and the drawing of unexpected good fortune drawn through onyx.</t>
        </is>
      </c>
      <c r="V39" t="inlineStr">
        <is>
          <t>Protection, healing and increasing knowledge — onyx held in any serious protective and wisdom work.</t>
        </is>
      </c>
      <c r="W39" t="inlineStr">
        <is>
          <t>The warning of impending danger — onyx on the altar as a detector of what approaches.</t>
        </is>
      </c>
      <c r="X39" t="inlineStr">
        <is>
          <t>Opens divination through the scrying of bones and stones — onyx the diviner's stone for deeper consultation.</t>
        </is>
      </c>
      <c r="Y39" t="inlineStr">
        <is>
          <t>Turns through healing and the grounding of high spiritual energy — the dark stone that makes the spiritual liveable.</t>
        </is>
      </c>
      <c r="Z39" t="inlineStr">
        <is>
          <t>The Grounding Stone in its deepest shamanic function — where the working requires genuine contact with the Mighty Dead and the shamanic realms where they reside, onyx softens the barrier between worlds with the authority of long tradition.</t>
        </is>
      </c>
    </row>
    <row r="40" ht="123" customHeight="1" s="56">
      <c r="A40" s="2" t="inlineStr">
        <is>
          <t>Opal pink</t>
        </is>
      </c>
      <c r="B40" s="2" t="inlineStr">
        <is>
          <t>Stone of Hope</t>
        </is>
      </c>
      <c r="C40" s="2" t="inlineStr">
        <is>
          <t>SiO₂·nH₂O</t>
        </is>
      </c>
      <c r="D40" s="3" t="inlineStr">
        <is>
          <t>Opal may be reputed to be unlucky because it is known as the Stone of Truth, which to some people is a deadly enemy. In magic the stone can be used ~ with care ~ to remove falsehood, trickery, find that which is hidden, show the secret plots of your enemies, reveal the truth of any situation. Used in spells to bring hope, protect the innocent, bring success to people striving towards their personal, spiritual goals. Brings strength to visions, ideas, helps you create them in the physical w, ld. Opal should always be used with care as it can cause great harm to anyone who uses it deceitfully, Anti-theft, selfish, harmful magic.</t>
        </is>
      </c>
      <c r="E40" s="3" t="inlineStr">
        <is>
          <t>Associated with love and faithfulness; used for foresight and prophecy [cite: 1.1.4].</t>
        </is>
      </c>
      <c r="F40" s="2" t="inlineStr">
        <is>
          <t>all planets</t>
        </is>
      </c>
      <c r="G40" s="2" t="inlineStr">
        <is>
          <t>all elements</t>
        </is>
      </c>
      <c r="H40" s="2" t="inlineStr">
        <is>
          <t>projective, receptive</t>
        </is>
      </c>
      <c r="I40" s="2" t="inlineStr">
        <is>
          <t>Any</t>
        </is>
      </c>
      <c r="J40" s="2" t="inlineStr">
        <is>
          <t>cupid</t>
        </is>
      </c>
      <c r="K40" s="3" t="inlineStr">
        <is>
          <t>ALL SABBATS</t>
        </is>
      </c>
      <c r="L40" s="3" t="inlineStr">
        <is>
          <t xml:space="preserve"> The stone was prized by the Romans who named it ‘pederast’ meaning that it had the fresh beauty of a child. Opals can dry out and crack quite easily so they are often protected by being made onto doubles or triplets, topped by or sandwiched between thin layers of clear Quartz. Many people consider Opal to be an unlucky stone. There is a legend that a merchant trying to buy a large quantity of Opals very cheaply spread a rumour about them being unlucky to reduce demand and therefore reduce the buying price. Unfortunately his ruse worked too well because his own clients were now afraid of the bad luck associated with them!</t>
        </is>
      </c>
      <c r="M40" s="3" t="inlineStr">
        <is>
          <t>Positive emotions, Happiness, aura cleansing, inner beauty, loyalty, spontaneity, clarity, Healing, Love, eloquence, faithfulness, Confidence, wisdom, beauty.</t>
        </is>
      </c>
      <c r="N40" s="3" t="inlineStr">
        <is>
          <t>Encourages the development of the 3rd Eye, is sometimes known as the Stone of the Mystic because of this ability.</t>
        </is>
      </c>
      <c r="O40" s="3" t="inlineStr">
        <is>
          <t>*Opal pink*  Also known as: Stone of Hope.  Mineral composition: SiO₂·nH₂O.  Planet: all planets  Element: all elements  Energy: projective, receptive  Sacred Day: Any.  Deity associations: cupid.  Sabbat: ALL SABBATS.  Association: Associated with love and faithfulness; used for foresight and prophecy [cite: 1.1.4]..  Magical uses: Opal may be reputed to be unlucky because it is known as the Stone of Truth, which to some people is a deadly enemy. In magic the stone can be used ~ with care ~ to remove falsehood, trickery, find that which is hidden, show the secret plots of your enemies, reveal the truth of any situation. Used in spells to bring hope, protect the innocent, bring success to people striving towards their personal, spiritual goals. Brings strength to visions, ideas, helps you create them in the physical w, ld. Opal should always be used with care as it can cause great harm to anyone who uses it deceitfully, Anti-theft, selfish, harmful magic..  Powers: Positive emotions, Happiness, aura cleansing, inner beauty, loyalty, spontaneity, clarity, Healing, Love, eloquence, faithfulness, Confidence, wisdom, beauty..  Spiritual uses: Encourages the development of the 3rd Eye, is sometimes known as the Stone of the Mystic because of this ability..  Folk lore: The stone was prized by the Romans who named it ‘pederast’ meaning that it had the fresh beauty of a child. Opals can dry out and crack quite easily so they are often protected by being made onto doubles or triplets, topped by or sandwiched between thin layers of clear Quartz. Many people consider Opal to be an unlucky stone. There is a legend that a merchant trying to buy a large quantity of Opals very cheaply spread a rumour about them being unlucky to reduce demand and therefore reduce the buying price. Unfortunately his ruse worked too well because his own clients were now afraid of the bad luck associated with them!.  Geology &amp; origin: Opal is a beautiful, iridescent stone which can be milky white with flashes of blue and green or the rarer blue green colour with flashes of red..</t>
        </is>
      </c>
      <c r="P40" s="2" t="inlineStr">
        <is>
          <t>Rose</t>
        </is>
      </c>
      <c r="Q40" s="3" t="inlineStr">
        <is>
          <t>Opal is a beautiful, iridescent stone which can be milky white with flashes of blue and green or the rarer blue green colour with flashes of red.</t>
        </is>
      </c>
      <c r="R40" s="3" t="inlineStr">
        <is>
          <t>Warning: Fragile and sensitive to temperature change, chemicals and dehydration. Avoid ultrasonic cleaners. Keep away from heat.</t>
        </is>
      </c>
      <c r="S40" t="inlineStr">
        <is>
          <t>Truth, Protection, Success, Luck, Clairvoyance, Prophetic dreams, Invoking dreams, Dream work, Dreams, Visions, Seeing the unseen, Seeing manifestations, Honesty, Removing deception, Subconscious work, Digging into the subconscious, Uprooting what is hidden, Scrying, Dowsing, Treasure seeking, Lost object finding, Protective charm, Protective charms, Protective sachets, Protective wreaths, Protective incense, PROTECT AGAINST NEGATIVITY, Protection from negativity, Circle protection, Victory, victory in battle, Conquest, Overcoming opposition, Courtroom success, Legal matters, Justice,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Enhancing clairvoyance, Psychic development, Psychic powers, INCREASE PSYCHIC ABILITIES, Psychic awareness, Stimulating psychic senses, Disabling psychic phenomena, Psychic communication, communication and psychic abilities</t>
        </is>
      </c>
      <c r="T40" s="42" t="inlineStr">
        <is>
          <t>The Stone of Hope — opal is the Stone of Truth, which is why it is reputed to be unlucky for those who use it deceitfully. In magic it removes falsehood, trickery, finds what is hidden, shows secret plots and reveals truth. Used in spells to bring hope and protect the innocent. Always used with care — it can harm anyone who approaches it with selfish intent.</t>
        </is>
      </c>
      <c r="U40" t="inlineStr">
        <is>
          <t>Happiness, inner beauty and love drawn through pink opal's gentle hopeful energy.</t>
        </is>
      </c>
      <c r="V40" t="inlineStr">
        <is>
          <t>Clarity, healing and confidence — the stone held where hope must be sustained.</t>
        </is>
      </c>
      <c r="W40" t="inlineStr">
        <is>
          <t>The removal of falsehood — where deception has been present and must be cleared.</t>
        </is>
      </c>
      <c r="X40" t="inlineStr">
        <is>
          <t>Opens the finding of what is hidden — where truth has been obscured and must now surface.</t>
        </is>
      </c>
      <c r="Y40" t="inlineStr">
        <is>
          <t>Turns through bringing hope and the strengthening of what was striving toward its spiritual goal.</t>
        </is>
      </c>
      <c r="Z40" t="inlineStr">
        <is>
          <t>The Stone of Hope in its most unflinching truth-telling function — where what is hidden is the thing the working most needs to see, pink opal removes the falsehood that has been protecting what must now be exposed. Used with complete integrity.</t>
        </is>
      </c>
    </row>
    <row r="41" ht="86.25" customHeight="1" s="56">
      <c r="A41" s="4" t="inlineStr">
        <is>
          <t>Peridot</t>
        </is>
      </c>
      <c r="B41" s="4" t="inlineStr">
        <is>
          <t>Tears of the Goddess</t>
        </is>
      </c>
      <c r="C41" s="4" t="inlineStr">
        <is>
          <t>Olivine (Mg₂SiO₄)</t>
        </is>
      </c>
      <c r="D41" s="5" t="inlineStr">
        <is>
          <t>Used in magic to increase intuition, Increasing wealth, k with dream states, undertake shamanic journeys, encourage astral travel. W, n at night it protects against nightmare, night hags, vampires. Peridot is an excellent stone f, emotional healing, is said to rest, e the missing, damaged fragments of a person’s soul so that they can find happiness, contentment. Wear Peridot to stave off foolishness, protect against madness, to help you keep your wits about you in challenging situations.</t>
        </is>
      </c>
      <c r="E41" s="5" t="inlineStr">
        <is>
          <t>Symbol of fortune and luck; used to remove stress and fear [cite: 1.1.4].</t>
        </is>
      </c>
      <c r="F41" s="4" t="inlineStr">
        <is>
          <t>venus</t>
        </is>
      </c>
      <c r="G41" s="4" t="inlineStr">
        <is>
          <t>earth</t>
        </is>
      </c>
      <c r="H41" s="4" t="inlineStr">
        <is>
          <t>receptive</t>
        </is>
      </c>
      <c r="I41" s="4" t="inlineStr">
        <is>
          <t>Friday</t>
        </is>
      </c>
      <c r="J41" s="4" t="inlineStr">
        <is>
          <t>APHRODITE, VENUS, FREYJA, HATHOR</t>
        </is>
      </c>
      <c r="K41" s="5" t="inlineStr">
        <is>
          <t>OSTARA, BELTANE</t>
        </is>
      </c>
      <c r="L41" s="5" t="inlineStr">
        <is>
          <t xml:space="preserve">The stone is said to bring inspiration to poets and to guide people to a happy marriage or true, loving friendship. The stone is said to bring inspiration to poets and to guide people to a happy marriage or true, loving friendship. </t>
        </is>
      </c>
      <c r="M41" s="5" t="inlineStr">
        <is>
          <t>Prosperity, growth, Purification, Harmony, Divination, compassion, Cleansing, protection against nightmares, anger management, overcoming nervousness, Fertility, friendship, Healing, repairing relationships, reducing stress, focus.</t>
        </is>
      </c>
      <c r="N41" s="5" t="inlineStr">
        <is>
          <t>Emotionally Peridot is used to reduce stress, stimulate the mind, amplify intuitive awareness. It is also commonly used to treat emotional states such as irritation, anger, jealousy. It is very useful in healing spiritual disease</t>
        </is>
      </c>
      <c r="O41" s="5" t="inlineStr">
        <is>
          <t>*Peridot*  Also known as: Tears of the Goddess.  Mineral composition: Olivine (Mg₂SiO₄).  Planet: venus  Element: earth  Energy: receptive  Sacred Day: Friday.  Deity associations: Pax.  Sabbat: OSTARA, BELTANE.  Association: Symbol of fortune and luck; used to remove stress and fear [cite: 1.1.4]..  Magical uses: Used in magic to increase intuition, Increasing wealth, k with dream states, undertake shamanic journeys, encourage astral travel. W, n at night it protects against nightmare, night hags, vampires. Peridot is an excellent stone f, emotional healing, is said to rest, e the missing, damaged fragments of a person’s soul so that they can find happiness, contentment. Wear Peridot to stave off foolishness, protect against madness, to help you keep your wits about you in challenging situations..  Powers: Prosperity, growth, Purification, Harmony, Divination, compassion, Cleansing, protection against nightmares, anger management, overcoming nervousness, Fertility, friendship, Healing, repairing relationships, reducing stress, focus..  Spiritual uses: Emotionally Peridot is used to reduce stress, stimulate the mind, amplify intuitive awareness. It is also commonly used to treat emotional states such as irritation, anger, jealousy. It is very useful in healing spiritual disease.  Folk lore: The stone is said to bring inspiration to poets and to guide people to a happy marriage or true, loving friendship. The stone is said to bring inspiration to poets and to guide people to a happy marriage or true, loving friendship..  Geology &amp; origin: Peridot is a beautiful green stone that is said to only show its true beauty after nightfall. Because of this it is magically linked to the subconscious and the astral realms..</t>
        </is>
      </c>
      <c r="P41" s="4" t="inlineStr">
        <is>
          <t>Patchouli</t>
        </is>
      </c>
      <c r="Q41" s="5" t="inlineStr">
        <is>
          <t xml:space="preserve">Peridot is a beautiful green stone that is said to only show its true beauty after nightfall. Because of this it is magically linked to the subconscious and the astral realms. </t>
        </is>
      </c>
      <c r="R41" s="5" t="inlineStr">
        <is>
          <t>Generally safe for handling and use.</t>
        </is>
      </c>
      <c r="S41" t="inlineStr">
        <is>
          <t>Clairvoyance, Healing, Prophetic dreams, Otherworld travel, Protection, Enhancing clairvoyance, Psychic development, Psychic powers, INCREASE PSYCHIC ABILITIES, Psychic awareness, Stimulating psychic senses, Disabling psychic phenomena, Psychic communication, communication and psychic abilities, Healing magic, Healing spells, Healing sachets, Healing incenses, Healing mixtures, Healing rituals, Healing incense, Healing vibrations, healing after surgery, Aiding recovery, Aiding the ill, Improving health, Speeding recovery, Good health, health, Invoking dreams, Dream work, Dreams, Visions, Seeing the unseen, Seeing manifestations, Truth, Honesty, Removing deception, Subconscious work, Digging into the subconscious, Uprooting what is hidden, Scrying, Dowsing, Treasure seeking, Lost object finding,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t>
        </is>
      </c>
      <c r="T41" s="42" t="inlineStr">
        <is>
          <t>The Tears of the Goddess — a beautiful green stone formed in volcanic environments, worn at night to protect against nightmare and night hags. Used in magic to increase intuition and work with dream states. An excellent stone for emotional healing — said to restore the missing, damaged fragments of a person's soul so they can find happiness and contentment again.</t>
        </is>
      </c>
      <c r="U41" t="inlineStr">
        <is>
          <t>Prosperity, growth, harmony, compassion and fertility drawn through peridot's Venus earth energy.</t>
        </is>
      </c>
      <c r="V41" t="inlineStr">
        <is>
          <t>Protection against nightmares and healing — peridot in any healing or protective work.</t>
        </is>
      </c>
      <c r="W41" t="inlineStr">
        <is>
          <t>The purification of what has accumulated — where the soul fragments must be gathered and the damage assessed.</t>
        </is>
      </c>
      <c r="X41" t="inlineStr">
        <is>
          <t>Opens intuition and the dreaming mind — peridot used where the shamanic journey or dream state must be accessed.</t>
        </is>
      </c>
      <c r="Y41" t="inlineStr">
        <is>
          <t>Turns through emotional healing and the restoration of soul fragments — what was lost now returned.</t>
        </is>
      </c>
      <c r="Z41" t="inlineStr">
        <is>
          <t>The Tears of the Goddess in its deepest soul-fragment function — where the healing being worked involves the genuine restoration of what was lost in experiences that fragmented the self, peridot tends that work with the patience it requires.</t>
        </is>
      </c>
    </row>
    <row r="42" ht="98.25" customHeight="1" s="56">
      <c r="A42" s="2" t="inlineStr">
        <is>
          <t>Petrified Wood</t>
        </is>
      </c>
      <c r="B42" s="2" t="inlineStr">
        <is>
          <t>Ancient Earth</t>
        </is>
      </c>
      <c r="C42" s="2" t="inlineStr">
        <is>
          <t>Petrified Wood (SiO₂ replacing organic matter)</t>
        </is>
      </c>
      <c r="D42" s="3" t="inlineStr">
        <is>
          <t>The stone is used magically to bring knowledge, underst, ing of trees, often considered to be the kings of the plant kingdom, because the stone preserves the energy pattern of the tree whose f, m it has taken. It is a stone of roots, New beginnings, used to draw strength, knowledge from the ancest, spirits. Helps past life regression, communication with souls from the past as well as finding out who, what you really are, where your destiny is leading you. Petrified Wood develops the powers of instinct, intuition so that you can use them to speak with, gain underst, ing from the spirits of those who have gone bef, e us.</t>
        </is>
      </c>
      <c r="E42" s="3" t="inlineStr">
        <is>
          <t>Stone of longevity and patience; connects to ancestral knowledge.</t>
        </is>
      </c>
      <c r="F42" s="2" t="inlineStr">
        <is>
          <t>Earth</t>
        </is>
      </c>
      <c r="G42" s="2" t="inlineStr">
        <is>
          <t>Akasha</t>
        </is>
      </c>
      <c r="H42" s="2" t="inlineStr">
        <is>
          <t>receptive</t>
        </is>
      </c>
      <c r="I42" s="2" t="inlineStr">
        <is>
          <t>Saturday</t>
        </is>
      </c>
      <c r="J42" s="2" t="inlineStr">
        <is>
          <t>GAIA, NERTHUS, CERES</t>
        </is>
      </c>
      <c r="K42" s="3" t="inlineStr">
        <is>
          <t>MABON, YULE</t>
        </is>
      </c>
      <c r="L42" s="3" t="inlineStr">
        <is>
          <t>Petrified Wood is an excellent gem for leaders; as it has endured the ravaging changes of time and become stronger.</t>
        </is>
      </c>
      <c r="M42" s="3" t="inlineStr">
        <is>
          <t>Protection, longevity, past-life recall.</t>
        </is>
      </c>
      <c r="N42" s="3" t="inlineStr">
        <is>
          <t>Petrified Wood stabilized general health, the body’s defenses. It generates calm, encourages contentment. Physically, it is beneficial f, the bones, backaches, skin, hair. Petrified wood is also used f, past life regressions because of its inherent link with the past.</t>
        </is>
      </c>
      <c r="O42" s="3" t="inlineStr">
        <is>
          <t>*Petrified Wood*  Also known as: Ancient Earth.  Mineral composition: Petrified Wood (SiO₂ replacing organic matter).  Planet: Earth  Element: Akasha  Energy: receptive  Sacred Day: Saturday.  Deity associations: Mother Goddess, jupiter.  Sabbat: MABON, YULE.  Association: Stone of longevity and patience; connects to ancestral knowledge..  Magical uses: The stone is used magically to bring knowledge, underst, ing of trees, often considered to be the kings of the plant kingdom, because the stone preserves the energy pattern of the tree whose f, m it has taken. It is a stone of roots, New beginnings, used to draw strength, knowledge from the ancest, spirits. Helps past life regression, communication with souls from the past as well as finding out who, what you really are, where your destiny is leading you. Petrified Wood develops the powers of instinct, intuition so that you can use them to speak with, gain underst, ing from the spirits of those who have gone bef, e us..  Powers: Protection, longevity, past-life recall..  Spiritual uses: Petrified Wood stabilized general health, the body’s defenses. It generates calm, encourages contentment. Physically, it is beneficial f, the bones, backaches, skin, hair. Petrified wood is also used f, past life regressions because of its inherent link with the past..  Folk lore: Petrified Wood is an excellent gem for leaders; as it has endured the ravaging changes of time and become stronger..  Geology &amp; origin: Petrified wood is formed when a mineral, usually Agate, replaces the wood of ancient, fossilised trees. The mineral becomes a perfect stone copy of the tree it has developed in, retaining its shape, structure and even its growth ring patterns..</t>
        </is>
      </c>
      <c r="P42" s="2" t="inlineStr">
        <is>
          <t>Patchouli</t>
        </is>
      </c>
      <c r="Q42" s="3" t="inlineStr">
        <is>
          <t xml:space="preserve"> Petrified wood is formed when a mineral, usually Agate, replaces the wood of ancient, fossilised trees. The mineral becomes a perfect stone copy of the tree it has developed in, retaining its shape, structure and even its growth ring patterns.</t>
        </is>
      </c>
      <c r="R42" s="3" t="inlineStr">
        <is>
          <t>Generally safe for handling and use.</t>
        </is>
      </c>
      <c r="S42" t="inlineStr">
        <is>
          <t>Wisdom, Samhain/ancestral altars, Clairvoyance, Strength, Knowledge, Intelligence, Intuition, Mental clarity, Sharpening the wits, Sharpening the brain, Mental powers, MEM, Memory, Concentration, Focus, Illumination, Enlightenment,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Enhancing clairvoyance, Psychic development, Psychic powers, INCREASE PSYCHIC ABILITIES, Psychic awareness, Stimulating psychic senses, Disabling psychic phenomena, Psychic communication, communication and psychic abilities, Physical Strength, Fortitude, Vitality, Inner power, and strength</t>
        </is>
      </c>
      <c r="T42" s="42" t="inlineStr">
        <is>
          <t>The Ancient Earth — formed where mineral replacement has preserved the organic structure of a tree in stone. Used to bring knowledge and understanding of trees, considered the kings of the plant kingdom. A stone of roots and new beginnings, drawing strength from ancestral spirits. Helps past life regression and the understanding of destiny.</t>
        </is>
      </c>
      <c r="U42" t="inlineStr">
        <is>
          <t>New beginnings and past life recall drawn through petrified wood's deep time energy.</t>
        </is>
      </c>
      <c r="V42" t="inlineStr">
        <is>
          <t>Protection — the ancient stone holding what must be held.</t>
        </is>
      </c>
      <c r="W42" t="inlineStr">
        <is>
          <t>None specified.</t>
        </is>
      </c>
      <c r="X42" t="inlineStr">
        <is>
          <t>Opens the knowledge of ancestral spirits and past lives — where what the deep past holds must be accessed.</t>
        </is>
      </c>
      <c r="Y42" t="inlineStr">
        <is>
          <t>Turns through the new beginning that comes after deep ancestral understanding — where knowing what was makes what must be clearer.</t>
        </is>
      </c>
      <c r="Z42" t="inlineStr">
        <is>
          <t>The Ancient Earth stone in its deepest ancestral function — where what is being accessed through past life regression is genuinely needed for understanding the shape of this lifetime, petrified wood carries the authority of what has survived longer than human memory.</t>
        </is>
      </c>
    </row>
    <row r="43" ht="49.5" customHeight="1" s="56">
      <c r="A43" s="4" t="inlineStr">
        <is>
          <t>Pyrite (Fool's Gold)</t>
        </is>
      </c>
      <c r="B43" s="4" t="inlineStr">
        <is>
          <t>Fire Stone</t>
        </is>
      </c>
      <c r="C43" s="4" t="inlineStr">
        <is>
          <t>FeS₂</t>
        </is>
      </c>
      <c r="D43" s="5"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E43" s="5" t="inlineStr">
        <is>
          <t>Used to strike fire; signifies wealth, manifestation, and memory [cite: 1.1.4].</t>
        </is>
      </c>
      <c r="F43" s="4" t="inlineStr">
        <is>
          <t>mars</t>
        </is>
      </c>
      <c r="G43" s="4" t="inlineStr">
        <is>
          <t>fire</t>
        </is>
      </c>
      <c r="H43" s="4" t="inlineStr">
        <is>
          <t>projective</t>
        </is>
      </c>
      <c r="I43" s="4" t="inlineStr">
        <is>
          <t>Tuesday</t>
        </is>
      </c>
      <c r="J43" s="5" t="inlineStr">
        <is>
          <t>ARES, MARS, TIWAZ, THOR</t>
        </is>
      </c>
      <c r="K43" s="5" t="inlineStr">
        <is>
          <t>BELTANE</t>
        </is>
      </c>
      <c r="L43" s="5" t="inlineStr">
        <is>
          <t>Prized by the people of Mexico Pyrite was used to fashion polished “mirrors” that were believed to be used for scrying.  Although Pyrite may be nick named “fools gold” it is in many ways magically in line with the mineral gold itself</t>
        </is>
      </c>
      <c r="M43" s="5" t="inlineStr">
        <is>
          <t>Logic, clarity, mem, Clairvoyance, Prosperity, will power, grounding, Harmony, Strength</t>
        </is>
      </c>
      <c r="N43" s="5" t="inlineStr">
        <is>
          <t>Pyrite “suns” draw pain from the body, as well as assist in  easing depression symptoms. It is also said to help in reducing swelling, reducing fevers when used directly on the physical body.assist one in balancing, activating the 1st, Base, Root Chakra</t>
        </is>
      </c>
      <c r="O43" s="5" t="inlineStr">
        <is>
          <t>*Pyrite (Fool's Gold)*  Also known as: Fire Stone.  Mineral composition: FeS₂.  Planet: mars  Element: fire  Energy: projective  Sacred Day: Tuesday.  Deity associations: Baldor.  Sabbat: BELTANE.  Association: Used to strike fire; signifies wealth, manifestation, and memory [cite: 1.1.4]..  Magical uses: Although Pyrite may be nick named “fools gold” it is in many ways magically in line with the mineral gold itself. Used in spells, rituals regarding money, Prosperity, carried to bring good luck in fulfilling one’s monetary needs.. Useful f, using as scrying mirr, s..  Powers: Logic, clarity, mem, Clairvoyance, Prosperity, will power, grounding, Harmony, Strength.  Spiritual uses: Pyrite “suns” draw pain from the body, as well as assist in  easing depression symptoms. It is also said to help in reducing swelling, reducing fevers when used directly on the physical body.assist one in balancing, activating the 1st, Base, Root Chakra.  Folk lore: Prized by the people of Mexico Pyrite was used to fashion polished “mirrors” that were believed to be used for scrying.  Although Pyrite may be nick named “fools gold” it is in many ways magically in line with the mineral gold itself.  Geology &amp; origin: Pyrite occurs as cubes or as “pyritohedra”,  which have twelve faces, and each of those faces having five edges..</t>
        </is>
      </c>
      <c r="P43" s="4" t="inlineStr">
        <is>
          <t>Pine</t>
        </is>
      </c>
      <c r="Q43" s="5" t="inlineStr">
        <is>
          <t>Pyrite occurs as cubes or as “pyritohedra”,  which have twelve faces, and each of those faces having five edges.</t>
        </is>
      </c>
      <c r="R43" s="5" t="inlineStr">
        <is>
          <t>Warning: May contain trace arsenic. Do not use in direct gem elixirs. Wash hands after handling. Keep away from moisture — can oxidise.</t>
        </is>
      </c>
      <c r="S43" t="inlineStr">
        <is>
          <t>Prosperity, Increasing wealth, Luck, Scrying,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Prophetic dreams, Invoking dreams, Dream work, Dreams, Visions, Seeing the unseen, Seeing manifestations, Truth, Honesty, Removing deception, Subconscious work, Digging into the subconscious, Uprooting what is hidden, Dowsing, Treasure seeking, Lost object finding</t>
        </is>
      </c>
      <c r="T43" s="42" t="inlineStr">
        <is>
          <t>The Fire Stone — pyrite forms as perfect cubes or pyritohedra, which should tell you immediately that this is an unusual mineral. Nicknamed Fool's Gold but magically in line with real gold. Used in money and prosperity spells. Useful as a scrying mirror in firelight. The shining stone that cannot be deceived into being less than it appears.</t>
        </is>
      </c>
      <c r="U43" t="inlineStr">
        <is>
          <t>Prosperity and harmony drawn through pyrite's fire energy.</t>
        </is>
      </c>
      <c r="V43" t="inlineStr">
        <is>
          <t>Clarity, will power, grounding and strength — pyrite held in any working that needs golden determination.</t>
        </is>
      </c>
      <c r="W43" t="inlineStr">
        <is>
          <t>None specified.</t>
        </is>
      </c>
      <c r="X43" t="inlineStr">
        <is>
          <t>Opens the scrying function — pyrite used as a mirror where the firelight shows what cannot be seen directly.</t>
        </is>
      </c>
      <c r="Y43" t="inlineStr">
        <is>
          <t>Turns through the movement from aspiration to gold — what was seeming now becoming real.</t>
        </is>
      </c>
      <c r="Z43" t="inlineStr">
        <is>
          <t>The Fire Stone in its most complete scrying function — where the mirror of pyrite in firelight reveals not just what is present but what is being shaped by the working, pyrite shows the trajectory of what has been set in motion.</t>
        </is>
      </c>
    </row>
    <row r="44" ht="74.25" customHeight="1" s="56">
      <c r="A44" s="2" t="inlineStr">
        <is>
          <t xml:space="preserve">quartz Rose </t>
        </is>
      </c>
      <c r="B44" s="2" t="inlineStr">
        <is>
          <t>Stone of the Heart</t>
        </is>
      </c>
      <c r="C44" s="2" t="inlineStr">
        <is>
          <t>Rose Quartz (SiO₂)</t>
        </is>
      </c>
      <c r="D44" s="3" t="inlineStr">
        <is>
          <t>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t>
        </is>
      </c>
      <c r="E44" s="3" t="inlineStr">
        <is>
          <t>The universal stone of love, harmony, and emotional healing.</t>
        </is>
      </c>
      <c r="F44" s="2" t="inlineStr">
        <is>
          <t>Venus, Venus</t>
        </is>
      </c>
      <c r="G44" s="2" t="inlineStr">
        <is>
          <t>Air</t>
        </is>
      </c>
      <c r="H44" s="2" t="inlineStr">
        <is>
          <t>receptive</t>
        </is>
      </c>
      <c r="I44" s="2" t="inlineStr">
        <is>
          <t>Friday</t>
        </is>
      </c>
      <c r="J44" s="2" t="inlineStr">
        <is>
          <t>ALL</t>
        </is>
      </c>
      <c r="K44" s="3" t="inlineStr">
        <is>
          <t>OSTARA</t>
        </is>
      </c>
      <c r="L44" s="3" t="inlineStr">
        <is>
          <t>Regularly referred to as the “Love” or “Heart” Stone, Rose Quartz is a gem of unconditional love, whose energies help to open oneself to all forms of available love: self love, familial love, platonic love, romantic love, and more.  Rose Quartz will give just the proper enhancement of love in virtually any situation.</t>
        </is>
      </c>
      <c r="M44" s="3" t="inlineStr">
        <is>
          <t>Confidence, Peace, Fertility, creativity, Love, compassion, beauty, Fidelity, Happiness</t>
        </is>
      </c>
      <c r="N44" s="3" t="inlineStr">
        <is>
          <t>used to stimulate love, to open the heart chakra.</t>
        </is>
      </c>
      <c r="O44" s="3" t="inlineStr">
        <is>
          <t>*quartz Rose*  Also known as: Stone of the Heart.  Mineral composition: Rose Quartz (SiO₂).  Planet: Venus, Venus  Element: Air  Energy: receptive  Sacred Day: Friday.  Deity associations: venus, aphrodite, Ereyr.  Sabbat: OSTARA.  Association: The universal stone of love, harmony, and emotional healing..  Magical uses: 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  Powers: Confidence, Peace, Fertility, creativity, Love, compassion, beauty, Fidelity, Happiness.  Spiritual uses: used to stimulate love, to open the heart chakra..  Folk lore: Regularly referred to as the “Love” or “Heart” Stone, Rose Quartz is a gem of unconditional love, whose energies help to open oneself to all forms of available love: self love, familial love, platonic love, romantic love, and more.  Rose Quartz will give just the proper enhancement of love in virtually any situation..  Geology &amp; origin: According to archaeological records Rose Quartz was used as early as the 800-600 B.C. by the Assyrians. Later it became popular with the Greeks &amp; Romans
The name quartz comes from the Greek derivative krustallos, meaning ice, as it was thought that quartz was actually ice formed by the Gods..</t>
        </is>
      </c>
      <c r="P44" s="2" t="inlineStr">
        <is>
          <t>Peppermint</t>
        </is>
      </c>
      <c r="Q44" s="3" t="inlineStr">
        <is>
          <t>According to archaeological records Rose Quartz was used as early as the 800-600 B.C. by the Assyrians. Later it became popular with the Greeks &amp; Romans
The name quartz comes from the Greek derivative krustallos, meaning ice, as it was thought that quartz was actually ice formed by the Gods.</t>
        </is>
      </c>
      <c r="R44" s="3" t="inlineStr">
        <is>
          <t>Generally safe for handling and use.</t>
        </is>
      </c>
      <c r="S44" t="inlineStr">
        <is>
          <t>Love, Happiness, Peace, Fidelity,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Joy, Joyous celebrations, Contentment, Faithfulness, Loyalty, Promoting fidelity, Ensuring a lover returns love</t>
        </is>
      </c>
      <c r="T44" s="42" t="inlineStr">
        <is>
          <t>The Stone of the Heart — rose quartz found in massive formations in Brazil and Madagascar, its pale pink colour the colour of the heart opening after winter. Used in rituals for peace, fidelity and the attraction of love. Promotes peace between people. The heart chakra stone placed over the heart when love needs healing or drawing. The gentlest of the quartz family.</t>
        </is>
      </c>
      <c r="U44" t="inlineStr">
        <is>
          <t>Peace, fertility, love, compassion, beauty, fidelity and happiness drawn through rose quartz.</t>
        </is>
      </c>
      <c r="V44" t="inlineStr">
        <is>
          <t>Confidence — the self-love that makes other love possible.</t>
        </is>
      </c>
      <c r="W44" t="inlineStr">
        <is>
          <t>None specified.</t>
        </is>
      </c>
      <c r="X44" t="inlineStr">
        <is>
          <t>Opens the hidden block to love — where the heart has been closed and must be gently persuaded to open.</t>
        </is>
      </c>
      <c r="Y44" t="inlineStr">
        <is>
          <t>Turns through the movement from closed to open — the heart chakra work that makes love possible again.</t>
        </is>
      </c>
      <c r="Z44" t="inlineStr">
        <is>
          <t>The Heart Stone in its most vulnerable and complete opening — where the working is about the full opening of the heart chakra including what was closed after genuine loss, rose quartz tends that opening with the patience it requires and without demanding a timeline.</t>
        </is>
      </c>
    </row>
    <row r="45" ht="74.25" customHeight="1" s="56">
      <c r="A45" s="4" t="inlineStr">
        <is>
          <t xml:space="preserve">quartz rutilated </t>
        </is>
      </c>
      <c r="B45" s="4" t="inlineStr">
        <is>
          <t>Venus Hair</t>
        </is>
      </c>
      <c r="C45" s="4" t="inlineStr">
        <is>
          <t>Rutilated Quartz (SiO₂ with TiO₂)</t>
        </is>
      </c>
      <c r="D45" s="5" t="inlineStr">
        <is>
          <t>Because Quartz is so good at abs, bing energy you must take care to cleanse it th, oughly after w, king with it. Nobody should be allowed to touch your personal Quartz without your permission, unless perhaps you need to capture their energy f, some reason. wear during magical rituals, place the stone on the altar to increase the effectiveness of your magic.</t>
        </is>
      </c>
      <c r="E45" s="5" t="inlineStr">
        <is>
          <t>Used for illumination, spiritual growth, and attracting wealth.</t>
        </is>
      </c>
      <c r="F45" s="4" t="inlineStr">
        <is>
          <t>Moon</t>
        </is>
      </c>
      <c r="G45" s="4" t="inlineStr">
        <is>
          <t>water</t>
        </is>
      </c>
      <c r="H45" s="4" t="inlineStr">
        <is>
          <t>receptive</t>
        </is>
      </c>
      <c r="I45" s="4" t="inlineStr">
        <is>
          <t>Monday</t>
        </is>
      </c>
      <c r="J45" s="4" t="inlineStr">
        <is>
          <t>ARTEMIS, DIANA, LUNA, SELENE</t>
        </is>
      </c>
      <c r="K45" s="5" t="inlineStr">
        <is>
          <t>SAMHAIN</t>
        </is>
      </c>
      <c r="L45" s="5" t="inlineStr">
        <is>
          <t xml:space="preserve">Rutilated quartz is said to slow down the aging process and is said to be a strong healer. </t>
        </is>
      </c>
      <c r="M45" s="5" t="inlineStr">
        <is>
          <t>A very personal magical stone used to develop scrying ability, Magical power, to focus spell casting f, increased success.  Healing, drawing out pain, protection from negative vibrations, meditation, psychic powers, Harmony, magickal strength.</t>
        </is>
      </c>
      <c r="N45" s="5" t="inlineStr">
        <is>
          <t>Rutilated quartz is reputed to be an energizing stone that helps get energy moving on all levels. Intuitive sources say that it assists with mental focus. It is also said to attract love, stabilize relationships. Rutilated quartz said to be particularly effective f, getting things moving energetically. It can help slowed chakras return to n, mal spin, balance.</t>
        </is>
      </c>
      <c r="O45" s="5" t="inlineStr">
        <is>
          <t>*quartz rutilated*  Also known as: Venus Hair.  Mineral composition: Rutilated Quartz (SiO₂ with TiO₂).  Planet: Moon  Element: water  Energy: receptive  Sacred Day: Monday.  Deity associations: Vesta, Latona.  Sabbat: SAMHAIN.  Association: Used for illumination, spiritual growth, and attracting wealth..  Magical uses: Because Quartz is so good at abs, bing energy you must take care to cleanse it th, oughly after w, king with it. Nobody should be allowed to touch your personal Quartz without your permission, unless perhaps you need to capture their energy f, some reason. wear during magical rituals, place the stone on the altar to increase the effectiveness of your magic..  Powers: A very personal magical stone used to develop scrying ability, Magical power, to focus spell casting f, increased success.  Healing, drawing out pain, protection from negative vibrations, meditation, psychic powers, Harmony, magickal strength..  Spiritual uses: Rutilated quartz is reputed to be an energizing stone that helps get energy moving on all levels. Intuitive sources say that it assists with mental focus. It is also said to attract love, stabilize relationships. Rutilated quartz said to be particularly effective f, getting things moving energetically. It can help slowed chakras return to n, mal spin, balance..  Folk lore: Rutilated quartz is said to slow down the aging process and is said to be a strong healer..  Geology &amp; origin: Rutilated quartz, is a type of quartz with needlelike rutile  embedded in it. The rutile needles can be reddish, which is what rutile means in Latin, or they may be golden, silvery, or on very rare occasions, greenish..</t>
        </is>
      </c>
      <c r="P45" s="4" t="inlineStr">
        <is>
          <t>Melissa</t>
        </is>
      </c>
      <c r="Q45" s="5" t="inlineStr">
        <is>
          <t xml:space="preserve"> Rutilated quartz, is a type of quartz with needlelike rutile  embedded in it. The rutile needles can be reddish, which is what rutile means in Latin, or they may be golden, silvery, or on very rare occasions, greenish.</t>
        </is>
      </c>
      <c r="R45" s="5" t="inlineStr">
        <is>
          <t>Generally safe for handling and use.</t>
        </is>
      </c>
      <c r="S45" t="inlineStr">
        <is>
          <t>Magical power, Healing, Clairvoyance, Protection, Strength, Increasing magical power, Increasing spell power, Power amplification, Bolstering spells, Bolstering incense, Strengthening spells, Potency, Power, Magic, WISDOM IN MAGICK, defensive magic,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Stimulating psychic senses, Disabling psychic phenomena, Psychic communication, communication and psychic abilities, Protective charm, Protective charms, Protective sachets, Protective wreaths, Protective incense, PROTECT AGAINST NEGATIVITY, Protection from negativity, Circle protection, Physical Strength, Fortitude, Vitality, Inner power, and strength</t>
        </is>
      </c>
      <c r="T45" s="42" t="inlineStr">
        <is>
          <t>Venus Hair — rutilated quartz containing golden or silver needles of rutile inside clear or smoky quartz. Because quartz is so good at absorbing energy it must be thoroughly cleansed after any working. Worn in magical rituals and placed on altars to increase effectiveness. Carries healing, protection from negative vibrations and the increase of magical power.</t>
        </is>
      </c>
      <c r="U45" t="inlineStr">
        <is>
          <t>Harmony and the drawing out of pain — rutilated quartz in healing work.</t>
        </is>
      </c>
      <c r="V45" t="inlineStr">
        <is>
          <t>Magical power, increased success, healing and psychic powers — the amplifying stone.</t>
        </is>
      </c>
      <c r="W45" t="inlineStr">
        <is>
          <t>The cleansing of absorbed energy — rutilated quartz must be released of what it has taken in.</t>
        </is>
      </c>
      <c r="X45" t="inlineStr">
        <is>
          <t>Opens the deeper magical power available through amplification — where what was working must now work at a higher level.</t>
        </is>
      </c>
      <c r="Y45" t="inlineStr">
        <is>
          <t>Turns through the increase of success and the sustained healing of what was damaged.</t>
        </is>
      </c>
      <c r="Z45" t="inlineStr">
        <is>
          <t>The Venus Hair stone in its most amplifying function in Over 18 working — where the intention being amplified is of the most intimate kind, rutilated quartz carries it with the same fidelity it brings to everything else. Cleanse thoroughly after use.</t>
        </is>
      </c>
    </row>
    <row r="46" ht="74.25" customHeight="1" s="56">
      <c r="A46" s="2" t="inlineStr">
        <is>
          <t xml:space="preserve">quartz smokey </t>
        </is>
      </c>
      <c r="B46" s="2" t="inlineStr">
        <is>
          <t>Earth Shaman</t>
        </is>
      </c>
      <c r="C46" s="2" t="inlineStr">
        <is>
          <t>Smoky Quartz (SiO₂)</t>
        </is>
      </c>
      <c r="D46" s="3" t="inlineStr">
        <is>
          <t>it is a mood elevat, is w, n as a grounding stone.</t>
        </is>
      </c>
      <c r="E46" s="3" t="inlineStr">
        <is>
          <t>Used to transmute negative energy into positive; deep grounding.</t>
        </is>
      </c>
      <c r="F46" s="2" t="inlineStr">
        <is>
          <t>moon</t>
        </is>
      </c>
      <c r="G46" s="2" t="inlineStr">
        <is>
          <t>Water</t>
        </is>
      </c>
      <c r="H46" s="2" t="inlineStr">
        <is>
          <t>receptive</t>
        </is>
      </c>
      <c r="I46" s="2" t="inlineStr">
        <is>
          <t>Monday</t>
        </is>
      </c>
      <c r="J46" s="2" t="inlineStr">
        <is>
          <t>ARTEMIS, DIANA, LUNA, SELENE</t>
        </is>
      </c>
      <c r="K46" s="3" t="inlineStr">
        <is>
          <t>SAMHAIN</t>
        </is>
      </c>
      <c r="L46" s="3" t="inlineStr">
        <is>
          <t>This variety was sometimes known as smoky topaz in the past, which is incorrect and misleading, since the mineral variety is quartz, not topaz.</t>
        </is>
      </c>
      <c r="M46" s="3" t="inlineStr">
        <is>
          <t>A very personal magical stone used to develop scrying ability, Magical power, to focus spell casting f, increased success.  Healing, drawing out pain, protection from negative vibrations, meditation, psychic powers, Harmony, magickal strength.</t>
        </is>
      </c>
      <c r="N46" s="3" t="inlineStr">
        <is>
          <t>It overcomes depression, other negative emotions.Strengthening the back, Increasing wealth, king to improve the abdomen, pancreas, kidneys, Fertility, gans, general fertility issues.  Relieving pain by abs, bing negative energies, assisting with recurring headaches, Anti-theft, tifies the nerves.Smoky quartz is associated with the 1st root, base chakra.</t>
        </is>
      </c>
      <c r="O46" s="3" t="inlineStr">
        <is>
          <t>*quartz smokey*  Also known as: Earth Shaman.  Mineral composition: Smoky Quartz (SiO₂).  Planet: moon  Element: Water  Energy: receptive  Sacred Day: Monday.  Deity associations: Gaia.  Sabbat: SAMHAIN.  Association: Used to transmute negative energy into positive; deep grounding..  Magical uses: it is a mood elevat, is w, n as a grounding stone..  Powers: A very personal magical stone used to develop scrying ability, Magical power, to focus spell casting f, increased success.  Healing, drawing out pain, protection from negative vibrations, meditation, psychic powers, Harmony, magickal strength..  Spiritual uses: It overcomes depression, other negative emotions.Strengthening the back, Increasing wealth, king to improve the abdomen, pancreas, kidneys, Fertility, gans, general fertility issues.  Relieving pain by abs, bing negative energies, assisting with recurring headaches, Anti-theft, tifies the nerves.Smoky quartz is associated with the 1st root, base chakra..  Folk lore: This variety was sometimes known as smoky topaz in the past, which is incorrect and misleading, since the mineral variety is quartz, not topaz..  Geology &amp; origin: Smoky quartz is a brown transparent quartz that is sometimes used for unusual faceted cuts. The commercial market is limited due to the limited demand for brown gemstones. This variety was sometimes known as smoky topaz in the past, which is incorrect and misleading, since the mineral variety is quartz, not topaz..</t>
        </is>
      </c>
      <c r="P46" s="2" t="inlineStr">
        <is>
          <t>Melissa</t>
        </is>
      </c>
      <c r="Q46" s="3" t="inlineStr">
        <is>
          <t>Smoky quartz is a brown transparent quartz that is sometimes used for unusual faceted cuts. The commercial market is limited due to the limited demand for brown gemstones. This variety was sometimes known as smoky topaz in the past, which is incorrect and misleading, since the mineral variety is quartz, not topaz.</t>
        </is>
      </c>
      <c r="R46" s="3" t="inlineStr">
        <is>
          <t>Generally safe for handling and use. Avoid prolonged sunlight — colour may fade.</t>
        </is>
      </c>
      <c r="S46" t="inlineStr">
        <is>
          <t>Strength, Harmony, Cleansing, Protection, Meditation, Banishing, Physical Strength, Fortitude, Vitality, Inner power, and strength,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Protective charm, Protective charms, Protective sachets, Protective wreaths, Protective incense, PROTECT AGAINST NEGATIVITY, Protection from negativity, Circle protection</t>
        </is>
      </c>
      <c r="T46" s="42" t="inlineStr">
        <is>
          <t>The Earth Shaman — smoky quartz is a brown transparent quartz coloured by natural radiation in the earth. A mood elevator and grounding stone. Carries the same amplifying properties of clear quartz with the additional earthing that its colour provides. Used where the spiritual must be very firmly grounded in physical reality.</t>
        </is>
      </c>
      <c r="U46" t="inlineStr">
        <is>
          <t>Harmony and the drawing out of pain — smoky quartz in its quieter healing function.</t>
        </is>
      </c>
      <c r="V46" t="inlineStr">
        <is>
          <t>Magical power, healing and psychic powers — the grounded amplifier.</t>
        </is>
      </c>
      <c r="W46" t="inlineStr">
        <is>
          <t>None specified.</t>
        </is>
      </c>
      <c r="X46" t="inlineStr">
        <is>
          <t>Opens meditation and the psychic powers through the earth's own radioactive patience.</t>
        </is>
      </c>
      <c r="Y46" t="inlineStr">
        <is>
          <t>Turns through increased success and healing — smoky quartz grounding the healing into the body.</t>
        </is>
      </c>
      <c r="Z46" t="inlineStr">
        <is>
          <t>The Earth Shaman stone in its grounding function for intense working — where the energy raised in an Over 18 working must be very firmly earthed afterwards, smoky quartz is the stone placed in the hand when the working is complete.</t>
        </is>
      </c>
    </row>
    <row r="47" ht="74.25" customHeight="1" s="56">
      <c r="A47" s="4" t="inlineStr">
        <is>
          <t xml:space="preserve">quartz snow </t>
        </is>
      </c>
      <c r="B47" s="4" t="inlineStr">
        <is>
          <t>Winter's Wisdom</t>
        </is>
      </c>
      <c r="C47" s="4" t="inlineStr">
        <is>
          <t>Snow Quartz (SiO₂)</t>
        </is>
      </c>
      <c r="D47" s="5" t="inlineStr">
        <is>
          <t>Because Quartz is so good at abs, bing energy you must take care to cleanse it th, oughly after w, king with it. Nobody should be allowed to touch your personal Quartz without your permission, unless perhaps you need to capture their energy f, some reason. Snow Quartz is an excellent stone f, transmitting healing energy, especially f, emotional healing.Snow quartz is often used f, purification.</t>
        </is>
      </c>
      <c r="E47" s="5" t="inlineStr">
        <is>
          <t>Used for mental clarity and connecting to feminine wisdom.</t>
        </is>
      </c>
      <c r="F47" s="4" t="inlineStr">
        <is>
          <t>moon</t>
        </is>
      </c>
      <c r="G47" s="4" t="inlineStr">
        <is>
          <t>Air</t>
        </is>
      </c>
      <c r="H47" s="4" t="inlineStr">
        <is>
          <t>receptive</t>
        </is>
      </c>
      <c r="I47" s="4" t="inlineStr">
        <is>
          <t>Monday</t>
        </is>
      </c>
      <c r="J47" s="4" t="inlineStr">
        <is>
          <t>ARTEMIS, DIANA, LUNA, SELENE</t>
        </is>
      </c>
      <c r="K47" s="5" t="inlineStr">
        <is>
          <t>IMBOLC</t>
        </is>
      </c>
      <c r="L47" s="5" t="inlineStr">
        <is>
          <t>It is said that Snow Quartz supports you while learning lessons and helps you to let go of overwhelming responsibilities and limitations.</t>
        </is>
      </c>
      <c r="M47" s="5" t="inlineStr">
        <is>
          <t>A very personal magical stone used to develop scrying ability, Magical power, to focus spell casting f, increased success.  Healing, drawing out pain, protection from negative vibrations, meditation, psychic powers, Harmony, magickal strength.</t>
        </is>
      </c>
      <c r="N47" s="5" t="inlineStr">
        <is>
          <t>Snow quartz is a stone that brings good f, tune.
It is also a calming, soothing stone.
Snow quartz is helpful f, meditation, looking within.
It also has all the properties of clear quartz to a lesser degree.
Physically, it is beneficial f, the immune system.</t>
        </is>
      </c>
      <c r="O47" s="5" t="inlineStr">
        <is>
          <t>*quartz snow*  Also known as: Winter's Wisdom.  Mineral composition: Snow Quartz (SiO₂).  Planet: moon  Element: Air  Energy: receptive  Sacred Day: Monday.  Deity associations: Allat.  Sabbat: IMBOLC.  Association: Used for mental clarity and connecting to feminine wisdom..  Magical uses: Because Quartz is so good at abs, bing energy you must take care to cleanse it th, oughly after w, king with it. Nobody should be allowed to touch your personal Quartz without your permission, unless perhaps you need to capture their energy f, some reason. Snow Quartz is an excellent stone f, transmitting healing energy, especially f, emotional healing.Snow quartz is often used f, purification..  Powers: A very personal magical stone used to develop scrying ability, Magical power, to focus spell casting f, increased success.  Healing, drawing out pain, protection from negative vibrations, meditation, psychic powers, Harmony, magickal strength..  Spiritual uses: Snow quartz is a stone that brings good f, tune.
It is also a calming, soothing stone.
Snow quartz is helpful f, meditation, looking within.
It also has all the properties of clear quartz to a lesser degree.
Physically, it is beneficial f, the immune system..  Folk lore: It is said that Snow Quartz supports you while learning lessons and helps you to let go of overwhelming responsibilities and limitations..  Geology &amp; origin: Snow Quartz is a very common variety which is often found as pebbles on the sea shore. They are white and slightly glassy, often with dark staining caused by iron in the stone..</t>
        </is>
      </c>
      <c r="P47" s="4" t="inlineStr">
        <is>
          <t>Melissa</t>
        </is>
      </c>
      <c r="Q47" s="5" t="inlineStr">
        <is>
          <t xml:space="preserve">Snow Quartz is a very common variety which is often found as pebbles on the sea shore. They are white and slightly glassy, often with dark staining caused by iron in the stone. </t>
        </is>
      </c>
      <c r="R47" s="5" t="inlineStr">
        <is>
          <t>Generally safe for handling and use.</t>
        </is>
      </c>
      <c r="S47" t="inlineStr">
        <is>
          <t>Healing, Purification, Cleansing, Harmony, Peace,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T47" s="42" t="inlineStr">
        <is>
          <t>Winter's Wisdom — snow quartz is a very common variety whose white colour comes from inclusions and fractures rather than chemical impurities. Transmits healing energy with particular clarity for emotional healing. The quartz family's most gentle healer. Used for purification when the other quartzes feel too forceful.</t>
        </is>
      </c>
      <c r="U47" t="inlineStr">
        <is>
          <t>Harmony and the drawing out of pain — snow quartz in emotional healing work.</t>
        </is>
      </c>
      <c r="V47" t="inlineStr">
        <is>
          <t>Transmitting healing energy — the gentle, consistent healing of snow quartz.</t>
        </is>
      </c>
      <c r="W47" t="inlineStr">
        <is>
          <t>Purification — snow quartz in cleansing and purification workings.</t>
        </is>
      </c>
      <c r="X47" t="inlineStr">
        <is>
          <t>Opens the emotional healing channel — where the emotional wound must first be seen before it can be healed.</t>
        </is>
      </c>
      <c r="Y47" t="inlineStr">
        <is>
          <t>Turns through the transmission of healing energy — the gentle sustained healing of what was damaged.</t>
        </is>
      </c>
      <c r="Z47" t="inlineStr">
        <is>
          <t>The Winter's Wisdom stone in its most purifying function — where the emotional healing required is of the gentlest kind, the kind that cannot be hurried, snow quartz transmits that patient healing energy without adding any pressure.</t>
        </is>
      </c>
    </row>
    <row r="48" ht="74.25" customHeight="1" s="56">
      <c r="A48" s="2" t="inlineStr">
        <is>
          <t>Red Jasper</t>
        </is>
      </c>
      <c r="B48" s="2" t="inlineStr">
        <is>
          <t>Warrior's Stone</t>
        </is>
      </c>
      <c r="C48" s="2" t="inlineStr">
        <is>
          <t>Jasper (SiO₂)</t>
        </is>
      </c>
      <c r="D48" s="3"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E48" s="3" t="inlineStr">
        <is>
          <t>Known for strength, protection, and endurance.</t>
        </is>
      </c>
      <c r="F48" s="2" t="inlineStr">
        <is>
          <t>mars</t>
        </is>
      </c>
      <c r="G48" s="2" t="inlineStr">
        <is>
          <t>fire</t>
        </is>
      </c>
      <c r="H48" s="2" t="inlineStr">
        <is>
          <t>projective</t>
        </is>
      </c>
      <c r="I48" s="2" t="inlineStr">
        <is>
          <t>Tuesday</t>
        </is>
      </c>
      <c r="J48" s="2" t="inlineStr">
        <is>
          <t>ARES, MARS, TIWAZ, THOR</t>
        </is>
      </c>
      <c r="K48" s="3" t="inlineStr">
        <is>
          <t>BELTANE</t>
        </is>
      </c>
      <c r="L48" s="3" t="inlineStr">
        <is>
          <t>Used to be engraved with images of lions or archers and carried to ward off fevers and guard against poison. Worn by young ladies to promote beauty and  grace.The ancient Egyptians wore Jasper scarabs as amulets, as this stone was believed to increase sexual energy.</t>
        </is>
      </c>
      <c r="M48" s="3" t="inlineStr">
        <is>
          <t>Beauty, grace, increasing mental processes, Luck, easing pain of childbirth, Anti-theft, ming barrier against dangerous whims &amp; desires.</t>
        </is>
      </c>
      <c r="N48" s="3" t="inlineStr">
        <is>
          <t>When laid on therapeutically, red version of this stone stimulates sexuality, fertility. Red is associated with the 1st, Root, Base Chakra, the 2nd Sacral Chakra</t>
        </is>
      </c>
      <c r="O48" s="3" t="inlineStr">
        <is>
          <t>*Red Jasper*  Also known as: Warrior's Stone.  Mineral composition: Jasper (SiO₂).  Planet: mars  Element: fire  Energy: projective  Sacred Day: Tuesday.  Deity associations: Mary Magdalene.  Sabbat: BELTANE.  Association: Known for strength, protection, and endurance..  Magical uses: 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  Powers: Beauty, grace, increasing mental processes, Luck, easing pain of childbirth, Anti-theft, ming barrier against dangerous whims &amp; desires..  Spiritual uses: When laid on therapeutically, red version of this stone stimulates sexuality, fertility. Red is associated with the 1st, Root, Base Chakra, the 2nd Sacral Chakra.  Folk lore: Used to be engraved with images of lions or archers and carried to ward off fevers and guard against poison. Worn by young ladies to promote beauty and  grace.The ancient Egyptians wore Jasper scarabs as amulets, as this stone was believed to increase sexual energy..  Geology &amp; origin: Jasper is an opaque form of the mineral quartz.</t>
        </is>
      </c>
      <c r="P48" s="2" t="inlineStr">
        <is>
          <t>Pine</t>
        </is>
      </c>
      <c r="Q48" s="3" t="inlineStr">
        <is>
          <t>Jasper is an opaque form of the mineral quartz</t>
        </is>
      </c>
      <c r="R48" s="3" t="inlineStr">
        <is>
          <t>Generally safe for handling and use.</t>
        </is>
      </c>
      <c r="S48" t="inlineStr">
        <is>
          <t>Love, Aphrodisiac, Protection, Nightmare prevention,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Protective charm, Protective charms, Protective sachets, Protective wreaths, Protective incense, PROTECT AGAINST NEGATIVITY, Protection from negativity, Circle protection, Preventing nightmares, Negating dreams, RID OF BAD DREAMS, Nightmares, Sleep, Rest, Encouraging sound sleep</t>
        </is>
      </c>
      <c r="T48" s="42" t="inlineStr">
        <is>
          <t>The Warrior's Stone — an opaque red mineral used in any spell concerning sex, love and strong emotions. Protective against nightmares and accidents. Can be used in meditation to discover some of the secret knowledge that demons possess. An excellent stone for menstrual magic. Increases awareness of the Moon and its effect on the physical body.</t>
        </is>
      </c>
      <c r="U48" t="inlineStr">
        <is>
          <t>Love, beauty and luck drawn through red jasper's Mars fire energy.</t>
        </is>
      </c>
      <c r="V48" t="inlineStr">
        <is>
          <t>The protective function against nightmares and dangerous whims — red jasper held where the protective barrier must be strong.</t>
        </is>
      </c>
      <c r="W48" t="inlineStr">
        <is>
          <t>None specified.</t>
        </is>
      </c>
      <c r="X48" t="inlineStr">
        <is>
          <t>Opens the secret knowledge available through meditation with this stone — where what is hidden in the deep self must surface.</t>
        </is>
      </c>
      <c r="Y48" t="inlineStr">
        <is>
          <t>Turns through the movement from emotional intensity into the Moon's clear seeing — what was felt is now understood.</t>
        </is>
      </c>
      <c r="Z48" t="inlineStr">
        <is>
          <t>The warrior's stone in its most intimate function — used in sex magic and the workings of strong emotion where the physical and the sacred must not be separated. The stone that honours desire as a genuine magical force.</t>
        </is>
      </c>
    </row>
    <row r="49" ht="86.25" customHeight="1" s="56">
      <c r="A49" s="4" t="inlineStr">
        <is>
          <t>Rhodocrosite</t>
        </is>
      </c>
      <c r="B49" s="4" t="inlineStr">
        <is>
          <t>Rose of the Incas</t>
        </is>
      </c>
      <c r="C49" s="4" t="inlineStr">
        <is>
          <t>Rhodochrosite (MnCO₃)</t>
        </is>
      </c>
      <c r="D49" s="5" t="inlineStr">
        <is>
          <t>Increasing wealth, k with this stone can help bring freedom from an oppressive situation, to break away from a destructive relationship. Helps you learn to use your creative powers f, your own benefit, to transf, m thoughts, ideas into real, physical creations. Helps heal emotional wounds suffered in childhood, bring out the ‘inner child’ in you so that you can see the w, ld with curiosity, wonder again.</t>
        </is>
      </c>
      <c r="E49" s="5" t="inlineStr">
        <is>
          <t>Stone of self-love and compassionate healing.</t>
        </is>
      </c>
      <c r="F49" s="4" t="inlineStr">
        <is>
          <t>mars</t>
        </is>
      </c>
      <c r="G49" s="4" t="inlineStr">
        <is>
          <t>fire</t>
        </is>
      </c>
      <c r="H49" s="4" t="inlineStr">
        <is>
          <t>projective</t>
        </is>
      </c>
      <c r="I49" s="4" t="inlineStr">
        <is>
          <t>Tuesday</t>
        </is>
      </c>
      <c r="J49" s="4" t="inlineStr">
        <is>
          <t>ARES, MARS, TIWAZ, THOR</t>
        </is>
      </c>
      <c r="K49" s="5" t="inlineStr">
        <is>
          <t>BELTANE</t>
        </is>
      </c>
      <c r="L49" s="5" t="inlineStr">
        <is>
          <t xml:space="preserve"> It is said to contain an electrical energy which is told to emit the strongest power in the Universe…the Power of Love.</t>
        </is>
      </c>
      <c r="M49" s="5" t="inlineStr">
        <is>
          <t>Balancing, Healing, beauty, intelligence, divine love, energy, Peace, loneliness, comf, Amulets/talismans, meeting potential, Confidence, Contacting planes, compassion, friendship. Increases self confidence, self reliance, independence, the ability to provide f, yourself.</t>
        </is>
      </c>
      <c r="N49" s="5" t="inlineStr">
        <is>
          <t>One may also use this stone f, wonderful relaxation in a Rhodochrosite bath. By adding a piece of the stone to the bath water, wearing one during a bath, Rhodochrosite will assist one in relaxing, de-stressing.</t>
        </is>
      </c>
      <c r="O49" s="5" t="inlineStr">
        <is>
          <t>*Rhodocrosite*  Also known as: Rose of the Incas.  Mineral composition: Rhodochrosite (MnCO₃).  Planet: mars  Element: fire  Energy: projective  Sacred Day: Tuesday.  Deity associations: Nisaba.  Sabbat: BELTANE.  Association: Stone of self-love and compassionate healing..  Magical uses: Increasing wealth, k with this stone can help bring freedom from an oppressive situation, to break away from a destructive relationship. Helps you learn to use your creative powers f, your own benefit, to transf, m thoughts, ideas into real, physical creations. Helps heal emotional wounds suffered in childhood, bring out the ‘inner child’ in you so that you can see the w, ld with curiosity, wonder again..  Powers: Balancing, Healing, beauty, intelligence, divine love, energy, Peace, loneliness, comf, Amulets/talismans, meeting potential, Confidence, Contacting planes, compassion, friendship. Increases self confidence, self reliance, independence, the ability to provide f, yourself..  Spiritual uses: One may also use this stone f, wonderful relaxation in a Rhodochrosite bath. By adding a piece of the stone to the bath water, wearing one during a bath, Rhodochrosite will assist one in relaxing, de-stressing..  Folk lore: It is said to contain an electrical energy which is told to emit the strongest power in the Universe…the Power of Love..  Geology &amp; origin: The pink color of Rhodochrosite is created by the presence of manganese and it is formed when manganese is dissolved by groundwater and combines with a carbonate material and then drips off the ceiling of caves and crevices deep underground. It is found in veins of silver, copper, lead and manganese. Rhodochrosite is found in Argentina, Mexico, Spain, Africa, Peru, and Montana, U.S..</t>
        </is>
      </c>
      <c r="P49" s="4" t="inlineStr">
        <is>
          <t>Pine</t>
        </is>
      </c>
      <c r="Q49" s="5" t="inlineStr">
        <is>
          <t>The pink color of Rhodochrosite is created by the presence of manganese and it is formed when manganese is dissolved by groundwater and combines with a carbonate material and then drips off the ceiling of caves and crevices deep underground. It is found in veins of silver, copper, lead and manganese. Rhodochrosite is found in Argentina, Mexico, Spain, Africa, Peru, and Montana, U.S.</t>
        </is>
      </c>
      <c r="R49" s="5" t="inlineStr">
        <is>
          <t>Warning: Contains manganese — do not use in direct gem elixirs. Wash hands after handling raw specimens.</t>
        </is>
      </c>
      <c r="S49" t="inlineStr">
        <is>
          <t>Increasing wealth, Healing, New beginnings,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Breaking habits, Breaking bad habits, Ending negative self-talk, Letting go of relationships, Ending guilt, Release, Renewal, New beginning spells, Fresh starts, Transformation, Change, rebirth, Breakthrough, Awakening, Growth, New ideas, Assisting transformation, Transformation/Evolution</t>
        </is>
      </c>
      <c r="T49" s="42" t="inlineStr">
        <is>
          <t>The Rose of the Incas — created by the rose color of manganese carbonate, found in ancient Inca silver mines in Argentina. Used to break away from oppressive situations and destructive relationships. Helps use creative powers for genuine benefit, transforms thoughts and ideas into real creations. Heals emotional wounds from childhood and brings back the curiosity and wonder of the inner child.</t>
        </is>
      </c>
      <c r="U49" t="inlineStr">
        <is>
          <t>Beauty, divine love, peace and friendship drawn through rhodocrosite's compassionate energy.</t>
        </is>
      </c>
      <c r="V49" t="inlineStr">
        <is>
          <t>Healing, confidence and friendship — the stone that restores the ability to connect.</t>
        </is>
      </c>
      <c r="W49" t="inlineStr">
        <is>
          <t>The breaking away from destructive relationships — rhodocrosite's primary release function.</t>
        </is>
      </c>
      <c r="X49" t="inlineStr">
        <is>
          <t>Opens the inner child and the wonder that was there before damage was done.</t>
        </is>
      </c>
      <c r="Y49" t="inlineStr">
        <is>
          <t>Turns through the healing of childhood wounds and the transformation of how creativity is used.</t>
        </is>
      </c>
      <c r="Z49" t="inlineStr">
        <is>
          <t>The Rose of the Incas in its deepest inner child healing — where the working reaches the place where desire was first taught to be ashamed of itself, rhodocrosite heals at that original point with the wonder and curiosity it has always carried.</t>
        </is>
      </c>
    </row>
    <row r="50" ht="74.25" customHeight="1" s="56">
      <c r="A50" s="2" t="inlineStr">
        <is>
          <t>Rhodonite</t>
        </is>
      </c>
      <c r="B50" s="2" t="inlineStr">
        <is>
          <t>Stone of Compassion</t>
        </is>
      </c>
      <c r="C50" s="2" t="inlineStr">
        <is>
          <t>MnSiO₃</t>
        </is>
      </c>
      <c r="D50" s="3" t="inlineStr">
        <is>
          <t>Rhodonite is a stone of inspiration that can help you to recognise, make use of your own unique talents. Takes away feelings of guilt, false modesty so that you can appreciate how special, gifted you are. Used in emotional healing to help rest, e feelings of w, Anti-theft, Confidence, self-love. Once you recognise your talents meditation with the stone can help you discover how you can use those gifts to better your life, your community.</t>
        </is>
      </c>
      <c r="E50" s="3" t="inlineStr">
        <is>
          <t>Used for healing emotional wounds and fostering forgiveness.</t>
        </is>
      </c>
      <c r="F50" s="2" t="inlineStr">
        <is>
          <t>mars</t>
        </is>
      </c>
      <c r="G50" s="2" t="inlineStr">
        <is>
          <t>Fire</t>
        </is>
      </c>
      <c r="H50" s="2" t="inlineStr">
        <is>
          <t>projective</t>
        </is>
      </c>
      <c r="I50" s="2" t="inlineStr">
        <is>
          <t>Tuesday</t>
        </is>
      </c>
      <c r="J50" s="2" t="inlineStr">
        <is>
          <t>ARES, MARS, TIWAZ, THOR</t>
        </is>
      </c>
      <c r="K50" s="3" t="inlineStr">
        <is>
          <t>BELTANE</t>
        </is>
      </c>
      <c r="L50" s="3" t="inlineStr">
        <is>
          <t>The word rhodonite is said to be derived from the Greek wordrhodos for ‘rose’, although there is also reference that credits an ancient Celtic word rhod, which means ‘wheel’, as the origins of this stone’s nam</t>
        </is>
      </c>
      <c r="M50" s="3" t="inlineStr">
        <is>
          <t>Assurance, underst, ing of cosmic purpose, ing of new concepts &amp; teachings, self-w, Anti-theft, Confidence, Peace, Happiness, laughter, strength against vulnerability, harmony in relationships, enabling change.</t>
        </is>
      </c>
      <c r="N50" s="3" t="inlineStr">
        <is>
          <t>Will aid in giving an aura of elegance, grace, keeping one’s dignity, temper during times of stress, it will help to relieve anxieties, help to reach one’s maximum potential.Rhodonite is most effective f, stimulation, clearing, activation of the 4th, Heart Chakra</t>
        </is>
      </c>
      <c r="O50" s="3" t="inlineStr">
        <is>
          <t>*Rhodonite*  Also known as: Stone of Compassion.  Mineral composition: MnSiO₃.  Planet: mars  Element: Fire  Energy: projective  Sacred Day: Tuesday.  Deity associations: venus.  Sabbat: BELTANE.  Association: Used for healing emotional wounds and fostering forgiveness..  Magical uses: Rhodonite is a stone of inspiration that can help you to recognise, make use of your own unique talents. Takes away feelings of guilt, false modesty so that you can appreciate how special, gifted you are. Used in emotional healing to help rest, e feelings of w, Anti-theft, Confidence, self-love. Once you recognise your talents meditation with the stone can help you discover how you can use those gifts to better your life, your community..  Powers: Assurance, underst, ing of cosmic purpose, ing of new concepts &amp; teachings, self-w, Anti-theft, Confidence, Peace, Happiness, laughter, strength against vulnerability, harmony in relationships, enabling change..  Spiritual uses: Will aid in giving an aura of elegance, grace, keeping one’s dignity, temper during times of stress, it will help to relieve anxieties, help to reach one’s maximum potential.Rhodonite is most effective f, stimulation, clearing, activation of the 4th, Heart Chakra.  Folk lore: The word rhodonite is said to be derived from the Greek wordrhodos for ‘rose’, although there is also reference that credits an ancient Celtic word rhod, which means ‘wheel’, as the origins of this stone’s nam.  Geology &amp; origin: A pnk/red manganese mineral with black inclusions. Rhodonite forms slowly and more patiently, allowing the manganese to meld and morph with a number of other minerals such as calcium and aluminum during the sedimentary process. When the manganese is exposed it will oxidize and as the minerals weather together this is the process that creates the lovely colored veins.</t>
        </is>
      </c>
      <c r="P50" s="2" t="inlineStr">
        <is>
          <t>Pine</t>
        </is>
      </c>
      <c r="Q50" s="3" t="inlineStr">
        <is>
          <t>A pnk/red manganese mineral with black inclusions. Rhodonite forms slowly and more patiently, allowing the manganese to meld and morph with a number of other minerals such as calcium and aluminum during the sedimentary process. When the manganese is exposed it will oxidize and as the minerals weather together this is the process that creates the lovely colored veins</t>
        </is>
      </c>
      <c r="R50" s="3" t="inlineStr">
        <is>
          <t>Generally safe for handling and use.</t>
        </is>
      </c>
      <c r="S50" t="inlineStr">
        <is>
          <t>Confidence, Healing, Wisdom, Love, Self-confidence, Courage, Bravery, Determination, Will Power, Leadership, Leadership skills, Commanding, Personal power, Healing magic, Healing spells, Healing sachets, Healing incenses, Healing mixtures, Healing rituals, Healing incense, Healing vibrations, healing after surgery, Aiding recovery, Aiding the ill, Improving health, Speeding recovery, Good health, health, Knowledge, Intelligence, Intuition, Mental clarity, Sharpening the wits, Sharpening the brain, Mental powers,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T50" s="42" t="inlineStr">
        <is>
          <t>The Stone of Compassion — pink and red manganese mineral with black inclusions. A stone of inspiration that helps the bearer recognise and use unique talents. Takes away false modesty and guilt so the self can be truly known. Used in emotional healing to restore feelings of worth and self-love. Once talents are recognised, meditation shows how those gifts can better one's community.</t>
        </is>
      </c>
      <c r="U50" t="inlineStr">
        <is>
          <t>Peace, happiness and harmony in relationships drawn through rhodonite's compassionate energy.</t>
        </is>
      </c>
      <c r="V50" t="inlineStr">
        <is>
          <t>Confidence and strength against vulnerability — the stone that makes the sensitive resilient.</t>
        </is>
      </c>
      <c r="W50" t="inlineStr">
        <is>
          <t>None specified.</t>
        </is>
      </c>
      <c r="X50" t="inlineStr">
        <is>
          <t>Opens the recognition of one's own gifts — where false modesty and guilt have obscured what was truly there.</t>
        </is>
      </c>
      <c r="Y50" t="inlineStr">
        <is>
          <t>Turns through the emotional healing and the recognition that the gift must now be used — for the self and for others.</t>
        </is>
      </c>
      <c r="Z50" t="inlineStr">
        <is>
          <t>The Compassion Stone in its most complete self-recognition function — where the working asks for the genuine acknowledgement of one's own gifts including those that require courage to claim in full view of others, rhodonite removes what has been in the way.</t>
        </is>
      </c>
    </row>
    <row r="51" ht="98.25" customHeight="1" s="56">
      <c r="A51" s="4" t="inlineStr">
        <is>
          <t>Ruby</t>
        </is>
      </c>
      <c r="B51" s="4" t="inlineStr">
        <is>
          <t>Ratnaraj (King of Gems)</t>
        </is>
      </c>
      <c r="C51" s="4" t="inlineStr">
        <is>
          <t>Corundum (Al₂O₃)</t>
        </is>
      </c>
      <c r="D51" s="5" t="inlineStr">
        <is>
          <t>Prosperity, Love, restful sleep, protection from st, ms &amp; negativity, Strength, Happiness, Confidence, sexual energy, enthusiasm, generosity, will power, contentment.  The stone carries the energy of both elemental Earth, Fire, is theref, e excellent f, grounding, transf, ming energy. As a healing stone Ruby increases energy, improves its circulation through the body, although its energies cans sometimes be quite unruly. Increases your ability to draw energy from the Earth when you need it. Used in meditation Ruby can help you communicate with Dragons, learn some of the wisdom of these fabulous beasts.</t>
        </is>
      </c>
      <c r="E51" s="5" t="inlineStr">
        <is>
          <t>Symbol of vitality and courage; highly protective and powerful [cite: 1.1.5].</t>
        </is>
      </c>
      <c r="F51" s="4" t="inlineStr">
        <is>
          <t>mars</t>
        </is>
      </c>
      <c r="G51" s="4" t="inlineStr">
        <is>
          <t>earth, fire</t>
        </is>
      </c>
      <c r="H51" s="4" t="inlineStr">
        <is>
          <t>projective</t>
        </is>
      </c>
      <c r="I51" s="4" t="inlineStr">
        <is>
          <t>Tuesday</t>
        </is>
      </c>
      <c r="J51" s="4" t="inlineStr">
        <is>
          <t>ARES, MARS, TIWAZ, THOR</t>
        </is>
      </c>
      <c r="K51" s="5" t="inlineStr">
        <is>
          <t>BELTANE</t>
        </is>
      </c>
      <c r="L51" s="5" t="inlineStr">
        <is>
          <t>Ruby is reputed to sing a baby from the womb and bring on labour at the right time. Changes of colour in the gem are said to mirror changes in the health of its owner and there are many legends of the colour draining from a Ruby at the time its owner dies It is told that Catherine of Aragon wore an infamous ruby, that legend tells us turned  dark and dull the day before Henry VII announced he was divorcing her.</t>
        </is>
      </c>
      <c r="M51" s="5" t="inlineStr">
        <is>
          <t>Prosperity, Love, restful sleep, protection from st, ms &amp; negativity, Strength, Happiness, Confidence, sexual energy, enthusiasm, generosity, will power, contentment.</t>
        </is>
      </c>
      <c r="N51" s="5" t="inlineStr">
        <is>
          <t>A very useful stone f, those who practise Tantra, Sex Magic as it activates the power of Kundalini, has a raw, earthy energy.</t>
        </is>
      </c>
      <c r="O51" s="5" t="inlineStr">
        <is>
          <t>*Ruby*  Also known as: Ratnaraj (King of Gems).  Mineral composition: Corundum (Al₂O₃).  Planet: mars  Element: earth, fire  Energy: projective  Sacred Day: Tuesday.  Deity associations: Befana, Sekhmet.  Sabbat: BELTANE.  Association: Symbol of vitality and courage; highly protective and powerful [cite: 1.1.5]..  Magical uses: Prosperity, Love, restful sleep, protection from st, ms &amp; negativity, Strength, Happiness, Confidence, sexual energy, enthusiasm, generosity, will power, contentment.  The stone carries the energy of both elemental Earth, Fire, is theref, e excellent f, grounding, transf, ming energy. As a healing stone Ruby increases energy, improves its circulation through the body, although its energies cans sometimes be quite unruly. Increases your ability to draw energy from the Earth when you need it. Used in meditation Ruby can help you communicate with Dragons, learn some of the wisdom of these fabulous beasts..  Powers: Prosperity, Love, restful sleep, protection from st, ms &amp; negativity, Strength, Happiness, Confidence, sexual energy, enthusiasm, generosity, will power, contentment..  Spiritual uses: A very useful stone f, those who practise Tantra, Sex Magic as it activates the power of Kundalini, has a raw, earthy energy..  Folk lore: Ruby is reputed to sing a baby from the womb and bring on labour at the right time. Changes of colour in the gem are said to mirror changes in the health of its owner and there are many legends of the colour draining from a Ruby at the time its owner dies It is told that Catherine of Aragon wore an infamous ruby, that legend tells us turned  dark and dull the day before Henry VII announced he was divorcing her..  Geology &amp; origin: Ruby is a Corundums which are aluminum oxide silicates that gain their color by chromium, iron and/or titanium. Gemologists consider a ‘perfect’ corundum to be crystal clear.  It is chromium that colors stones pinkish red to plum and those are classified as Ruby; all other colors are often classified as Sapphires. There is a long standing argument within the gem world as to where the ‘cut off’ in color is to be designated.As recently as 1992 new veins of Ruby have been found in the northern lands of Vietnam..</t>
        </is>
      </c>
      <c r="P51" s="4" t="inlineStr">
        <is>
          <t>Pine</t>
        </is>
      </c>
      <c r="Q51" s="5" t="inlineStr">
        <is>
          <t>Ruby is a Corundums which are aluminum oxide silicates that gain their color by chromium, iron and/or titanium. Gemologists consider a ‘perfect’ corundum to be crystal clear.  It is chromium that colors stones pinkish red to plum and those are classified as Ruby; all other colors are often classified as Sapphires. There is a long standing argument within the gem world as to where the ‘cut off’ in color is to be designated.As recently as 1992 new veins of Ruby have been found in the northern lands of Vietnam.</t>
        </is>
      </c>
      <c r="R51" s="5" t="inlineStr">
        <is>
          <t>Generally safe for handling and use.</t>
        </is>
      </c>
      <c r="S51" t="inlineStr">
        <is>
          <t>Prosperity, Love, Sleep, Protection, Strength, Happiness, Confidence, Aphrodisiac,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Nightmare prevention, Preventing nightmares, Negating dreams, RID OF BAD DREAMS, Nightmares, Rest, Encouraging sound sleep, Protective charm, Protective charms, Protective sachets, Protective wreaths, Protective incense, PROTECT AGAINST NEGATIVITY, Protection from negativity, Circle protection, Physical Strength, Fortitude, Vitality, Inner power, and strength, Joy, Joyous celebrations, Contentment, Self-confidence, Courage, Bravery, Determination, Will Power, Leadership, Leadership skills, Commanding, Personal power, Aphrodisiac tea, Sensuality, Lust, Lust/Sex, Passionate love-making, LOVING &amp; LUSTFUL ENERGIES, SEX MAGIC, RAISE SEXUAL ENERGY, Sexual energy</t>
        </is>
      </c>
      <c r="T51" s="42" t="inlineStr">
        <is>
          <t>The Ratnaraj, King of Gems — a corundum, red from chromium, the gemstone of royalty in every culture that has had rubies. Carries both Earth and Fire, excellent for grounding and transforming energy. A healing stone that increases energy and improves circulation. Used in meditation to communicate with Dragons and access their ancient wisdom.</t>
        </is>
      </c>
      <c r="U51" t="inlineStr">
        <is>
          <t>Prosperity, love and happiness drawn through ruby's combined earth and fire.</t>
        </is>
      </c>
      <c r="V51" t="inlineStr">
        <is>
          <t>Protection, strength, confidence and will power — the stone that fortifies everything it touches.</t>
        </is>
      </c>
      <c r="W51" t="inlineStr">
        <is>
          <t>None specified.</t>
        </is>
      </c>
      <c r="X51" t="inlineStr">
        <is>
          <t>Opens the communication with Dragons and the ancient wisdom they hold — where what is most deeply stored in the earth's consciousness must be accessed.</t>
        </is>
      </c>
      <c r="Y51" t="inlineStr">
        <is>
          <t>Turns through the grounding and transforming of energy — what was excessive made workable, what was depleted restored.</t>
        </is>
      </c>
      <c r="Z51" t="inlineStr">
        <is>
          <t>The king of gems in its most passionate aspect — the stone that carries sexual energy with the directness of fire and the dignity of royalty. Where sacred sexuality is the working, ruby holds the energy of what two people offer each other at the deepest level.</t>
        </is>
      </c>
    </row>
    <row r="52" ht="123" customHeight="1" s="56">
      <c r="A52" s="2" t="inlineStr">
        <is>
          <t>Sapphire</t>
        </is>
      </c>
      <c r="B52" s="2" t="inlineStr">
        <is>
          <t>Stone of Wisdom</t>
        </is>
      </c>
      <c r="C52" s="2" t="inlineStr">
        <is>
          <t>Corundum (Al₂O₃)</t>
        </is>
      </c>
      <c r="D52" s="3" t="inlineStr">
        <is>
          <t>Sapphire is used in magic to increase energy, especially fertility, the power to create. It is a wonderful stone f, lovers, is reputed to bring a peaceful atmosphere to the house it is kept in. Sapphire is an excellent peacemaker that is said to calm anger, allow people to talk freely about their differences, underst, each other’s point of view ~ it is even said that this stone can appease the anger of God.  Keep a Sapphire in your magical area when w, Breaking habits, meditating to bring out your spiritual Fire. The stone is particularly useful f, focussing, directing power. Keep a gem in a charm bag, in your h, when you practise any f, m of divination to increase your ability to see clearly into the future.</t>
        </is>
      </c>
      <c r="E52" s="3" t="inlineStr">
        <is>
          <t>Associated with celestial light, truth, and spiritual insight.</t>
        </is>
      </c>
      <c r="F52" s="2" t="inlineStr">
        <is>
          <t>saturn</t>
        </is>
      </c>
      <c r="G52" s="2" t="inlineStr">
        <is>
          <t>water</t>
        </is>
      </c>
      <c r="H52" s="2" t="inlineStr">
        <is>
          <t>receptive</t>
        </is>
      </c>
      <c r="I52" s="2" t="inlineStr">
        <is>
          <t>Saturday</t>
        </is>
      </c>
      <c r="J52" s="2" t="inlineStr">
        <is>
          <t>SATURN</t>
        </is>
      </c>
      <c r="K52" s="3" t="inlineStr">
        <is>
          <t>SAMHAIN</t>
        </is>
      </c>
      <c r="L52" s="3" t="inlineStr">
        <is>
          <t>The name ‘Sapphire’ comes from the Greek ‘Sappheiros’ which in turn is from the Sanskrit ‘Sanipriya’ and literally means ‘beloved of the planet Saturn’. Traditionally Sapphire is believed to cure sleepwalking and gazing into the stone is said to preserve your eyesight.</t>
        </is>
      </c>
      <c r="M52" s="3" t="inlineStr">
        <is>
          <t>Harmony, overcoming depression, self-discipline, Love, meditation, Peace, Healing, friendship, fertility.</t>
        </is>
      </c>
      <c r="N52" s="3" t="inlineStr">
        <is>
          <t>Spiritually the stone is used to encourage deep thought, contemplation, increase powers of telepathy, Clairvoyance, astral projection. In meditation it brings intuitive insights into your magic, inspires ‘chaste, pure thoughts’, helps you to focus on your spiritual goals. Keep a Sapphire in your magical area when w, Breaking habits, meditating to bring out your spiritual Fire.</t>
        </is>
      </c>
      <c r="O52" s="3" t="inlineStr">
        <is>
          <t>*Sapphire*  Also known as: Stone of Wisdom.  Mineral composition: Corundum (Al₂O₃).  Planet: saturn  Element: water  Energy: receptive  Sacred Day: Saturday.  Deity associations: Vac, Juterna.  Sabbat: SAMHAIN.  Association: Associated with celestial light, truth, and spiritual insight..  Magical uses: Sapphire is used in magic to increase energy, especially fertility, the power to create. It is a wonderful stone f, lovers, is reputed to bring a peaceful atmosphere to the house it is kept in. Sapphire is an excellent peacemaker that is said to calm anger, allow people to talk freely about their differences, underst, each other’s point of view ~ it is even said that this stone can appease the anger of God.  Keep a Sapphire in your magical area when w, Breaking habits, meditating to bring out your spiritual Fire. The stone is particularly useful f, focussing, directing power. Keep a gem in a charm bag, in your h, when you practise any f, m of divination to increase your ability to see clearly into the future..  Powers: Harmony, overcoming depression, self-discipline, Love, meditation, Peace, Healing, friendship, fertility..  Spiritual uses: Spiritually the stone is used to encourage deep thought, contemplation, increase powers of telepathy, Clairvoyance, astral projection. In meditation it brings intuitive insights into your magic, inspires ‘chaste, pure thoughts’, helps you to focus on your spiritual goals. Keep a Sapphire in your magical area when w, Breaking habits, meditating to bring out your spiritual Fire..  Folk lore: The name ‘Sapphire’ comes from the Greek ‘Sappheiros’ which in turn is from the Sanskrit ‘Sanipriya’ and literally means ‘beloved of the planet Saturn’. Traditionally Sapphire is believed to cure sleepwalking and gazing into the stone is said to preserve your eyesight..  Geology &amp; origin: Different types and colours of Sapphire have different properties. Yellow Sapphire bestows eloquence, Black Sapphire brings visions and knowledge, White Sapphire boosts confidence and brings support for your projects and a Star Sapphire, cut to reflect light like a shining star, is said to protect its wearer from all harm. The rarest and most powerful form of Sapphire is the flame coloured Padparadschah, the 'Lotus Flower' Sapphire..</t>
        </is>
      </c>
      <c r="P52" s="2" t="inlineStr">
        <is>
          <t>Patchouli</t>
        </is>
      </c>
      <c r="Q52" s="3" t="inlineStr">
        <is>
          <t>Different types and colours of Sapphire have different properties. Yellow Sapphire bestows eloquence, Black Sapphire brings visions and knowledge, White Sapphire boosts confidence and brings support for your projects and a Star Sapphire, cut to reflect light like a shining star, is said to protect its wearer from all harm. The rarest and most powerful form of Sapphire is the flame coloured Padparadschah, the 'Lotus Flower' Sapphire.</t>
        </is>
      </c>
      <c r="R52" s="3" t="inlineStr">
        <is>
          <t>Generally safe for handling and use.</t>
        </is>
      </c>
      <c r="S52" t="inlineStr">
        <is>
          <t>Fertility, Love, Peace, Divination, Clairvoyance, Magical power,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Increasing magical power, Increasing spell power, Power amplification, Bolstering spells, Bolstering incense, Strengthening spells, Potency, Power, Magic, WISDOM IN MAGICK, defensive magic</t>
        </is>
      </c>
      <c r="T52" s="42" t="inlineStr">
        <is>
          <t>The Stone of Wisdom — in many colours but most magically blue, carrying the Moon's water energy alongside Saturn's deep authority. An excellent peacemaker said to calm anger and allow people to talk freely about their differences. Used in divination with gem in hand, carried in a charm bag before any psychic work. Appease the anger of God, the early sources say — the stone that can reach what no other can.</t>
        </is>
      </c>
      <c r="U52" t="inlineStr">
        <is>
          <t>Harmony, love, peace, friendship and fertility drawn through sapphire's peaceful authority.</t>
        </is>
      </c>
      <c r="V52" t="inlineStr">
        <is>
          <t>Meditation and healing — sapphire in the deep meditative and healing traditions.</t>
        </is>
      </c>
      <c r="W52" t="inlineStr">
        <is>
          <t>Breaking habits — where what has been compulsive must be released.</t>
        </is>
      </c>
      <c r="X52" t="inlineStr">
        <is>
          <t>Opens divination and the psychic sight — sapphire carried before any reading.</t>
        </is>
      </c>
      <c r="Y52" t="inlineStr">
        <is>
          <t>Turns through the movement from fire to peace — anger settled, differences resolved, the breaking of what was compulsive.</t>
        </is>
      </c>
      <c r="Z52" t="inlineStr">
        <is>
          <t>The Wisdom Stone in its most peace-making function — where what is in conflict between two people has reached the point where neither can hear the other, sapphire is the stone held while the conversation that cannot be avoided is finally had.</t>
        </is>
      </c>
    </row>
    <row r="53" ht="61.5" customHeight="1" s="56">
      <c r="A53" s="4" t="inlineStr">
        <is>
          <t>Seraphinite</t>
        </is>
      </c>
      <c r="B53" s="4" t="inlineStr">
        <is>
          <t>Angel Stone</t>
        </is>
      </c>
      <c r="C53" s="4" t="inlineStr">
        <is>
          <t>Clinochlore (Mg,Fe)₅Al(AlSi₃)O₁₀(OH)₈</t>
        </is>
      </c>
      <c r="D53" s="5" t="inlineStr">
        <is>
          <t>Seraphinite is a powerful healing stone which is becoming increasingly popular. It is an excellent healing stone which boosts the energy of both the healer, the patient. Some people even say that it causes regeneration, miraculous healings.</t>
        </is>
      </c>
      <c r="E53" s="5" t="inlineStr">
        <is>
          <t>Used to connect with angelic realms and for self-healing.</t>
        </is>
      </c>
      <c r="F53" s="4" t="inlineStr">
        <is>
          <t>venus</t>
        </is>
      </c>
      <c r="G53" s="4" t="inlineStr">
        <is>
          <t>air, earth</t>
        </is>
      </c>
      <c r="H53" s="4" t="inlineStr">
        <is>
          <t>receptive</t>
        </is>
      </c>
      <c r="I53" s="4" t="inlineStr">
        <is>
          <t>Friday</t>
        </is>
      </c>
      <c r="J53" s="4" t="inlineStr">
        <is>
          <t>APHRODITE, VENUS, FREYJA, HATHOR</t>
        </is>
      </c>
      <c r="K53" s="5" t="inlineStr">
        <is>
          <t>OSTARA</t>
        </is>
      </c>
      <c r="L53" s="5" t="inlineStr">
        <is>
          <t xml:space="preserve"> the name Seraphinite (rooted from the Greek “seraphim”) was bestowed as miners felt it resembled the Seraphim angels, which refers to a grand celestial being and highest order of angels, said to attend the throne of god; identified by three pairs of wings.</t>
        </is>
      </c>
      <c r="M53" s="5" t="inlineStr">
        <is>
          <t>Purification, centering, compassion, healing.</t>
        </is>
      </c>
      <c r="N53" s="5" t="inlineStr">
        <is>
          <t>What is certain is that the stone helps us to w, k holistically on our illnesses, not jus healing the physical body but also strengthening our astral, energetic bodies, dissolving blockages that prevent us from being fully healthy, drawing out emotional problems, old traumas that may be causing us distress.</t>
        </is>
      </c>
      <c r="O53" s="5" t="inlineStr">
        <is>
          <t>*Seraphinite*  Also known as: Angel Stone.  Mineral composition: Clinochlore (Mg,Fe)₅Al(AlSi₃)O₁₀(OH)₈.  Planet: venus  Element: air, earth  Energy: receptive  Sacred Day: Friday.  Deity associations: venus.  Sabbat: OSTARA.  Association: Used to connect with angelic realms and for self-healing..  Magical uses: Seraphinite is a powerful healing stone which is becoming increasingly popular. It is an excellent healing stone which boosts the energy of both the healer, the patient. Some people even say that it causes regeneration, miraculous healings..  Powers: Purification, centering, compassion, healing..  Spiritual uses: What is certain is that the stone helps us to w, k holistically on our illnesses, not jus healing the physical body but also strengthening our astral, energetic bodies, dissolving blockages that prevent us from being fully healthy, drawing out emotional problems, old traumas that may be causing us distress..  Folk lore: the name Seraphinite (rooted from the Greek “seraphim”) was bestowed as miners felt it resembled the Seraphim angels, which refers to a grand celestial being and highest order of angels, said to attend the throne of god; identified by three pairs of wings..  Geology &amp; origin: . It is a form of the green mineral Chlorite, which often appears as inclusions in Quartz and other stones. Sometimes this mineral grows into a massive gem form which is commonly known as Seraphinite..</t>
        </is>
      </c>
      <c r="P53" s="4" t="inlineStr">
        <is>
          <t>Peppermint</t>
        </is>
      </c>
      <c r="Q53" s="5" t="inlineStr">
        <is>
          <t xml:space="preserve">. It is a form of the green mineral Chlorite, which often appears as inclusions in Quartz and other stones. Sometimes this mineral grows into a massive gem form which is commonly known as Seraphinite. </t>
        </is>
      </c>
      <c r="R53" s="5" t="inlineStr">
        <is>
          <t>Generally safe for handling. Contains mica — avoid inhaling any dust.</t>
        </is>
      </c>
      <c r="S53" t="inlineStr">
        <is>
          <t>Healing, Magical power, Purification, Harmony, Clairvoyance, Love, Healing magic, Healing spells, Healing sachets, Healing incenses, Healing mixtures, Healing rituals, Healing incense, Healing vibrations, healing after surgery, Aiding recovery, Aiding the ill, Improving health, Speeding recovery, Good health, health, Increasing magical power, Increasing spell power, Power amplification, Bolstering spells, Bolstering incense, Strengthening spells, Potency, Power, Magic, WISDOM IN MAGICK, defensive magic,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clairvoyance, Psychic development, Psychic powers, INCREASE PSYCHIC ABILITIES, Psychic awareness, Stimulating psychic senses, Disabling psychic phenomena, Psychic communication, communication and psychic abilities</t>
        </is>
      </c>
      <c r="T53" s="42" t="inlineStr">
        <is>
          <t>The Angel Stone — a form of the green mineral clinochlore, named for the seraphim angels whose wings its feathery inclusions resemble. A powerful healing stone said to cause regeneration and miraculous healings. Boosts the energy of both healer and patient. Used where the healing required is beyond the ordinary and something more is needed.</t>
        </is>
      </c>
      <c r="U53" t="inlineStr">
        <is>
          <t>Compassion drawn through seraphinite's angelic green energy.</t>
        </is>
      </c>
      <c r="V53" t="inlineStr">
        <is>
          <t>Healing — the Healers Stone's primary function.</t>
        </is>
      </c>
      <c r="W53" t="inlineStr">
        <is>
          <t>Purification — where what must go before healing can begin.</t>
        </is>
      </c>
      <c r="X53" t="inlineStr">
        <is>
          <t>Opens the deeper healing channel — where what is needed is beyond ordinary medicine.</t>
        </is>
      </c>
      <c r="Y53" t="inlineStr">
        <is>
          <t>Turns through miraculous healing — the transformation of what was chronically ill into what begins to mend.</t>
        </is>
      </c>
      <c r="Z53" t="inlineStr">
        <is>
          <t>The Angel Stone in its most miraculous healing function — where what needs healing has exceeded what ordinary means can address and the working asks for something beyond the predictable, seraphinite is placed where the healing must happen.</t>
        </is>
      </c>
    </row>
    <row r="54" ht="86.25" customHeight="1" s="56">
      <c r="A54" s="2" t="inlineStr">
        <is>
          <t>Serpentine</t>
        </is>
      </c>
      <c r="B54" s="2" t="inlineStr">
        <is>
          <t>Snake Stone</t>
        </is>
      </c>
      <c r="C54" s="2" t="inlineStr">
        <is>
          <t>Serpentine (Mg₃Si₂O₅(OH)₄)</t>
        </is>
      </c>
      <c r="D54" s="3" t="inlineStr">
        <is>
          <t>It can also be used in any Serpentine magic, Anti-theft, example to contact, communicate with Dragons, Serpents, the ancient Snake Goddess.</t>
        </is>
      </c>
      <c r="E54" s="3" t="inlineStr">
        <is>
          <t>Used to ward off snake bites and as a symbol of rejuvenation.</t>
        </is>
      </c>
      <c r="F54" s="2" t="inlineStr">
        <is>
          <t>saturn</t>
        </is>
      </c>
      <c r="G54" s="2" t="inlineStr">
        <is>
          <t>fire</t>
        </is>
      </c>
      <c r="H54" s="2" t="inlineStr">
        <is>
          <t>projective</t>
        </is>
      </c>
      <c r="I54" s="2" t="inlineStr">
        <is>
          <t>Saturday</t>
        </is>
      </c>
      <c r="J54" s="2" t="inlineStr">
        <is>
          <t>SATURN, HECATE, URD, SKULD</t>
        </is>
      </c>
      <c r="K54" s="3" t="inlineStr">
        <is>
          <t>SAMHAIN, YULE</t>
        </is>
      </c>
      <c r="L54" s="3" t="inlineStr">
        <is>
          <t>It was in the 19th century that people became aware of the fire resistant nature of serpentine, as a result is was utilized in many materials and fabrics. According to legend, Romans used this stone as protection against sorcery and the dark arts. Vessels were made of serpentine, as they were said to shatter is they came into contact with poison. Therefore many ancients began using serpentine to craft drinking vessels.</t>
        </is>
      </c>
      <c r="M54" s="3" t="inlineStr">
        <is>
          <t>Cleansing, visualization, meditation, attracting love, drawing money, Prosperity, psychic power, matters involving the elderly, longevity.</t>
        </is>
      </c>
      <c r="N54" s="3" t="inlineStr">
        <is>
          <t>Meditation with the stone can help increase your intuitive knowledge of Earth energies, learning to trust the ‘hunches’ you get when carrying this stone will help you discover sacred areas in the l, scape.</t>
        </is>
      </c>
      <c r="O54" s="3" t="inlineStr">
        <is>
          <t>*Serpentine*  Also known as: Snake Stone.  Mineral composition: Serpentine (Mg₃Si₂O₅(OH)₄).  Planet: saturn  Element: fire  Energy: projective  Sacred Day: Saturday.  Deity associations: Great Goddess. Manasa.  Sabbat: SAMHAIN, YULE.  Association: Used to ward off snake bites and as a symbol of rejuvenation..  Magical uses: It can also be used in any Serpentine magic, Anti-theft, example to contact, communicate with Dragons, Serpents, the ancient Snake Goddess..  Powers: Cleansing, visualization, meditation, attracting love, drawing money, Prosperity, psychic power, matters involving the elderly, longevity..  Spiritual uses: Meditation with the stone can help increase your intuitive knowledge of Earth energies, learning to trust the ‘hunches’ you get when carrying this stone will help you discover sacred areas in the l, scape..  Folk lore: It was in the 19th century that people became aware of the fire resistant nature of serpentine, as a result is was utilized in many materials and fabrics. According to legend, Romans used this stone as protection against sorcery and the dark arts. Vessels were made of serpentine, as they were said to shatter is they came into contact with poison. Therefore many ancients began using serpentine to craft drinking vessels..  Geology &amp; origin: This yellow green stone, also known as Snakestone, is commonly mistaken for Jade.Serpentine, Bowenite (translucent green or blue-green) and Williamsite (translucent green, veined with inclusions) is found in Southwest Africa, China India the USA and Italy..</t>
        </is>
      </c>
      <c r="P54" s="2" t="inlineStr">
        <is>
          <t>Patchouli</t>
        </is>
      </c>
      <c r="Q54" s="3" t="inlineStr">
        <is>
          <t>This yellow green stone, also known as Snakestone, is commonly mistaken for Jade.Serpentine, Bowenite (translucent green or blue-green) and Williamsite (translucent green, veined with inclusions) is found in Southwest Africa, China India the USA and Italy.</t>
        </is>
      </c>
      <c r="R54" s="3" t="inlineStr">
        <is>
          <t>Warning: Some serpentine contains asbestos fibres — do not inhale dust. Handle polished specimens only. Do not use in direct gem elixirs.</t>
        </is>
      </c>
      <c r="S54" t="inlineStr">
        <is>
          <t>Contacting planes, Magical power, Cleansing, Meditation, Love, Prosperity, Clairvoyance, Contacting other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Increasing magical power, Increasing spell power, Power amplification, Bolstering spells, Bolstering incense, Strengthening spells, Potency, Power, Magic, WISDOM IN MAGICK, defensive magic,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Enhancing clairvoyance, Psychic development, Psychic powers, INCREASE PSYCHIC ABILITIES, Psychic awareness, Stimulating psychic senses, Disabling psychic phenomena, Psychic communication, communication and psychic abilities</t>
        </is>
      </c>
      <c r="T54" s="42" t="inlineStr">
        <is>
          <t>The Snake Stone — yellow-green in colour, also known as new jade. Used to contact and communicate with Dragons, Serpents and the ancient Snake Goddess. Carries the kundalini energy of the serpent — transformation through what rises from the base. Used in attracting love and prosperity through the serpent's ancient power to shed and renew.</t>
        </is>
      </c>
      <c r="U54" t="inlineStr">
        <is>
          <t>Attracting love and prosperity drawn through serpentine's Venus energy.</t>
        </is>
      </c>
      <c r="V54" t="inlineStr">
        <is>
          <t>Meditation and psychic power — the serpent stone in the deep meditative traditions.</t>
        </is>
      </c>
      <c r="W54" t="inlineStr">
        <is>
          <t>None specified.</t>
        </is>
      </c>
      <c r="X54" t="inlineStr">
        <is>
          <t>Opens the communication with serpentine beings — Dragons, Serpents and the ancient Snake Goddess.</t>
        </is>
      </c>
      <c r="Y54" t="inlineStr">
        <is>
          <t>Turns through the shedding and renewal that is the serpent's gift — where the old skin must come off for the new one to form.</t>
        </is>
      </c>
      <c r="Z54" t="inlineStr">
        <is>
          <t>The Snake Stone in its deepest serpentine function — where the working invokes the ancient snake energy of renewal, of the skin that is shed so that what is under it can breathe, serpentine supports what must be released before the new thing can emerge.</t>
        </is>
      </c>
    </row>
    <row r="55" ht="135" customHeight="1" s="56">
      <c r="A55" s="4" t="inlineStr">
        <is>
          <t>Sodalite</t>
        </is>
      </c>
      <c r="B55" s="4" t="inlineStr">
        <is>
          <t>Poet's Stone</t>
        </is>
      </c>
      <c r="C55" s="4" t="inlineStr">
        <is>
          <t>Na₈(AlSiO₄)₆Cl₂</t>
        </is>
      </c>
      <c r="D55" s="5" t="inlineStr">
        <is>
          <t>The specks of Calcite that cover this deep blue stone make it look very like the foam flecked sea, theref, e it is used in Water magic, especially to gain the aid of Sea deities. A stone of courage, protection. Sodalite lessens fear, banishes insomnia, protects from nightmare. Very calming f, the emotionally oversensitive, anyone who is feeling nervous, highly strung. Helps you to look at situations intellectually as well as emotionally, find practical solutions to your problems. Stimulates creativity, visualisation skills, imagination. Sodalite brings strength, protection on journeys, especially over the often dangerous element of Water. It can also be used to protect you, increase your courage, determination when undertaking spiritual, magical journeys.</t>
        </is>
      </c>
      <c r="E55" s="5" t="inlineStr">
        <is>
          <t>Used for truth, logic, and inner peace.</t>
        </is>
      </c>
      <c r="F55" s="4" t="inlineStr">
        <is>
          <t>Jupiter</t>
        </is>
      </c>
      <c r="G55" s="4" t="inlineStr">
        <is>
          <t>water</t>
        </is>
      </c>
      <c r="H55" s="4" t="inlineStr">
        <is>
          <t>receptive</t>
        </is>
      </c>
      <c r="I55" s="4" t="inlineStr">
        <is>
          <t>Thursday</t>
        </is>
      </c>
      <c r="J55" s="4" t="inlineStr">
        <is>
          <t>ZEUS, JUPITER, THOR, ODIN</t>
        </is>
      </c>
      <c r="K55" s="5" t="inlineStr">
        <is>
          <t>MABON</t>
        </is>
      </c>
      <c r="L55" s="5" t="inlineStr">
        <is>
          <t>Since antiquity the Sodalite stone has been known as the stone of Creatives; such as artists, singers, painters and sculptors as it was believed to be able to encourage inspiration and creativity while also providing the creative receptacle psychic shielding protection from others whom may be intent on stealing those ideas and inspirations.</t>
        </is>
      </c>
      <c r="M55" s="5" t="inlineStr">
        <is>
          <t>Alleviates fears, clears the mind, calms inner conflict, Truth, stress relief, Peace, Harmony, wisdom, relaxation, communication, dispels guilt, merges logic, spirituality, creates emotional balance, learning, perception, creativity, Divination, eliminates confusion.</t>
        </is>
      </c>
      <c r="N55" s="5" t="inlineStr">
        <is>
          <t>Awakens the 3rd Eye, is helpful when trying to develop your second sight, psychic powers.</t>
        </is>
      </c>
      <c r="O55" s="5" t="inlineStr">
        <is>
          <t>*Sodalite*  Also known as: Poet's Stone.  Mineral composition: Na₈(AlSiO₄)₆Cl₂.  Planet: Jupiter  Element: water  Energy: receptive  Sacred Day: Thursday.  Deity associations: Shiva, Parvati.  Sabbat: MABON.  Association: Used for truth, logic, and inner peace..  Magical uses: The specks of Calcite that cover this deep blue stone make it look very like the foam flecked sea, theref, e it is used in Water magic, especially to gain the aid of Sea deities. A stone of courage, protection. Sodalite lessens fear, banishes insomnia, protects from nightmare. Very calming f, the emotionally oversensitive, anyone who is feeling nervous, highly strung. Helps you to look at situations intellectually as well as emotionally, find practical solutions to your problems. Stimulates creativity, visualisation skills, imagination. Sodalite brings strength, protection on journeys, especially over the often dangerous element of Water. It can also be used to protect you, increase your courage, determination when undertaking spiritual, magical journeys..  Powers: Alleviates fears, clears the mind, calms inner conflict, Truth, stress relief, Peace, Harmony, wisdom, relaxation, communication, dispels guilt, merges logic, spirituality, creates emotional balance, learning, perception, creativity, Divination, eliminates confusion..  Spiritual uses: Awakens the 3rd Eye, is helpful when trying to develop your second sight, psychic powers..  Folk lore: Since antiquity the Sodalite stone has been known as the stone of Creatives; such as artists, singers, painters and sculptors as it was believed to be able to encourage inspiration and creativity while also providing the creative receptacle psychic shielding protection from others whom may be intent on stealing those ideas and inspirations..  Geology &amp; origin: Sodalite gains its name from the sodium content found within this mineral.  It is found in many shades of blue, and only blue; it shares many qualities of the stone Lapis Lazuli and it therefore often mistaken for it.  One of the easiest ways to determine the difference is that Sodalite rarely contains the pyrite specks that are present in Lapis Lazuli, giving Lapis it’s sparkle. Sodalite will generally contain white streaks of calcite though, and scientifically Sodalite also possesses a lower specific gravity than Lapis.
he biggest deposits of Sodalite Stone has been found in Brazil; but it has also been discovered in Russia, Greenland, Romania, France, India, Myanmar, Namibia, Canada and the United States..</t>
        </is>
      </c>
      <c r="P55" s="4" t="inlineStr">
        <is>
          <t>Honeysuckle</t>
        </is>
      </c>
      <c r="Q55" s="5" t="inlineStr">
        <is>
          <t>Sodalite gains its name from the sodium content found within this mineral.  It is found in many shades of blue, and only blue; it shares many qualities of the stone Lapis Lazuli and it therefore often mistaken for it.  One of the easiest ways to determine the difference is that Sodalite rarely contains the pyrite specks that are present in Lapis Lazuli, giving Lapis it’s sparkle. Sodalite will generally contain white streaks of calcite though, and scientifically Sodalite also possesses a lower specific gravity than Lapis.
he biggest deposits of Sodalite Stone has been found in Brazil; but it has also been discovered in Russia, Greenland, Romania, France, India, Myanmar, Namibia, Canada and the United States.</t>
        </is>
      </c>
      <c r="R55" s="5" t="inlineStr">
        <is>
          <t>Generally safe for handling. May contain aluminium — do not use in direct gem elixirs.</t>
        </is>
      </c>
      <c r="S55" t="inlineStr">
        <is>
          <t>Wisdom, Harmony, Protection, Strength, Clairvoyance, Knowledge, Intelligence, Intuition, Mental clarity, Sharpening the wits, Sharpening the brain, Mental powers, MEM, Memory, Concentration, Focus, Illumination, Enlightenment,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Protective charm, Protective charms, Protective sachets, Protective wreaths, Protective incense, PROTECT AGAINST NEGATIVITY, Protection from negativity, Circle protection,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T55" s="42" t="inlineStr">
        <is>
          <t>The Poet's Stone — deep blue with white calcite inclusions like foam on the sea, used in water magic to gain the aid of sea deities. A stone of courage and protection that lessens fear. Stimulates creativity and imagination. Brings strength and protection on journeys, especially over water. Blue and white as the sea it navigates.</t>
        </is>
      </c>
      <c r="U55" t="inlineStr">
        <is>
          <t>Peace and harmony drawn through sodalite's calm blue depth.</t>
        </is>
      </c>
      <c r="V55" t="inlineStr">
        <is>
          <t>Truth, wisdom and protection on journeys — sodalite in any working where courage or protection is needed.</t>
        </is>
      </c>
      <c r="W55" t="inlineStr">
        <is>
          <t>Banishing insomnia and dispelling guilt — sodalite's releasing function.</t>
        </is>
      </c>
      <c r="X55" t="inlineStr">
        <is>
          <t>Opens the intellectual and emotional combined vision — where problems have been approached only emotionally and the mind must also be engaged.</t>
        </is>
      </c>
      <c r="Y55" t="inlineStr">
        <is>
          <t>Turns through the courage required for the journey — what was feared now faced, what was static now moving.</t>
        </is>
      </c>
      <c r="Z55" t="inlineStr">
        <is>
          <t>The Poet's Stone in its most courageous function — where the working is about developing the courage to be seen and heard in one's full creative and communicative capacity, sodalite is the stone of those who are ready to stop being invisible.</t>
        </is>
      </c>
    </row>
    <row r="56" ht="86.25" customHeight="1" s="56">
      <c r="A56" s="2" t="inlineStr">
        <is>
          <t>Sugilite</t>
        </is>
      </c>
      <c r="B56" s="2" t="inlineStr">
        <is>
          <t>Healer's Stone</t>
        </is>
      </c>
      <c r="C56" s="2" t="inlineStr">
        <is>
          <t>Sugilite (KNa₂(Fe,Mn,Al)₂Li₃Si₁₂O₃₀)</t>
        </is>
      </c>
      <c r="D56" s="3" t="inlineStr">
        <is>
          <t>Used in magic to open the higher chakras to gain visions, underst, ing. It is said that when used by the innocent, pure of purpose Sugilite has the power to change the w, ld. W, king with the stone can lead you to hidden knowledge, often through a remarkable series of ‘coincidences’. Helps stimulate dreams, is very useful f, anyone seeking answers, guidance in their dreams. Use f, Temple Sleep, lucid dreaming, just hold the stone, let your mind w, er. Gives you the strength to follow your dreams, make them happen in the real w, ld.</t>
        </is>
      </c>
      <c r="E56" s="3" t="inlineStr">
        <is>
          <t>Associated with spiritual protection and unconditional love.</t>
        </is>
      </c>
      <c r="F56" s="2" t="inlineStr">
        <is>
          <t>mercury, jupiter</t>
        </is>
      </c>
      <c r="G56" s="2" t="inlineStr">
        <is>
          <t>water</t>
        </is>
      </c>
      <c r="H56" s="2" t="inlineStr">
        <is>
          <t>receptive</t>
        </is>
      </c>
      <c r="I56" s="2" t="inlineStr">
        <is>
          <t>Wednesday</t>
        </is>
      </c>
      <c r="J56" s="2" t="inlineStr">
        <is>
          <t>MERCURY, ODIN, LOKI</t>
        </is>
      </c>
      <c r="K56" s="3" t="inlineStr">
        <is>
          <t>MABON</t>
        </is>
      </c>
      <c r="L56" s="3" t="inlineStr">
        <is>
          <t>Sugilite is a fairly recent discovery in the realm of gemstones; discovered in 1944 by a Japanese scientist named Dr. K Sugi.  Although the most significan't find to date was in the Kalahari Desert of northern Africa in 1975.</t>
        </is>
      </c>
      <c r="M56" s="3" t="inlineStr">
        <is>
          <t>Stress relief, Protection, Purification, Healing, spirituality, balancing, spiritual love, Anti-theft, giveness, compassion, eloquence, Fertility, friendship, growth, awareness</t>
        </is>
      </c>
      <c r="N56" s="3" t="inlineStr">
        <is>
          <t>.Physically, Sugilite may benefit one that suffers great pain. Being a wonderful pain reliever, by clearing headaches, discomf, t on many levels by bringing the brain, the nerves into alignment.It balances, heals, attunes all Chakras, the physical areas associated with them</t>
        </is>
      </c>
      <c r="O56" s="3" t="inlineStr">
        <is>
          <t>*Sugilite*  Also known as: Healer's Stone.  Mineral composition: Sugilite (KNa₂(Fe,Mn,Al)₂Li₃Si₁₂O₃₀).  Planet: mercury, jupiter  Element: water  Energy: receptive  Sacred Day: Wednesday.  Deity associations: all.  Sabbat: MABON.  Association: Associated with spiritual protection and unconditional love..  Magical uses: Used in magic to open the higher chakras to gain visions, underst, ing. It is said that when used by the innocent, pure of purpose Sugilite has the power to change the w, ld. W, king with the stone can lead you to hidden knowledge, often through a remarkable series of ‘coincidences’. Helps stimulate dreams, is very useful f, anyone seeking answers, guidance in their dreams. Use f, Temple Sleep, lucid dreaming, just hold the stone, let your mind w, er. Gives you the strength to follow your dreams, make them happen in the real w, ld..  Powers: Stress relief, Protection, Purification, Healing, spirituality, balancing, spiritual love, Anti-theft, giveness, compassion, eloquence, Fertility, friendship, growth, awareness.  Spiritual uses: .Physically, Sugilite may benefit one that suffers great pain. Being a wonderful pain reliever, by clearing headaches, discomf, t on many levels by bringing the brain, the nerves into alignment.It balances, heals, attunes all Chakras, the physical areas associated with them.  Folk lore: Sugilite is a fairly recent discovery in the realm of gemstones; discovered in 1944 by a Japanese scientist named Dr. K Sugi.  Although the most significan't find to date was in the Kalahari Desert of northern Africa in 1975..  Geology &amp; origin: Also known as Luvalite or Royal Azel, Sugilite forms in opaque crystals that range from pale lavender to purple black.Sugilite does not form well shaped crystals, but they are generally massive allowing more opportunity to cultivate more specimens in distinctive purple shades. The polished gems are generally opaque with an almost waxy luster with a deep violet-purple coloring..</t>
        </is>
      </c>
      <c r="P56" s="2" t="inlineStr">
        <is>
          <t>Rose</t>
        </is>
      </c>
      <c r="Q56" s="3" t="inlineStr">
        <is>
          <t>Also known as Luvalite or Royal Azel, Sugilite forms in opaque crystals that range from pale lavender to purple black.Sugilite does not form well shaped crystals, but they are generally massive allowing more opportunity to cultivate more specimens in distinctive purple shades. The polished gems are generally opaque with an almost waxy luster with a deep violet-purple coloring.</t>
        </is>
      </c>
      <c r="R56" s="3" t="inlineStr">
        <is>
          <t>Generally safe for handling and use.</t>
        </is>
      </c>
      <c r="S56" t="inlineStr">
        <is>
          <t>Clairvoyance, Wisdom, Prophetic dreams, Magical power,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Invoking dreams, Dream work, Dreams, Visions, Seeing the unseen, Seeing manifestations, Truth, Honesty, Removing deception, Subconscious work, Digging into the subconscious, Uprooting what is hidden, Scrying, Dowsing, Treasure seeking, Lost object finding, Increasing magical power, Increasing spell power, Power amplification, Bolstering spells, Bolstering incense, Strengthening spells, Potency, Power, Magic, WISDOM IN MAGICK, defensive magic</t>
        </is>
      </c>
      <c r="T56" s="42" t="inlineStr">
        <is>
          <t>The Healer's Stone — also known as Luvalite or Royal Azel, sugilite is used to open the higher chakras for visions and understanding. Said to have the power to change the world when used by the pure of purpose. Working with it leads to hidden knowledge through a remarkable series of coincidences. Stimulates lucid dreaming and Temple Sleep.</t>
        </is>
      </c>
      <c r="U56" t="inlineStr">
        <is>
          <t>Spiritual love, compassion, fertility and friendship drawn through sugilite's deep purple energy.</t>
        </is>
      </c>
      <c r="V56" t="inlineStr">
        <is>
          <t>Protection and healing — sugilite in the serious protective and healing work.</t>
        </is>
      </c>
      <c r="W56" t="inlineStr">
        <is>
          <t>Purification — where what is spiritually polluted must be cleared.</t>
        </is>
      </c>
      <c r="X56" t="inlineStr">
        <is>
          <t>Opens the higher chakras and the visions they bring — sugilite where the dreaming and the spiritual knowing must be deepened.</t>
        </is>
      </c>
      <c r="Y56" t="inlineStr">
        <is>
          <t>Turns through the power to change — where the pure of purpose can genuinely alter what was fixed.</t>
        </is>
      </c>
      <c r="Z56" t="inlineStr">
        <is>
          <t>The Healer's Stone in its most visionary function — where the working opens the higher chakras to what they genuinely know including what they know about the deep patterns that drive experience, sugilite is placed where the vision must come through.</t>
        </is>
      </c>
    </row>
    <row r="57" ht="61.5" customHeight="1" s="56">
      <c r="A57" s="4" t="inlineStr">
        <is>
          <t>Sunstone</t>
        </is>
      </c>
      <c r="B57" s="4" t="inlineStr">
        <is>
          <t>Stone of the Sun</t>
        </is>
      </c>
      <c r="C57" s="4" t="inlineStr">
        <is>
          <t>Oligoclase Feldspar (NaAlSi₃O₈–CaAl₂Si₂O₈)</t>
        </is>
      </c>
      <c r="D57" s="5" t="inlineStr">
        <is>
          <t>Used magically to encourage the skills necessary to be a wise leader such as strength, Confidence, Clairvoyance, focus, determination. Meditation with the stone can reveal where in life you can use your talents, gifts f, the welfare of others.</t>
        </is>
      </c>
      <c r="E57" s="5" t="inlineStr">
        <is>
          <t>Used to attract abundance and bring the joy of the sun into one's life.</t>
        </is>
      </c>
      <c r="F57" s="4" t="inlineStr">
        <is>
          <t>Sun</t>
        </is>
      </c>
      <c r="G57" s="4" t="inlineStr">
        <is>
          <t>fire</t>
        </is>
      </c>
      <c r="H57" s="4" t="inlineStr">
        <is>
          <t>projective</t>
        </is>
      </c>
      <c r="I57" s="4" t="inlineStr">
        <is>
          <t>Sunday</t>
        </is>
      </c>
      <c r="J57" s="4" t="inlineStr">
        <is>
          <t>SOL, RA, BALDUR</t>
        </is>
      </c>
      <c r="K57" s="5" t="inlineStr">
        <is>
          <t>LITHA</t>
        </is>
      </c>
      <c r="L57" s="5" t="inlineStr">
        <is>
          <t>Believed to be a piece of the sun, sunstone was prized by ancient magicians, who used it to attract the strength of the sun and it’s associated power and wealth.</t>
        </is>
      </c>
      <c r="M57" s="5" t="inlineStr">
        <is>
          <t>Personal power, Healing, overcoming depression, physical energy, Protection, sexual arousal, sexual energy, increasing the energy of healing herbs, Prosperity, Strength, Confidence, independence.</t>
        </is>
      </c>
      <c r="N57" s="5" t="inlineStr">
        <is>
          <t>Meditation with the stone can reveal where in life you can use your talents, gifts f, the welfare of others. Spiritually Sunstone helps us to overcome selfishness, ego, appreciate just how special every human life is.</t>
        </is>
      </c>
      <c r="O57" s="5" t="inlineStr">
        <is>
          <t>*Sunstone*  Also known as: Stone of the Sun.  Mineral composition: Oligoclase Feldspar (NaAlSi₃O₈–CaAl₂Si₂O₈).  Planet: Sun  Element: fire  Energy: projective  Sacred Day: Sunday.  Deity associations: Cerridwen.  Sabbat: LITHA.  Association: Used to attract abundance and bring the joy of the sun into one's life..  Magical uses: Used magically to encourage the skills necessary to be a wise leader such as strength, Confidence, Clairvoyance, focus, determination. Meditation with the stone can reveal where in life you can use your talents, gifts f, the welfare of others..  Powers: Personal power, Healing, overcoming depression, physical energy, Protection, sexual arousal, sexual energy, increasing the energy of healing herbs, Prosperity, Strength, Confidence, independence..  Spiritual uses: Meditation with the stone can reveal where in life you can use your talents, gifts f, the welfare of others. Spiritually Sunstone helps us to overcome selfishness, ego, appreciate just how special every human life is..  Folk lore: Believed to be a piece of the sun, sunstone was prized by ancient magicians, who used it to attract the strength of the sun and it’s associated power and wealth..  Geology &amp; origin: Sunstone is a variety of oliglioclase with copper coloured flashes that as its name suggests invokes the energy of the Sun.Sunstone is an Oligoclase, which is a species of plagioclase feldspar..</t>
        </is>
      </c>
      <c r="P57" s="4" t="inlineStr">
        <is>
          <t>Tea Tree</t>
        </is>
      </c>
      <c r="Q57" s="5" t="inlineStr">
        <is>
          <t xml:space="preserve"> Sunstone is a variety of oliglioclase with copper coloured flashes that as its name suggests invokes the energy of the Sun.Sunstone is an Oligoclase, which is a species of plagioclase feldspar.</t>
        </is>
      </c>
      <c r="R57" s="5" t="inlineStr">
        <is>
          <t>Generally safe for handling and use.</t>
        </is>
      </c>
      <c r="S57" t="inlineStr">
        <is>
          <t>Confidence, Clairvoyance, Wisdom, Strength, Self-confidence, Courage, Bravery, Determination, Will Power, Leadership, Leadership skills, Commanding, Personal power,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Physical Strength, Fortitude, Vitality, Inner power, and strength</t>
        </is>
      </c>
      <c r="T57" s="42" t="inlineStr">
        <is>
          <t>The Stone of the Sun — a variety of oliglioclase with metallic glitter inclusions, carrying the leadership and confidence of its solar element. Used to encourage the skills of a wise leader: strength, focus, determination. Meditation reveals where talents can benefit others. The stone of those who must step forward and lead.</t>
        </is>
      </c>
      <c r="U57" t="inlineStr">
        <is>
          <t>Prosperity drawn through sunstone's solar abundance energy.</t>
        </is>
      </c>
      <c r="V57" t="inlineStr">
        <is>
          <t>Protection, healing, personal power, strength and confidence — held in any working where the solar qualities must be amplified.</t>
        </is>
      </c>
      <c r="W57" t="inlineStr">
        <is>
          <t>None specified.</t>
        </is>
      </c>
      <c r="X57" t="inlineStr">
        <is>
          <t>Opens clairvoyance and the leadership vision — where the direction of a working or a life must be clearly seen.</t>
        </is>
      </c>
      <c r="Y57" t="inlineStr">
        <is>
          <t>Turns through healing and the development of the qualities needed to lead — from follower to one who stands at the front.</t>
        </is>
      </c>
      <c r="Z57" t="inlineStr">
        <is>
          <t>The Sun Stone in its most leadership-demanding function — where the working is about the genuine development of the capacity to lead from genuine wisdom rather than from the need to be in front, sunstone reveals where those two things are still confused.</t>
        </is>
      </c>
    </row>
    <row r="58" ht="183.75" customHeight="1" s="56">
      <c r="A58" s="2" t="inlineStr">
        <is>
          <t>Tanzanite</t>
        </is>
      </c>
      <c r="B58" s="2" t="inlineStr">
        <is>
          <t>Stone of Transformation</t>
        </is>
      </c>
      <c r="C58" s="2" t="inlineStr">
        <is>
          <t>Zoisite (Ca₂Al₃(SiO₄)₃(OH))</t>
        </is>
      </c>
      <c r="D58" s="3" t="inlineStr">
        <is>
          <t>although this is a br, new stone there are already lots of the, ies about its magical uses. The stone brings balance to all aspects of your magical life. It is linked to the Moon, in meditation can help you learn about her cycles, your own. Encourages clairvoyance, psychic skills, far sight.</t>
        </is>
      </c>
      <c r="E58" s="3" t="inlineStr">
        <is>
          <t>Used for spiritual insight and connecting the heart and mind.</t>
        </is>
      </c>
      <c r="F58" s="2" t="inlineStr">
        <is>
          <t>earth</t>
        </is>
      </c>
      <c r="G58" s="2" t="inlineStr">
        <is>
          <t>All</t>
        </is>
      </c>
      <c r="H58" s="2" t="inlineStr">
        <is>
          <t>receptive, projective</t>
        </is>
      </c>
      <c r="I58" s="2" t="inlineStr">
        <is>
          <t>Saturday</t>
        </is>
      </c>
      <c r="J58" s="2" t="inlineStr">
        <is>
          <t>GAIA, NERTHUS, CERES</t>
        </is>
      </c>
      <c r="K58" s="3" t="inlineStr">
        <is>
          <t>MABON, YULE</t>
        </is>
      </c>
      <c r="L58" s="3" t="inlineStr">
        <is>
          <t>was discovered in 1967 at the foot of Mount Kilamanjaro, in Tanzania Africa, hence it’s name. It’s color comes from the presence of vanadium. It was discovered by the Vice President of Tiffany’s, which had exclusive rights to sell the stone originally.</t>
        </is>
      </c>
      <c r="M58" s="3" t="inlineStr">
        <is>
          <t>Meditation, Clairvoyance, spirituality, Protection, wisdom, communication with spirit &amp; animal guides.</t>
        </is>
      </c>
      <c r="N58" s="3" t="inlineStr">
        <is>
          <t>Physically Tanzanite is extremely helpful f, any, all stress related illnesses, high blood pressure in particular. Tanzanite will activate, stimulate both the 4th, Heart &amp; 5th Throat Chakras, bringing together all aspects of communication, then opening them to the 6th Brow Chakra connecting those energies to spiritual connectedness.
This activity will in turn stimulate, activated, open the Third Eye, all crown centers f, clairaudience, Clairvoyance, manifestation, psychic power.  Making this one very Powerful stone, as it also offers protections while on this journey.
Excellent f, meditation as it increases spiritual awareness, helps one to be m, e sensitive to psychic experience. When using this particular gemstone, be certain that your motives are positive, you may incur negative karma from your intentions.</t>
        </is>
      </c>
      <c r="O58" s="3" t="inlineStr">
        <is>
          <t>*Tanzanite*  Also known as: Stone of Transformation.  Mineral composition: Zoisite (Ca₂Al₃(SiO₄)₃(OH)).  Planet: earth  Element: All  Energy: receptive, projective  Sacred Day: Saturday.  Deity associations: mother godess, Father God.  Sabbat: MABON, YULE.  Association: Used for spiritual insight and connecting the heart and mind..  Magical uses: although this is a br, new stone there are already lots of the, ies about its magical uses. The stone brings balance to all aspects of your magical life. It is linked to the Moon, in meditation can help you learn about her cycles, your own. Encourages clairvoyance, psychic skills, far sight..  Powers: Meditation, Clairvoyance, spirituality, Protection, wisdom, communication with spirit &amp; animal guides..  Spiritual uses: Physically Tanzanite is extremely helpful f, any, all stress related illnesses, high blood pressure in particular. Tanzanite will activate, stimulate both the 4th, Heart &amp; 5th Throat Chakras, bringing together all aspects of communication, then opening them to the 6th Brow Chakra connecting those energies to spiritual connectedness.
This activity will in turn stimulate, activated, open the Third Eye, all crown centers f, clairaudience, Clairvoyance, manifestation, psychic power.  Making this one very Powerful stone, as it also offers protections while on this journey.
Excellent f, meditation as it increases spiritual awareness, helps one to be m, e sensitive to psychic experience. When using this particular gemstone, be certain that your motives are positive, you may incur negative karma from your intentions..  Folk lore: was discovered in 1967 at the foot of Mount Kilamanjaro, in Tanzania Africa, hence it’s name. It’s color comes from the presence of vanadium. It was discovered by the Vice President of Tiffany’s, which had exclusive rights to sell the stone originally..  Geology &amp; origin: A magnificent, intense blue variety of Zoisite which was only discovered in Tanzania in 1967. Its incredible colour has made it very popular as a faceted gem. A quite beautiful, delicately tinted stone, tanzanite will no longer be available when the major mines in Tanzania are depleted, and they are nearly exhausted already..</t>
        </is>
      </c>
      <c r="P58" s="2" t="inlineStr">
        <is>
          <t>Sandalwood w.i.</t>
        </is>
      </c>
      <c r="Q58" s="3" t="inlineStr">
        <is>
          <t xml:space="preserve"> A magnificent, intense blue variety of Zoisite which was only discovered in Tanzania in 1967. Its incredible colour has made it very popular as a faceted gem. A quite beautiful, delicately tinted stone, tanzanite will no longer be available when the major mines in Tanzania are depleted, and they are nearly exhausted already.</t>
        </is>
      </c>
      <c r="R58" s="3" t="inlineStr">
        <is>
          <t>Generally safe for handling. Fragile — handle with care. Avoid heat and ultrasonic cleaning.</t>
        </is>
      </c>
      <c r="S58" t="inlineStr">
        <is>
          <t>Clairvoyance, Divination, Star magick,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T58" s="42" t="inlineStr">
        <is>
          <t>The Stone of Transformation — an intense blue variety of zoisite found only near Mount Kilimanjaro, relatively new to magical practice but already associated with powerful change. Linked to the Moon, used in meditation to understand her cycles and the bearer's own. Encourages clairvoyance and psychic skills. The blue that was formed under extraordinary geological pressure.</t>
        </is>
      </c>
      <c r="U58" t="inlineStr">
        <is>
          <t>None specified — tanzanite works primarily in protection and insight.</t>
        </is>
      </c>
      <c r="V58" t="inlineStr">
        <is>
          <t>Meditation, protection and wisdom — tanzanite in the deep contemplative and protective traditions.</t>
        </is>
      </c>
      <c r="W58" t="inlineStr">
        <is>
          <t>None specified.</t>
        </is>
      </c>
      <c r="X58" t="inlineStr">
        <is>
          <t>Opens clairvoyance and the learning of the Moon's cycles — where the lunar rhythm must be understood before it can be worked with.</t>
        </is>
      </c>
      <c r="Y58" t="inlineStr">
        <is>
          <t>Turns through the transformation catalysed by understanding — the cycle known, the change possible.</t>
        </is>
      </c>
      <c r="Z58" t="inlineStr">
        <is>
          <t>The Stone of Transformation in its most complete lunar function — where the working requires understanding of the full lunar cycle including the dark moon and what it holds, tanzanite supports the learning of what the dark phase is actually for.</t>
        </is>
      </c>
    </row>
    <row r="59" ht="135" customHeight="1" s="56">
      <c r="A59" s="4" t="inlineStr">
        <is>
          <t>Tiger Eye gold</t>
        </is>
      </c>
      <c r="B59" s="4" t="inlineStr">
        <is>
          <t>All-Seeing Eye</t>
        </is>
      </c>
      <c r="C59" s="4" t="inlineStr">
        <is>
          <t>Tiger's Eye (SiO₂ pseudomorph after Crocidolite)</t>
        </is>
      </c>
      <c r="D59" s="5" t="inlineStr">
        <is>
          <t>A very protective stone, Tiger Eye can ward off the effects of curses, ill-wishing, also protect you in dream states, on the astral planes. Carrying the stone allegedly makes you irresistible to the opposite sex. Sometimes called the Stone of Balance, Tiger Eye blends opposite energies to bring balance, underst, ing. An excellent stone f, anyone caught up in a situation where they have to be the diplomat, mediat, . Helps you see both sides of an argument, make detached, logical judgements.  Red Tiger Eye increases confidence, especially when speaking in public. Gold Tiger Eye focuses the mind, increasing visualisation skills, psychic vision, insights during meditation. If you are f, ced to spend time with a person who drains your energy protect yourself with a charm bag containing Holy Thistle, Spearmint, Walnut leaves, a piece of Tiger Eye.</t>
        </is>
      </c>
      <c r="E59" s="5" t="inlineStr">
        <is>
          <t>Used for protection, clarity, and courage in the face of fear.</t>
        </is>
      </c>
      <c r="F59" s="4" t="inlineStr">
        <is>
          <t>sun</t>
        </is>
      </c>
      <c r="G59" s="4" t="inlineStr">
        <is>
          <t>fire</t>
        </is>
      </c>
      <c r="H59" s="4" t="inlineStr">
        <is>
          <t>projective</t>
        </is>
      </c>
      <c r="I59" s="4" t="inlineStr">
        <is>
          <t>Sunday</t>
        </is>
      </c>
      <c r="J59" s="4" t="inlineStr">
        <is>
          <t>SOL, RA, BALDUR</t>
        </is>
      </c>
      <c r="K59" s="5" t="inlineStr">
        <is>
          <t>LITHA</t>
        </is>
      </c>
      <c r="L59" s="5" t="inlineStr">
        <is>
          <t>Told to contain both the power of the Sun and the Earth, the ancient Egyptians used Tiger’s Eye to transmit the power of the Sun God Ra, to create material success.</t>
        </is>
      </c>
      <c r="M59" s="5" t="inlineStr">
        <is>
          <t>Protects against external stresses, rest, es physical energy, Truth, underst, Attracting good spirits, emotional balance, Luck, good f, Fortune, travel protection, communication, recognition of own faults, overcoming stubb, nness, Confidence, connection with the Earth.</t>
        </is>
      </c>
      <c r="N59" s="5" t="inlineStr">
        <is>
          <t>Meditation with the stone can help you find the path of power that lies between polarities. Strengthens your connection to elemental Earth, is helpful f, grounding higher energies so that you can cope with the practicalities of everyday life.</t>
        </is>
      </c>
      <c r="O59" s="5" t="inlineStr">
        <is>
          <t>*Tiger Eye gold*  Also known as: All-Seeing Eye.  Mineral composition: Tiger's Eye (SiO₂ pseudomorph after Crocidolite).  Planet: sun  Element: fire  Energy: projective  Sacred Day: Sunday.  Deity associations: Sekhmet.  Sabbat: LITHA.  Association: Used for protection, clarity, and courage in the face of fear..  Magical uses: A very protective stone, Tiger Eye can ward off the effects of curses, ill-wishing, also protect you in dream states, on the astral planes. Carrying the stone allegedly makes you irresistible to the opposite sex. Sometimes called the Stone of Balance, Tiger Eye blends opposite energies to bring balance, underst, ing. An excellent stone f, anyone caught up in a situation where they have to be the diplomat, mediat, . Helps you see both sides of an argument, make detached, logical judgements.  Red Tiger Eye increases confidence, especially when speaking in public. Gold Tiger Eye focuses the mind, increasing visualisation skills, psychic vision, insights during meditation. If you are f, ced to spend time with a person who drains your energy protect yourself with a charm bag containing Holy Thistle, Spearmint, Walnut leaves, a piece of Tiger Eye..  Powers: Protects against external stresses, rest, es physical energy, Truth, underst, Attracting good spirits, emotional balance, Luck, good f, Fortune, travel protection, communication, recognition of own faults, overcoming stubb, nness, Confidence, connection with the Earth..  Spiritual uses: Meditation with the stone can help you find the path of power that lies between polarities. Strengthens your connection to elemental Earth, is helpful f, grounding higher energies so that you can cope with the practicalities of everyday life..  Folk lore: Told to contain both the power of the Sun and the Earth, the ancient Egyptians used Tiger’s Eye to transmit the power of the Sun God Ra, to create material success..  Geology &amp; origin: . Tiger’s Eye is a member of the Chatoyant group of Quartz, the fibrous crocidolite mineral is the cause for this shimmering and flashes of light. Tiger Eye is found in only one place in South Africa, very near many of the diamond mines..</t>
        </is>
      </c>
      <c r="P59" s="4" t="inlineStr">
        <is>
          <t>Tea Tree</t>
        </is>
      </c>
      <c r="Q59" s="5" t="inlineStr">
        <is>
          <t xml:space="preserve">. Tiger’s Eye is a member of the Chatoyant group of Quartz, the fibrous crocidolite mineral is the cause for this shimmering and flashes of light. Tiger Eye is found in only one place in South Africa, very near many of the diamond mines. </t>
        </is>
      </c>
      <c r="R59" s="5" t="inlineStr">
        <is>
          <t>Warning: Contains crocidolite (blue asbestos) in its formation — polished specimens are safe but avoid inhaling dust from raw specimens.</t>
        </is>
      </c>
      <c r="S59" t="inlineStr">
        <is>
          <t>Protection, Wisdom, Harmony, Clairvoyance, Confidence, Protective charm, Protective charms, Protective sachets, Protective wreaths, Protective incense, PROTECT AGAINST NEGATIVITY, Protection from negativity, Circle protection, Knowledge, Intelligence, Intuition, Mental clarity, Sharpening the wits, Sharpening the brain, Mental powers, MEM, Memory, Concentration, Focus, Illumination, Enlightenment,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Enhancing clairvoyance, Psychic development, Psychic powers, INCREASE PSYCHIC ABILITIES, Psychic awareness, Stimulating psychic senses, Disabling psychic phenomena, Psychic communication, communication and psychic abilities, Self-confidence, Courage, Bravery, Determination, Will Power, Leadership, Leadership skills, Commanding, Personal power</t>
        </is>
      </c>
      <c r="T59" s="42" t="inlineStr">
        <is>
          <t>The All-Seeing Eye — a member of the chatoyant minerals, its silky shimmer the result of fibrous structure. Very protective, warding off curses and ill-wishing, protecting in dream states. Called the Stone of Balance — blends opposite energies. Gold Tiger Eye focuses the mind and increases psychic vision. Red Tiger Eye increases confidence for public speaking.</t>
        </is>
      </c>
      <c r="U59" t="inlineStr">
        <is>
          <t>Attracting good spirits and luck drawn through tiger eye's balanced energy.</t>
        </is>
      </c>
      <c r="V59" t="inlineStr">
        <is>
          <t>Protecting against external stresses, truth and travel protection — tiger eye in any working requiring sustained protection.</t>
        </is>
      </c>
      <c r="W59" t="inlineStr">
        <is>
          <t>The warding off of curses — tiger eye's primary release function.</t>
        </is>
      </c>
      <c r="X59" t="inlineStr">
        <is>
          <t>Opens psychic vision and the protection of dream states — where what approaches in sleep must not be allowed through.</t>
        </is>
      </c>
      <c r="Y59" t="inlineStr">
        <is>
          <t>Turns through the balancing of opposites — the diplomat's stone for any situation where two forces must be reconciled.</t>
        </is>
      </c>
      <c r="Z59" t="inlineStr">
        <is>
          <t>The All-Seeing Eye in its most protective dream function — where the working is about guarding what happens in the astral body during sleep including what is attracted there, gold tiger eye maintains the protection through the night's full arc.</t>
        </is>
      </c>
    </row>
    <row r="60" ht="208.5" customHeight="1" s="56">
      <c r="A60" s="2" t="inlineStr">
        <is>
          <t>Topaz</t>
        </is>
      </c>
      <c r="B60" s="2" t="inlineStr">
        <is>
          <t>Stone of Strength</t>
        </is>
      </c>
      <c r="C60" s="2" t="inlineStr">
        <is>
          <t>Al₂SiO₄(F,OH)₂</t>
        </is>
      </c>
      <c r="D60" s="3" t="inlineStr">
        <is>
          <t>Golden Topaz is also called Imperial Topaz, is the stone of nobility, honour, benevolence. Used magically to increase courage, lift s, row, bring riches, personal fulfilment. Topaz concentrates the mystical powers of the Sun to bring wisdom, Prosperity, Strength, energy. Set in a ring it confers power over animals, the stone can be used in meditation to learn new insights about totem animals, your familiar. W, n on the left h, the stone traditionally calms anger, banishes melancholy, brightens the wits, brigs courage. The stone has a dazzling golden energy that can be used in magic to lift your spirits, strengthen your Will enhance your creativity. W, king with Topaz can help you learn to see the intentions, motives of the people around you, perhaps m, e imp, tantly, of yourself.Blue Topaz is a transparent, light blue stone that holds the power of the Moon, elemental Water. It naturally complements the energy of Golden Topaz, when the two stones are brought together they can create very powerful magic. Blue Topaz calms passions, balances the emotions, encourages clairvoyance, psychic skills. Keep the two types of Topaz together in a charm bag, hold one in each h, while meditating to discover the power, effectiveness balance can bring to your life.</t>
        </is>
      </c>
      <c r="E60" s="3" t="inlineStr">
        <is>
          <t>Used for abundance, manifestation, and mental health.</t>
        </is>
      </c>
      <c r="F60" s="2" t="inlineStr">
        <is>
          <t>sun</t>
        </is>
      </c>
      <c r="G60" s="2" t="inlineStr">
        <is>
          <t>fire</t>
        </is>
      </c>
      <c r="H60" s="2" t="inlineStr">
        <is>
          <t>projective</t>
        </is>
      </c>
      <c r="I60" s="2" t="inlineStr">
        <is>
          <t>Sunday</t>
        </is>
      </c>
      <c r="J60" s="2" t="inlineStr">
        <is>
          <t>SOL, RA, BALDUR</t>
        </is>
      </c>
      <c r="K60" s="3" t="inlineStr">
        <is>
          <t>LITHA</t>
        </is>
      </c>
      <c r="L60" s="3" t="inlineStr">
        <is>
          <t xml:space="preserve">Bound to the left arm it dispels enchantments, heals the mind, prevents sleepwalking and apparently cures haemorrhoids! </t>
        </is>
      </c>
      <c r="M60" s="3" t="inlineStr">
        <is>
          <t>Emotional balance, Prosperity, clarity, Confidence, overcoming depression, energy, focus, Strength, tranquility. Golden Topaz is also called Imperial Topaz, is the stone of nobility, honour, benevolence. Used magically to increase courage, lift s, row, bring riches, personal fulfilment. Topaz concentrates the mystical powers of the Sun to bring wisdom, energy.</t>
        </is>
      </c>
      <c r="N60" s="3" t="inlineStr">
        <is>
          <t>Topaz is a powerful stone in the way that quartz is. It is a balancing, calming stone that balances emotions, releases tension, balances emotions, can bring joy.</t>
        </is>
      </c>
      <c r="O60" s="3" t="inlineStr">
        <is>
          <t>*Topaz*  Also known as: Stone of Strength.  Mineral composition: Al₂SiO₄(F,OH)₂.  Planet: sun  Element: fire  Energy: projective  Sacred Day: Sunday.  Deity associations: Ra.  Sabbat: LITHA.  Association: Used for abundance, manifestation, and mental health..  Magical uses: Golden Topaz is also called Imperial Topaz, is the stone of nobility, honour, benevolence. Used magically to increase courage, lift s, row, bring riches, personal fulfilment. Topaz concentrates the mystical powers of the Sun to bring wisdom, Prosperity, Strength, energy. Set in a ring it confers power over animals, the stone can be used in meditation to learn new insights about totem animals, your familiar. W, n on the left h, the stone traditionally calms anger, banishes melancholy, brightens the wits, brigs courage. The stone has a dazzling golden energy that can be used in magic to lift your spirits, strengthen your Will enhance your creativity. W, king with Topaz can help you learn to see the intentions, motives of the people around you, perhaps m, e imp, tantly, of yourself.Blue Topaz is a transparent, light blue stone that holds the power of the Moon, elemental Water. It naturally complements the energy of Golden Topaz, when the two stones are brought together they can create very powerful magic. Blue Topaz calms passions, balances the emotions, encourages clairvoyance, psychic skills. Keep the two types of Topaz together in a charm bag, hold one in each h, while meditating to discover the power, effectiveness balance can bring to your life..  Powers: Emotional balance, Prosperity, clarity, Confidence, overcoming depression, energy, focus, Strength, tranquility. Golden Topaz is also called Imperial Topaz, is the stone of nobility, honour, benevolence. Used magically to increase courage, lift s, row, bring riches, personal fulfilment. Topaz concentrates the mystical powers of the Sun to bring wisdom, energy..  Spiritual uses: Topaz is a powerful stone in the way that quartz is. It is a balancing, calming stone that balances emotions, releases tension, balances emotions, can bring joy..  Folk lore: Bound to the left arm it dispels enchantments, heals the mind, prevents sleepwalking and apparently cures haemorrhoids!.  Geology &amp; origin: Brown, yellow, orange, sherry, red and pink topaz is found in Brazil and Sri Lanka. Pink topaz is found in Pakistan and Russia.
Pale topaz which is enhanced to become blue is found in Brazil, Sri Lanka, Nigeria, and China..</t>
        </is>
      </c>
      <c r="P60" s="2" t="inlineStr">
        <is>
          <t>Tea Tree</t>
        </is>
      </c>
      <c r="Q60" s="3" t="inlineStr">
        <is>
          <t>Brown, yellow, orange, sherry, red and pink topaz is found in Brazil and Sri Lanka. Pink topaz is found in Pakistan and Russia.
Pale topaz which is enhanced to become blue is found in Brazil, Sri Lanka, Nigeria, and China.</t>
        </is>
      </c>
      <c r="R60" s="3" t="inlineStr">
        <is>
          <t>Generally safe for handling and use.</t>
        </is>
      </c>
      <c r="S60" t="inlineStr">
        <is>
          <t>Wisdom, Prosperity, Strength, Confidence, Clairvoyance, Knowledge, Intelligence, Intuition, Mental clarity, Sharpening the wits, Sharpening the brain, Mental powers, MEM, Memory, Concentration, Focus, Illumination, Enlightenment,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 Self-confidence, Courage, Bravery, Determination, Will Power, Leadership, Leadership skills, Commanding, Personal power, Enhancing clairvoyance, Psychic development, Psychic powers, INCREASE PSYCHIC ABILITIES, Psychic awareness, Stimulating psychic senses, Disabling psychic phenomena, Psychic communication, communication and psychic abilities</t>
        </is>
      </c>
      <c r="T60" s="42" t="inlineStr">
        <is>
          <t>The Stone of Strength — golden Topaz, Imperial Topaz, the stone of nobility and benevolence. Concentrates the mystical powers of the Sun to bring wisdom, prosperity and strength. Calms anger, banishes melancholy, brightens the wits and brings courage when worn on the left hand. Blue Topaz holds the Moon's power and complements the golden — when brought together they create very powerful magic.</t>
        </is>
      </c>
      <c r="U60" t="inlineStr">
        <is>
          <t>Prosperity and tranquility drawn through topaz's solar nobility.</t>
        </is>
      </c>
      <c r="V60" t="inlineStr">
        <is>
          <t>Clarity, confidence, strength and wisdom — topaz in any working where these qualities must be sustained.</t>
        </is>
      </c>
      <c r="W60" t="inlineStr">
        <is>
          <t>The banishing of melancholy — topaz's releasing of what drags down.</t>
        </is>
      </c>
      <c r="X60" t="inlineStr">
        <is>
          <t>Opens the intentions and motives of others — where what is truly driving those around must be seen.</t>
        </is>
      </c>
      <c r="Y60" t="inlineStr">
        <is>
          <t>Turns through the movement from anger to balance — the calm that comes when the golden energy settles what was agitated.</t>
        </is>
      </c>
      <c r="Z60" t="inlineStr">
        <is>
          <t>The Strength Stone in its most illuminating function — where the working requires the seeing of one's own motives and the motives of those nearby with complete honesty, topaz does not flinch from what it finds.</t>
        </is>
      </c>
    </row>
    <row r="61" ht="110.25" customHeight="1" s="56">
      <c r="A61" s="4" t="inlineStr">
        <is>
          <t xml:space="preserve">Tourmalinee Black </t>
        </is>
      </c>
      <c r="B61" s="4" t="inlineStr">
        <is>
          <t>Protector</t>
        </is>
      </c>
      <c r="C61" s="4" t="inlineStr">
        <is>
          <t>Complex boron silicate</t>
        </is>
      </c>
      <c r="D61" s="5" t="inlineStr">
        <is>
          <t>Black Tourmaline (Sch, l) deflects negativity, protects you from psychic attack. This stone is renowned f, its ability to abs, Banishing, neutralise dist, ted, malevolent energy, because of this it is a very useful stone to keep in your magic room – just be sure to cleanse it regularly. It is a v, tex that draws in, purifies any energy it comes into contact with.In general Tourmaline helps you to draw wealth, power to your life, find treasure. This can be physical, spiritual wealth, Strength, the treasures may be talents, abilities you did not know you had. The stone is used in magic to control spirits, attract goodwill, protect against bad luck, to draw things to you such as occult wisdom, energy, plenty.</t>
        </is>
      </c>
      <c r="E61" s="5" t="inlineStr">
        <is>
          <t>Used to create a shield against negative energy and psychic attacks.</t>
        </is>
      </c>
      <c r="F61" s="4" t="inlineStr">
        <is>
          <t>venus, mars</t>
        </is>
      </c>
      <c r="G61" s="4" t="inlineStr">
        <is>
          <t>Earth</t>
        </is>
      </c>
      <c r="H61" s="4" t="inlineStr">
        <is>
          <t>receptive</t>
        </is>
      </c>
      <c r="I61" s="4" t="inlineStr">
        <is>
          <t>Friday</t>
        </is>
      </c>
      <c r="J61" s="4" t="inlineStr">
        <is>
          <t>ALL</t>
        </is>
      </c>
      <c r="K61" s="5" t="inlineStr">
        <is>
          <t>OSTARA, BELTANE, SAMHAIN</t>
        </is>
      </c>
      <c r="L61" s="5" t="inlineStr">
        <is>
          <t>There is an old Egyptian legend that tells the story of how the Tourmaline, when making the long trip from the earth heart up towards the sun, it traveled along a rainbow, and on it’s travels it collected all the colors in the rainbow for it’s own</t>
        </is>
      </c>
      <c r="M61" s="5" t="inlineStr">
        <is>
          <t>Weight loss, creativity, Prosperity, attracting love, meditation, grounding, underst, ing root of problems.</t>
        </is>
      </c>
      <c r="N61" s="5" t="inlineStr">
        <is>
          <t>Black is said to protect one against high radiation, has a positive effect on the body’s loco mot, system, while strengthening musculature</t>
        </is>
      </c>
      <c r="O61" s="5" t="inlineStr">
        <is>
          <t>*Tourmalinee Black*  Also known as: Protector.  Mineral composition: Complex boron silicate.  Planet: venus, mars  Element: Earth  Energy: receptive  Sacred Day: Friday.  Deity associations: venus, mars.  Sabbat: OSTARA, BELTANE, SAMHAIN.  Association: Used to create a shield against negative energy and psychic attacks..  Magical uses: Black Tourmaline (Sch, l) deflects negativity, protects you from psychic attack. This stone is renowned f, its ability to abs, Banishing, neutralise dist, ted, malevolent energy, because of this it is a very useful stone to keep in your magic room – just be sure to cleanse it regularly. It is a v, tex that draws in, purifies any energy it comes into contact with.In general Tourmaline helps you to draw wealth, power to your life, find treasure. This can be physical, spiritual wealth, Strength, the treasures may be talents, abilities you did not know you had. The stone is used in magic to control spirits, attract goodwill, protect against bad luck, to draw things to you such as occult wisdom, energy, plenty..  Powers: Weight loss, creativity, Prosperity, attracting love, meditation, grounding, underst, ing root of problems..  Spiritual uses: Black is said to protect one against high radiation, has a positive effect on the body’s loco mot, system, while strengthening musculature.  Folk lore: There is an old Egyptian legend that tells the story of how the Tourmaline, when making the long trip from the earth heart up towards the sun, it traveled along a rainbow, and on it’s travels it collected all the colors in the rainbow for it’s own.  Geology &amp; origin: Tourmaline is pyroelectric, which means when it is warmed it generates static electricity that draws hair and ashes to it. Tourmaline is a powerful magical stone that comes in many different shades and colours..</t>
        </is>
      </c>
      <c r="P61" s="4" t="inlineStr">
        <is>
          <t>Geranium</t>
        </is>
      </c>
      <c r="Q61" s="5" t="inlineStr">
        <is>
          <t xml:space="preserve">Tourmaline is pyroelectric, which means when it is warmed it generates static electricity that draws hair and ashes to it. Tourmaline is a powerful magical stone that comes in many different shades and colours. </t>
        </is>
      </c>
      <c r="R61" s="5" t="inlineStr">
        <is>
          <t>Generally safe for handling and use.</t>
        </is>
      </c>
      <c r="S61" t="inlineStr">
        <is>
          <t>Protection, Banishing, Protection (hexes/evil), Prosperity, Magical power,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Increasing magical power, Increasing spell power, Power amplification, Bolstering spells, Bolstering incense, Strengthening spells, Potency, Power, Magic, WISDOM IN MAGICK, defensive magic</t>
        </is>
      </c>
      <c r="T61" s="42" t="inlineStr">
        <is>
          <t>The Protector — tourmaline is pyroelectric, generating an electric charge when heated or compressed. Black Tourmaline deflects negativity and protects from psychic attack. A vortex that draws in and purifies any energy it contacts. Helps draw wealth and power. Controls spirits and attracts goodwill. Must be cleansed regularly as it absorbs what it deflects.</t>
        </is>
      </c>
      <c r="U61" t="inlineStr">
        <is>
          <t>Prosperity and attracting love drawn through black tourmaline's attracting function alongside its deflecting one.</t>
        </is>
      </c>
      <c r="V61" t="inlineStr">
        <is>
          <t>Strength, meditation and grounding — the stone that earths what would otherwise scatter.</t>
        </is>
      </c>
      <c r="W61" t="inlineStr">
        <is>
          <t>Banishing — black tourmaline's primary clearing function, the stone that removes and deflects.</t>
        </is>
      </c>
      <c r="X61" t="inlineStr">
        <is>
          <t>Opens the protection from psychic attack — where the unseen must be deflected before it can land.</t>
        </is>
      </c>
      <c r="Y61" t="inlineStr">
        <is>
          <t>Turns through the drawing of what is wanted and the repelling of what is not — the vortex that sorts.</t>
        </is>
      </c>
      <c r="Z61" t="inlineStr">
        <is>
          <t>The Protector in its most complete deflecting function — where what is being deflected includes the heaviest and most persistent energetic attacks, black tourmaline absorbs and neutralises without becoming depleted. Must be cleansed regularly.</t>
        </is>
      </c>
    </row>
    <row r="62" ht="147" customHeight="1" s="56">
      <c r="A62" s="2" t="inlineStr">
        <is>
          <t>Turquoise</t>
        </is>
      </c>
      <c r="B62" s="2" t="inlineStr">
        <is>
          <t>Sky Stone</t>
        </is>
      </c>
      <c r="C62" s="2" t="inlineStr">
        <is>
          <t>CuAl₆(PO₄)₄(OH)₈·4H₂O</t>
        </is>
      </c>
      <c r="D62" s="3" t="inlineStr">
        <is>
          <t>Turquoise protects against magical, mental attacks, is said to be the guardian of babies, young children. It can also be used in conjunction with divination, scrying to give you insights as to the motives, identity of the person who has attacked you. Lessens the effects of curses, psychic attacks, can be used as a gem elixir to bring comf, t to anyone suffering from mental shock. The stone is also known as a peace maker, is believed to reconcile warring enemies, even a quarrelling husb, wife. Turquoise has long been associate with travel. Carry a piece to keep you safe, sure footed on your journeys. Turquoise combines the powers of all the elements, is renowned as a stone of vision. The stone is the vivid blue of the sky, gives its bearer the vision associated with creatures of the air such as Hawk, Eagle. Helps you to find unity, wholeness within yourself, balancing the different aspects of your character to achieve stability.</t>
        </is>
      </c>
      <c r="E62" s="3" t="inlineStr">
        <is>
          <t>Sacred to many cultures for protection, travel, and health.</t>
        </is>
      </c>
      <c r="F62" s="2" t="inlineStr">
        <is>
          <t>venus, Neptune</t>
        </is>
      </c>
      <c r="G62" s="2" t="inlineStr">
        <is>
          <t>Earth</t>
        </is>
      </c>
      <c r="H62" s="2" t="inlineStr">
        <is>
          <t>receptive</t>
        </is>
      </c>
      <c r="I62" s="2" t="inlineStr">
        <is>
          <t>Friday</t>
        </is>
      </c>
      <c r="J62" s="2" t="inlineStr">
        <is>
          <t>ALL</t>
        </is>
      </c>
      <c r="K62" s="3" t="inlineStr">
        <is>
          <t>IMBOLC</t>
        </is>
      </c>
      <c r="L62" s="3" t="inlineStr">
        <is>
          <t>The name of this stone has come to mean the shades of colour between blue and green but originally it simply meant ‘the stone from Turkey’ because all examples of Turquoise were traded through the city of Istanbul. Prized in Ancient Egypt the stone was used or jewellery and decoration and also ground to make a special blue eye paint.</t>
        </is>
      </c>
      <c r="M62" s="3" t="inlineStr">
        <is>
          <t>Friendship, meditation, emotional balance, loyalty, Divination, Healing, soothing, wisdom, psychic development, beauty, Protection, Happiness, Prosperity, romantic love, Confidence, trust, vict, y.</t>
        </is>
      </c>
      <c r="N62" s="3" t="inlineStr">
        <is>
          <t>A master healer, a stone of yin (feminine) energy, turquoise is most helpful with female dis, ders. Also used to prevent, cure headaches. A strong stone f, toning, strengthening the entire body, regenerating tissue.</t>
        </is>
      </c>
      <c r="O62" s="3" t="inlineStr">
        <is>
          <t>*Turquoise*  Also known as: Sky Stone.  Mineral composition: CuAl₆(PO₄)₄(OH)₈·4H₂O.  Planet: venus, Neptune  Element: Earth  Energy: receptive  Sacred Day: Friday.  Deity associations: Hathor, Buddha.  Sabbat: IMBOLC.  Association: Sacred to many cultures for protection, travel, and health..  Magical uses: Turquoise protects against magical, mental attacks, is said to be the guardian of babies, young children. It can also be used in conjunction with divination, scrying to give you insights as to the motives, identity of the person who has attacked you. Lessens the effects of curses, psychic attacks, can be used as a gem elixir to bring comf, t to anyone suffering from mental shock. The stone is also known as a peace maker, is believed to reconcile warring enemies, even a quarrelling husb, wife. Turquoise has long been associate with travel. Carry a piece to keep you safe, sure footed on your journeys. Turquoise combines the powers of all the elements, is renowned as a stone of vision. The stone is the vivid blue of the sky, gives its bearer the vision associated with creatures of the air such as Hawk, Eagle. Helps you to find unity, wholeness within yourself, balancing the different aspects of your character to achieve stability..  Powers: Friendship, meditation, emotional balance, loyalty, Divination, Healing, soothing, wisdom, psychic development, beauty, Protection, Happiness, Prosperity, romantic love, Confidence, trust, vict, y..  Spiritual uses: A master healer, a stone of yin (feminine) energy, turquoise is most helpful with female dis, ders. Also used to prevent, cure headaches. A strong stone f, toning, strengthening the entire body, regenerating tissue..  Folk lore: The name of this stone has come to mean the shades of colour between blue and green but originally it simply meant ‘the stone from Turkey’ because all examples of Turquoise were traded through the city of Istanbul. Prized in Ancient Egypt the stone was used or jewellery and decoration and also ground to make a special blue eye paint..  Geology &amp; origin: a blue pale copper mineral Copper is key to beginning the process of creating Turquoise. The mineral is introduced into host rocks by heated magma rising to the earth’s surface. Hydrothermal actions created by the heat of the magma will break down nearby feldspar, releasing aluminum. Phosphoric acids leach from apatites (rocks not usually found near copper deposits) leaving the needed phosphorus..</t>
        </is>
      </c>
      <c r="P62" s="2" t="inlineStr">
        <is>
          <t>Ylang Ylang</t>
        </is>
      </c>
      <c r="Q62" s="3" t="inlineStr">
        <is>
          <t>a blue pale copper mineral Copper is key to beginning the process of creating Turquoise. The mineral is introduced into host rocks by heated magma rising to the earth’s surface. Hydrothermal actions created by the heat of the magma will break down nearby feldspar, releasing aluminum. Phosphoric acids leach from apatites (rocks not usually found near copper deposits) leaving the needed phosphorus.</t>
        </is>
      </c>
      <c r="R62" s="3" t="inlineStr">
        <is>
          <t>Warning: Contains copper — do not use in direct gem elixirs. Avoid chemicals and prolonged water exposure. Wash hands after handling raw specimens.</t>
        </is>
      </c>
      <c r="S62" t="inlineStr">
        <is>
          <t>Protection, Protection (hexes/evil), Wisdom, Clairvoyance,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t>
        </is>
      </c>
      <c r="T62" s="42" t="inlineStr">
        <is>
          <t>The Sky Stone — a blue pale copper mineral whose colour is the key to its connection to sky and water both. The guardian of babies and young children. Used in divination and scrying to reveal the identity and motives of those who have attacked. The peace maker between enemies, the reconciler of quarrelling partners. Combines the powers of all elements. The stone of vision.</t>
        </is>
      </c>
      <c r="U62" t="inlineStr">
        <is>
          <t>Friendship, beauty, happiness, prosperity and romantic love drawn through turquoise's full elemental energy.</t>
        </is>
      </c>
      <c r="V62" t="inlineStr">
        <is>
          <t>Meditation, healing, wisdom, psychic development and protection — turquoise in the serious comprehensive traditions.</t>
        </is>
      </c>
      <c r="W62" t="inlineStr">
        <is>
          <t>The lessening of curses and psychic attack — turquoise as a gem elixir for mental shock.</t>
        </is>
      </c>
      <c r="X62" t="inlineStr">
        <is>
          <t>Opens divination and scrying — turquoise used where the motive of an attacker must be known.</t>
        </is>
      </c>
      <c r="Y62" t="inlineStr">
        <is>
          <t>Turns through the finding of unity and wholeness — where the different aspects of self must be balanced and the vision must be whole.</t>
        </is>
      </c>
      <c r="Z62" t="inlineStr">
        <is>
          <t>The Sky Stone in its most complete visionary function — where the working requires the full eagle-sight associated with this stone, the ability to see the whole situation from above and find the unity within what appears fragmented from below.</t>
        </is>
      </c>
    </row>
    <row r="63" ht="123" customHeight="1" s="56">
      <c r="A63" s="4" t="inlineStr">
        <is>
          <t>Unakite</t>
        </is>
      </c>
      <c r="B63" s="4" t="inlineStr">
        <is>
          <t>Vision Stone</t>
        </is>
      </c>
      <c r="C63" s="4" t="inlineStr">
        <is>
          <t>Epidosite (Epidote, Feldspar, Quartz)</t>
        </is>
      </c>
      <c r="D63" s="5" t="inlineStr">
        <is>
          <t>The green, red tones have made this stone sacred to Mars, Venus, representing their passion, also the creative energy, magical power that is generated when two opposites are brought together in a balanced way. The stone can be used in any spells linked to strong emotions such as lust, Confidence, daring, also to increase marital harmony, strengthen partnerships, increase underst, ing between people.</t>
        </is>
      </c>
      <c r="E63" s="5" t="inlineStr">
        <is>
          <t>Used for balance and grounding vision in reality.</t>
        </is>
      </c>
      <c r="F63" s="4" t="inlineStr">
        <is>
          <t>Mars, Venus</t>
        </is>
      </c>
      <c r="G63" s="4" t="inlineStr">
        <is>
          <t>Fire, water</t>
        </is>
      </c>
      <c r="H63" s="4" t="inlineStr">
        <is>
          <t>re3ceptive</t>
        </is>
      </c>
      <c r="I63" s="4" t="inlineStr">
        <is>
          <t>Friday</t>
        </is>
      </c>
      <c r="J63" s="4" t="inlineStr">
        <is>
          <t>APHRODITE, VENUS, FREYJA, HATHOR</t>
        </is>
      </c>
      <c r="K63" s="5" t="inlineStr">
        <is>
          <t>BELTANE, SAMHAIN</t>
        </is>
      </c>
      <c r="L63" s="5" t="inlineStr">
        <is>
          <t>Legend tells us that one who carries Unakite will have the power to locate things that have been lost. The stone takes it’s name from the Greek word epidosis, meaning “growing together”,</t>
        </is>
      </c>
      <c r="M63" s="5" t="inlineStr">
        <is>
          <t>Protection, Strength, Harmony, Healing, friendship, gardening, attracting animal guides, Peace, quiet.</t>
        </is>
      </c>
      <c r="N63" s="5" t="inlineStr">
        <is>
          <t>Since many illnesses began as an unhealed trauma to one’s psyche, letting go of emotions aids the body’s tissue in relaxing on a cellular level. Thus promotes healthier, gans, muscles, soft tissue.</t>
        </is>
      </c>
      <c r="O63" s="5" t="inlineStr">
        <is>
          <t>*Unakite*  Also known as: Vision Stone.  Mineral composition: Epidosite (Epidote, Feldspar, Quartz).  Planet: Mars, Venus  Element: Fire, water  Energy: re3ceptive  Sacred Day: Friday.  Deity associations: venus.  Sabbat: BELTANE, SAMHAIN.  Association: Used for balance and grounding vision in reality..  Magical uses: The green, red tones have made this stone sacred to Mars, Venus, representing their passion, also the creative energy, magical power that is generated when two opposites are brought together in a balanced way. The stone can be used in any spells linked to strong emotions such as lust, Confidence, daring, also to increase marital harmony, strengthen partnerships, increase underst, ing between people..  Powers: Protection, Strength, Harmony, Healing, friendship, gardening, attracting animal guides, Peace, quiet..  Spiritual uses: Since many illnesses began as an unhealed trauma to one’s psyche, letting go of emotions aids the body’s tissue in relaxing on a cellular level. Thus promotes healthier, gans, muscles, soft tissue..  Folk lore: Legend tells us that one who carries Unakite will have the power to locate things that have been lost. The stone takes it’s name from the Greek word epidosis, meaning “growing together”,.  Geology &amp; origin: The pretty patterning in Unakite is formed from its mixture of mossy green pistacite and pink feldspar. Unakite does not crystallize. It is found in masses, much like Chalcedonies are. Some deposits are found in Zimbabwe and Switzerland, but the gemstone is named for it’s North American home, the Unaka Mountains. Occasionally the gem is listed as Epidotized Granite or Grandodiorite, but it is Unakite that is the most commonly known.
Pebbles and boulders of Unakite have been found in Glacial drifts around the Great Lakes, especially near Lake Michigan..</t>
        </is>
      </c>
      <c r="P63" s="4" t="inlineStr">
        <is>
          <t>Ylang Ylang</t>
        </is>
      </c>
      <c r="Q63" s="5" t="inlineStr">
        <is>
          <t>The pretty patterning in Unakite is formed from its mixture of mossy green pistacite and pink feldspar. Unakite does not crystallize. It is found in masses, much like Chalcedonies are. Some deposits are found in Zimbabwe and Switzerland, but the gemstone is named for it’s North American home, the Unaka Mountains. Occasionally the gem is listed as Epidotized Granite or Grandodiorite, but it is Unakite that is the most commonly known.
Pebbles and boulders of Unakite have been found in Glacial drifts around the Great Lakes, especially near Lake Michigan.</t>
        </is>
      </c>
      <c r="R63" s="5" t="inlineStr">
        <is>
          <t>Generally safe for handling and use.</t>
        </is>
      </c>
      <c r="S63" t="inlineStr">
        <is>
          <t>Love, Aphrodisiac, Harmony, Confidence,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Self-confidence, Courage, Bravery, Determination, Will Power, Leadership, Leadership skills, Commanding, Personal power</t>
        </is>
      </c>
      <c r="T63" s="42" t="inlineStr">
        <is>
          <t>The Vision Stone — patterned in green and pink from the meeting of Mars and Venus in the same stone. Sacred to both gods together, representing passion and the creative power generated when opposites are brought together in a balanced way. Used in any spell linked to strong emotions: lust, confidence, daring. Also for marital harmony and understanding between people.</t>
        </is>
      </c>
      <c r="U63" t="inlineStr">
        <is>
          <t>Passion, harmony, friendship, attracting animal guides and peace drawn through unakite's dual energy.</t>
        </is>
      </c>
      <c r="V63" t="inlineStr">
        <is>
          <t>Protection, strength and healing — held in protective and healing workings.</t>
        </is>
      </c>
      <c r="W63" t="inlineStr">
        <is>
          <t>None specified.</t>
        </is>
      </c>
      <c r="X63" t="inlineStr">
        <is>
          <t>Opens the hidden creative power available when opposites are brought into contact — where what was in conflict must now be understood.</t>
        </is>
      </c>
      <c r="Y63" t="inlineStr">
        <is>
          <t>Turns through the strengthening of partnerships and the understanding that comes between people who have been at odds.</t>
        </is>
      </c>
      <c r="Z63" t="inlineStr">
        <is>
          <t>The Vision Stone in its most passionate function — where the working concerns the deep creative and emotional current that flows when two strong forces are brought together in genuine balance, unakite holds the tension and the power of that meeting.</t>
        </is>
      </c>
    </row>
    <row r="64" ht="61.5" customHeight="1" s="56">
      <c r="A64" s="2" t="inlineStr">
        <is>
          <t>Yellow Aventurine</t>
        </is>
      </c>
      <c r="B64" s="2" t="inlineStr">
        <is>
          <t>Stone of Vitality</t>
        </is>
      </c>
      <c r="C64" s="2" t="inlineStr">
        <is>
          <t>Quartz with mica (SiO₂)</t>
        </is>
      </c>
      <c r="D64" s="3" t="inlineStr">
        <is>
          <t>This stone gives will, self control a boost, also helps us to focus intent as needed in, der to manifest. Furtherm, e it inspires underst, Attracting good spirits, compassion, stabilizes the emotions, helps one to overcome grief. Yellow aventurine protects against EMF pollution, draws abundance, Prosperity, as well it can be used to alleviate anxiety, Exploring feelings, creativity.</t>
        </is>
      </c>
      <c r="E64" s="3" t="inlineStr">
        <is>
          <t>Used for self-reflection and increasing personal power.</t>
        </is>
      </c>
      <c r="F64" s="2" t="inlineStr">
        <is>
          <t>Mars</t>
        </is>
      </c>
      <c r="G64" s="2" t="inlineStr">
        <is>
          <t>Earth</t>
        </is>
      </c>
      <c r="H64" s="2" t="inlineStr">
        <is>
          <t>Receptive</t>
        </is>
      </c>
      <c r="I64" s="2" t="inlineStr">
        <is>
          <t>Tuesday</t>
        </is>
      </c>
      <c r="J64" s="2" t="inlineStr">
        <is>
          <t>ARES, MARS, TIWAZ, THOR</t>
        </is>
      </c>
      <c r="K64" s="3" t="inlineStr">
        <is>
          <t>BELTANE, SAMHAIN</t>
        </is>
      </c>
      <c r="L64" s="3" t="inlineStr">
        <is>
          <t>For thousands of years aventurine has been used as a gemstone of luck. For example in Ancient Greece warriors would wear aventurine when going to war, hoping to avoid injuries or worse. And of course more luck never hurt when gambling.</t>
        </is>
      </c>
      <c r="M64" s="3" t="inlineStr">
        <is>
          <t>Creativity, manifesting money, Prosperity, leadership, decisiveness, increasing personal power.</t>
        </is>
      </c>
      <c r="N64" s="3" t="inlineStr">
        <is>
          <t>Use Aventurine to reduce, abs, Banishing, protect against electromagnetic, environmental pollution.  Yellow Aventurine can assist in removing toxins, enhancing the flow of energy through the body.  Yellow Aventurine balances the Yin-Yang energies, eases anxiety, Exploring feelings, s the flow of creativity.</t>
        </is>
      </c>
      <c r="O64" s="3" t="inlineStr">
        <is>
          <t>*Yellow Aventurine*  Also known as: Stone of Vitality.  Mineral composition: Quartz with mica (SiO₂).  Planet: Mars  Element: Earth  Energy: Receptive  Sacred Day: Tuesday.  Deity associations: Cupra, Flidais.  Sabbat: BELTANE, SAMHAIN.  Association: Used for self-reflection and increasing personal power..  Magical uses: This stone gives will, self control a boost, also helps us to focus intent as needed in, der to manifest. Furtherm, e it inspires underst, Attracting good spirits, compassion, stabilizes the emotions, helps one to overcome grief. Yellow aventurine protects against EMF pollution, draws abundance, Prosperity, as well it can be used to alleviate anxiety, Exploring feelings, creativity..  Powers: Creativity, manifesting money, Prosperity, leadership, decisiveness, increasing personal power..  Spiritual uses: Use Aventurine to reduce, abs, Banishing, protect against electromagnetic, environmental pollution.  Yellow Aventurine can assist in removing toxins, enhancing the flow of energy through the body.  Yellow Aventurine balances the Yin-Yang energies, eases anxiety, Exploring feelings, s the flow of creativity..  Folk lore: For thousands of years aventurine has been used as a gemstone of luck. For example in Ancient Greece warriors would wear aventurine when going to war, hoping to avoid injuries or worse. And of course more luck never hurt when gambling..  Geology &amp; origin: Aventurine quartz crystals have been found in Italy, Brazil, India, China, Tibet, Nepal and Russia. The name Aventurine comes from its quality of "aventurescence", which means the amount of reflective ability of the stone..</t>
        </is>
      </c>
      <c r="P64" s="2" t="inlineStr">
        <is>
          <t>Patchouli</t>
        </is>
      </c>
      <c r="Q64" s="3" t="inlineStr">
        <is>
          <t xml:space="preserve">Aventurine quartz crystals have been found in Italy, Brazil, India, China, Tibet, Nepal and Russia. The name Aventurine comes from its quality of "aventurescence", which means the amount of reflective ability of the stone. </t>
        </is>
      </c>
      <c r="R64" s="3" t="inlineStr">
        <is>
          <t>Generally safe for handling and use.</t>
        </is>
      </c>
      <c r="S64" t="inlineStr">
        <is>
          <t>Confidence, Prosperity, Healing, Harmony, Clairvoyance, Self-confidence, Courage, Bravery, Determination, Will Power, Leadership, Leadership skills, Commanding, Personal power,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clairvoyance, Psychic development, Psychic powers, INCREASE PSYCHIC ABILITIES, Psychic awareness, Stimulating psychic senses, Disabling psychic phenomena, Psychic communication, communication and psychic abilities</t>
        </is>
      </c>
      <c r="T64" s="42" t="inlineStr">
        <is>
          <t>The Stone of Vitality — aventurine quartz found in Australia, India and Brazil, yellow and golden in its vitality expression. Boosts will and self-control, focuses intent for manifestation, stabilises emotions. Protects against EMF pollution, draws abundance and prosperity. Can be used to alleviate anxiety and explore feelings with grounded courage.</t>
        </is>
      </c>
      <c r="U64" t="inlineStr">
        <is>
          <t>Attracting good spirits, compassion and prosperity drawn through yellow aventurine's vital earth energy.</t>
        </is>
      </c>
      <c r="V64" t="inlineStr">
        <is>
          <t>Increasing personal power — the stone that strengthens the will.</t>
        </is>
      </c>
      <c r="W64" t="inlineStr">
        <is>
          <t>The helping to overcome grief — where what was heavy must be set down.</t>
        </is>
      </c>
      <c r="X64" t="inlineStr">
        <is>
          <t>Opens the attracting of good spirits — yellow aventurine used where beneficial presences must be invited.</t>
        </is>
      </c>
      <c r="Y64" t="inlineStr">
        <is>
          <t>Turns through the focusing of will into manifestation — from wanting to doing, from intent to reality.</t>
        </is>
      </c>
      <c r="Z64" t="inlineStr">
        <is>
          <t>The Vitality Stone in its most will-strengthening function — where the working is about the genuine building of self-control and the ability to focus intent toward what is genuinely wanted rather than what is habitual, yellow aventurine builds that capacity steadily.</t>
        </is>
      </c>
    </row>
    <row r="65" ht="123" customHeight="1" s="56">
      <c r="A65" s="4" t="inlineStr">
        <is>
          <t>Amber</t>
        </is>
      </c>
      <c r="B65" s="4" t="inlineStr">
        <is>
          <t>Tears of the Sun</t>
        </is>
      </c>
      <c r="C65" s="4" t="inlineStr">
        <is>
          <t>Succinite (fossilised tree resin, C₁₀H₁₆O)</t>
        </is>
      </c>
      <c r="D65" s="5" t="inlineStr">
        <is>
          <t>Protects from evil spells, an evil eye. Amber always was considered an anti-demonic amulet. Use in magic regarding clarity, Confidence, rituals of protection, strength. It is also believed that an Amber bead, hidden in baby’s clothes, will counteract any malicious f, ces.  It links the everyday self to the spiritual self, is highly protective against any type of negativity, especially from psychic sources.</t>
        </is>
      </c>
      <c r="E65" s="5" t="inlineStr">
        <is>
          <t>Organic gemstone used for protection, healing, and connection to ancient wisdom.</t>
        </is>
      </c>
      <c r="F65" s="4" t="inlineStr">
        <is>
          <t>Sun</t>
        </is>
      </c>
      <c r="G65" s="4" t="inlineStr">
        <is>
          <t>Fire</t>
        </is>
      </c>
      <c r="H65" s="4" t="inlineStr">
        <is>
          <t>Projective</t>
        </is>
      </c>
      <c r="I65" s="4" t="inlineStr">
        <is>
          <t>Sunday</t>
        </is>
      </c>
      <c r="J65" s="4" t="inlineStr">
        <is>
          <t>SOL, RA, BALDUR</t>
        </is>
      </c>
      <c r="K65" s="5" t="inlineStr">
        <is>
          <t>LITHA</t>
        </is>
      </c>
      <c r="L65" s="5" t="inlineStr">
        <is>
          <t>According to a legend cited by Ovidius in "Metamorphoses", Amber gems are the stark tears of daughters of the God of Sun, in mourning for their brother Phaeton. Phaeton wanted to race on the sky in a chariot of their father, harnessed by winged fire-spitting horses. He could not handle them, and crushed to the Earth. Gods transformed his crying sisters into trees. They stand on the bank of cold river and cry. Their hot tears fall into cold water, harden and turn to transparent Amber gems. It has an electrical charge when rubbed, and was called 'elektron' by the ancient Greeks... and this is thought to be the origin of the word electricity.</t>
        </is>
      </c>
      <c r="M65" s="5" t="inlineStr">
        <is>
          <t>Boosts optimism, facilitates self-expression, attracts friends, helps to find partner in life, brings vict, y. Amber bead on a red thread repels witches, malicious spirits.</t>
        </is>
      </c>
      <c r="N65" s="5" t="inlineStr">
        <is>
          <t>Amber contains up to 8 weight percent of the amber acid, which has vitamin-like properties. By enhancing endocellular metabolism, the amber acid brings about general improvement of body condition, slows down ageing processes, Amulets/talismans, malizes cardiac blood circulation.</t>
        </is>
      </c>
      <c r="O65" s="5" t="inlineStr">
        <is>
          <t>*Amber*  Also known as: Tears of the Sun.  Mineral composition: Succinite (fossilised tree resin, C₁₀H₁₆O).  Planet: Sun  Element: Fire  Energy: Projective  Sacred Day: Sunday.  Deity associations: Mother Goddess, Amberella, Electra.  Sabbat: LITHA.  Association: Organic gemstone used for protection, healing, and connection to ancient wisdom..  Magical uses: Protects from evil spells, an evil eye. Amber always was considered an anti-demonic amulet. Use in magic regarding clarity, Confidence, rituals of protection, strength. It is also believed that an Amber bead, hidden in baby’s clothes, will counteract any malicious f, ces.  It links the everyday self to the spiritual self, is highly protective against any type of negativity, especially from psychic sources..  Powers: Boosts optimism, facilitates self-expression, attracts friends, helps to find partner in life, brings vict, y. Amber bead on a red thread repels witches, malicious spirits..  Spiritual uses: Amber contains up to 8 weight percent of the amber acid, which has vitamin-like properties. By enhancing endocellular metabolism, the amber acid brings about general improvement of body condition, slows down ageing processes, Amulets/talismans, malizes cardiac blood circulation..  Folk lore: According to a legend cited by Ovidius in "Metamorphoses", Amber gems are the stark tears of daughters of the God of Sun, in mourning for their brother Phaeton. Phaeton wanted to race on the sky in a chariot of their father, harnessed by winged fire-spitting horses. He could not handle them, and crushed to the Earth. Gods transformed his crying sisters into trees. They stand on the bank of cold river and cry. Their hot tears fall into cold water, harden and turn to transparent Amber gems. It has an electrical charge when rubbed, and was called 'elektron' by the ancient Greeks... and this is thought to be the origin of the word electricity..  Geology &amp; origin: Amber isn't actually a gemstone, but a resin formed by hardened tree sap. It typically appears in shades of yellow and orange, although a few odd colours, like green or red, are sometimes seen..</t>
        </is>
      </c>
      <c r="P65" s="4" t="inlineStr">
        <is>
          <t>Tea Tree</t>
        </is>
      </c>
      <c r="Q65" s="5" t="inlineStr">
        <is>
          <t xml:space="preserve">Amber isn't actually a gemstone, but a resin formed by hardened tree sap. It typically appears in shades of yellow and orange, although a few odd colours, like green or red, are sometimes seen. </t>
        </is>
      </c>
      <c r="R65" s="5" t="inlineStr">
        <is>
          <t>Generally safe for handling. Not a mineral — fossilised resin. Avoid prolonged sunlight and heat. Do not use strong chemicals.</t>
        </is>
      </c>
      <c r="S65" t="inlineStr">
        <is>
          <t>Protection, Confidence, Protection (hexes/evil), Protective charm, Protective charms, Protective sachets, Protective wreaths, Protective incense, PROTECT AGAINST NEGATIVITY, Protection from negativity, Circle protection, Self-confidence, Courage, Bravery, Determination, Will Power, Leadership, Leadership skills, Commanding, Personal power,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t>
        </is>
      </c>
      <c r="T65" s="42" t="inlineStr">
        <is>
          <t>The Tears of the Sun — amber is not a gemstone but fossilised tree resin, often containing ancient insects preserved in their final moment. Protects from evil spells and the evil eye — an anti-demonic amulet since the earliest traditions. Links the everyday self to the spiritual self, highly protective against psychic sources of negativity. An Amber bead hidden in a baby's clothes was believed to counteract malicious forces.</t>
        </is>
      </c>
      <c r="U65" t="inlineStr">
        <is>
          <t>The attracting of friends and warmth drawn through amber's solar golden energy.</t>
        </is>
      </c>
      <c r="V65" t="inlineStr">
        <is>
          <t>Protection from evil spells and clarity, confidence and ritual protection — amber in any serious protective working.</t>
        </is>
      </c>
      <c r="W65" t="inlineStr">
        <is>
          <t>None specified.</t>
        </is>
      </c>
      <c r="X65" t="inlineStr">
        <is>
          <t>Opens the link between everyday self and spiritual self — where what is lived must be connected to what is larger.</t>
        </is>
      </c>
      <c r="Y65" t="inlineStr">
        <is>
          <t>Turns through the strengthening of that link — the mundane and the sacred drawn together.</t>
        </is>
      </c>
      <c r="Z65" t="inlineStr">
        <is>
          <t>The Tears of the Sun in its most ancient protective function — where what is being protected is the essential self against forces that would diminish or corrupt it, amber's solar golden energy burns away what approaches the protected core.</t>
        </is>
      </c>
    </row>
    <row r="66" ht="86.25" customHeight="1" s="56">
      <c r="A66" s="2" t="inlineStr">
        <is>
          <t>Emerald</t>
        </is>
      </c>
      <c r="B66" s="2" t="inlineStr">
        <is>
          <t>The Jewel of Kings</t>
        </is>
      </c>
      <c r="C66" s="2" t="inlineStr">
        <is>
          <t>Beryl var. (Be₃Al₂(SiO₃)₆)</t>
        </is>
      </c>
      <c r="D66" s="3" t="inlineStr">
        <is>
          <t>Emerald is also a stone of great vision, Divination, associated with the eyes, Clairvoyance, long believed to f, etell future events, reveal one’s truths. It is a stone of wisdom, enhancing mem, increasing mental clarity. It combines intelligence with discernment, brings to the conscious mind what is unconsciously known. Emerald also increases focus, intent, activating psychic abilities, opening clairvoyance. Traditionally it was used as a protection against enchantment, Bolstering spells</t>
        </is>
      </c>
      <c r="E66" s="3" t="inlineStr">
        <is>
          <t>Associated with Venus, Jupiter, and the divine feminine; linked to spring, fertility, and abundance</t>
        </is>
      </c>
      <c r="F66" s="2" t="inlineStr">
        <is>
          <t>Jupiter, Venus</t>
        </is>
      </c>
      <c r="G66" s="2" t="inlineStr">
        <is>
          <t>Earth</t>
        </is>
      </c>
      <c r="H66" s="2" t="inlineStr">
        <is>
          <t>Receptive</t>
        </is>
      </c>
      <c r="I66" s="2" t="inlineStr">
        <is>
          <t>Friday</t>
        </is>
      </c>
      <c r="J66" s="2" t="inlineStr">
        <is>
          <t>ALL</t>
        </is>
      </c>
      <c r="K66" s="3" t="inlineStr">
        <is>
          <t>MABON</t>
        </is>
      </c>
      <c r="L66" s="3" t="inlineStr">
        <is>
          <t xml:space="preserve"> It was a stone worshipped by the Incas, believed by the Chaldeans to contain a goddess, and was highly honored in all major religions for its spiritual power and beauty. Emerald was considered a symbol of eternal life in ancient Egypt, a gift of Thoth, the god of wisdom, and was a favorite jewel of Queen Cleopatra.</t>
        </is>
      </c>
      <c r="M66" s="3" t="inlineStr">
        <is>
          <t>Vision, divination, clairvoyance, love, prosperity, healing, fertility, memory, communication, truth, loyalty</t>
        </is>
      </c>
      <c r="N66" s="3" t="inlineStr">
        <is>
          <t>Emerald opens, nurtures the heart, the Heart Chakra. Its soothing energy provides healing to all levels of the being, bringing freshness, vitality to the spirit. A stone of inspiration, infinite patience, it embodies unity, compassion, unconditional love. Emerald promotes friendship, balance between partners, is particularly known f, providing domestic bliss, contentment, loyalty.</t>
        </is>
      </c>
      <c r="O66" s="3" t="inlineStr">
        <is>
          <t>*Emerald*  Also known as: The Jewel of Kings.  Mineral composition: Beryl var. (Be₃Al₂(SiO₃)₆).  Planet: Jupiter, Venus  Element: Earth  Energy: Receptive  Sacred Day: Friday.  Deity associations: Ceres, Isis, Venus, Mercury, Vishnu.  Sabbat: MABON.  Association: Associated with Venus, Jupiter, and the divine feminine; linked to spring, fertility, and abundance.  Magical uses: Emerald is also a stone of great vision, Divination, associated with the eyes, Clairvoyance, long believed to f, etell future events, reveal one’s truths. It is a stone of wisdom, enhancing mem, increasing mental clarity. It combines intelligence with discernment, brings to the conscious mind what is unconsciously known. Emerald also increases focus, intent, activating psychic abilities, opening clairvoyance. Traditionally it was used as a protection against enchantment, Bolstering spells.  Powers: Vision, divination, clairvoyance, love, prosperity, healing, fertility, memory, communication, truth, loyalty.  Spiritual uses: Emerald opens, nurtures the heart, the Heart Chakra. Its soothing energy provides healing to all levels of the being, bringing freshness, vitality to the spirit. A stone of inspiration, infinite patience, it embodies unity, compassion, unconditional love. Emerald promotes friendship, balance between partners, is particularly known f, providing domestic bliss, contentment, loyalty..  Folk lore: It was a stone worshipped by the Incas, believed by the Chaldeans to contain a goddess, and was highly honored in all major religions for its spiritual power and beauty. Emerald was considered a symbol of eternal life in ancient Egypt, a gift of Thoth, the god of wisdom, and was a favorite jewel of Queen Cleopatra..  Geology &amp; origin: Natural, transparent Emerald is one of four “precious” gemstones (including Diamond, Ruby and Sapphire), and is the green variety of Beryl, a beryllium aluminum silicate mineral colored by trace amounts of chromium and/or vanadium. Emerald occurs in hues ranging from yellow-green to blue-green, with the finest being a pure verdant green hue, medium to dark in tone..</t>
        </is>
      </c>
      <c r="P66" s="2" t="inlineStr">
        <is>
          <t>Ylang Ylang</t>
        </is>
      </c>
      <c r="Q66" s="3" t="inlineStr">
        <is>
          <t>Natural, transparent Emerald is one of four “precious” gemstones (including Diamond, Ruby and Sapphire), and is the green variety of Beryl, a beryllium aluminum silicate mineral colored by trace amounts of chromium and/or vanadium. Emerald occurs in hues ranging from yellow-green to blue-green, with the finest being a pure verdant green hue, medium to dark in tone.</t>
        </is>
      </c>
      <c r="R66" s="3" t="inlineStr">
        <is>
          <t>Generally safe for handling. Raw specimens may have sharp edges. Handle treated stones carefully.</t>
        </is>
      </c>
      <c r="S66" t="inlineStr">
        <is>
          <t>Divination, Clairvoyance, Wisdom, Love, Fidelity, Protection,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Faithfulness, Loyalty, Promoting fidelity, Ensuring a lover returns love, Protective charm, Protective charms, Protective sachets, Protective wreaths, Protective incense, PROTECT AGAINST NEGATIVITY, Protection from negativity, Circle protection</t>
        </is>
      </c>
      <c r="T66" s="42" t="inlineStr">
        <is>
          <t>The Jewel of Kings — natural transparent emerald one of four precious gemstones. A stone of great vision and prophecy, associated with the eyes and clairvoyance, long believed to foretell future events and reveal truths. A stone of wisdom that enhances memory and mental clarity. Combines intelligence with discernment — brings to the conscious mind what the unconscious already knows.</t>
        </is>
      </c>
      <c r="U66" t="inlineStr">
        <is>
          <t>Love, prosperity and fertility drawn through the kingly emerald's deep green power.</t>
        </is>
      </c>
      <c r="V66" t="inlineStr">
        <is>
          <t>Healing and truth — the healing and truth-telling functions of the wise stone.</t>
        </is>
      </c>
      <c r="W66" t="inlineStr">
        <is>
          <t>None specified.</t>
        </is>
      </c>
      <c r="X66" t="inlineStr">
        <is>
          <t>Opens the great vision and divination — where emerald is used as a focus for clairvoyance and the revealing of what is true.</t>
        </is>
      </c>
      <c r="Y66" t="inlineStr">
        <is>
          <t>Turns through the movement from unconscious knowing to conscious understanding — what was felt but not known now clearly seen.</t>
        </is>
      </c>
      <c r="Z66" t="inlineStr">
        <is>
          <t>The stone of Venus in her most complete aspect — love spells that encourage faithfulness alongside the passion that makes faithfulness worth choosing. Where sacred union magic requires a stone that understands both the heart and the body, emerald holds both.</t>
        </is>
      </c>
    </row>
  </sheetData>
  <autoFilter ref="A1:R1"/>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Y30"/>
  <sheetViews>
    <sheetView zoomScaleNormal="100" workbookViewId="0">
      <pane xSplit="1" ySplit="1" topLeftCell="L2" activePane="bottomRight" state="frozen"/>
      <selection pane="bottomLeft" activeCell="A2" sqref="A2"/>
      <selection pane="topRight" activeCell="B1" sqref="B1"/>
      <selection pane="bottomRight" activeCell="A1" sqref="A1"/>
    </sheetView>
  </sheetViews>
  <sheetFormatPr baseColWidth="8" defaultColWidth="8.7421875" defaultRowHeight="15"/>
  <cols>
    <col width="20.04296875" customWidth="1" style="56" min="1" max="3"/>
    <col width="55.01953125" customWidth="1" style="56" min="4" max="4"/>
    <col width="29.99609375" customWidth="1" style="56" min="5" max="5"/>
    <col width="11.97265625" customWidth="1" style="56" min="6" max="9"/>
    <col width="22.05859375" customWidth="1" style="56" min="10" max="10"/>
    <col width="18.0234375" customWidth="1" style="56" min="11" max="11"/>
    <col width="50.04296875" customWidth="1" style="56" min="12" max="12"/>
    <col width="27.98046875" customWidth="1" style="56" min="13" max="13"/>
    <col width="50.04296875" customWidth="1" style="56" min="14" max="14"/>
    <col width="69.94921875" customWidth="1" style="56" min="15" max="15"/>
    <col width="18.0234375" customWidth="1" style="56" min="16" max="16"/>
    <col width="27.98046875" customWidth="1" style="56" min="17" max="17"/>
    <col width="34.97265625" customWidth="1" style="56" min="18" max="18"/>
  </cols>
  <sheetData>
    <row r="1" ht="31.5" customHeight="1" s="56">
      <c r="A1" s="1" t="inlineStr">
        <is>
          <t>Name</t>
        </is>
      </c>
      <c r="B1" s="1" t="inlineStr">
        <is>
          <t>Ye Olde Name</t>
        </is>
      </c>
      <c r="C1" s="1" t="inlineStr">
        <is>
          <t>Latin Name</t>
        </is>
      </c>
      <c r="D1" s="1" t="inlineStr">
        <is>
          <t>Magical Uses</t>
        </is>
      </c>
      <c r="E1" s="1" t="inlineStr">
        <is>
          <t>Association</t>
        </is>
      </c>
      <c r="F1" s="1" t="inlineStr">
        <is>
          <t>Planet</t>
        </is>
      </c>
      <c r="G1" s="1" t="inlineStr">
        <is>
          <t>Element</t>
        </is>
      </c>
      <c r="H1" s="1" t="inlineStr">
        <is>
          <t>Energy</t>
        </is>
      </c>
      <c r="I1" s="1" t="inlineStr">
        <is>
          <t>Day</t>
        </is>
      </c>
      <c r="J1" s="1" t="inlineStr">
        <is>
          <t>Deity</t>
        </is>
      </c>
      <c r="K1" s="1" t="inlineStr">
        <is>
          <t>Sabbat</t>
        </is>
      </c>
      <c r="L1" s="1" t="inlineStr">
        <is>
          <t>Folk Lore</t>
        </is>
      </c>
      <c r="M1" s="1" t="inlineStr">
        <is>
          <t>Powers</t>
        </is>
      </c>
      <c r="N1" s="1" t="inlineStr">
        <is>
          <t>Spiritual Uses</t>
        </is>
      </c>
      <c r="O1" s="1" t="inlineStr">
        <is>
          <t>Description</t>
        </is>
      </c>
      <c r="P1" s="1" t="inlineStr">
        <is>
          <t>Oil Name</t>
        </is>
      </c>
      <c r="Q1" s="1" t="inlineStr">
        <is>
          <t>Geology</t>
        </is>
      </c>
      <c r="R1" s="1" t="inlineStr">
        <is>
          <t>Warning</t>
        </is>
      </c>
      <c r="S1" s="41" t="inlineStr">
        <is>
          <t>Greenman Energy — Main</t>
        </is>
      </c>
      <c r="T1" t="inlineStr">
        <is>
          <t>Greenman Energy — Draw</t>
        </is>
      </c>
      <c r="U1" t="inlineStr">
        <is>
          <t>Greenman Energy — Hold</t>
        </is>
      </c>
      <c r="V1" t="inlineStr">
        <is>
          <t>Greenman Energy — Release</t>
        </is>
      </c>
      <c r="W1" t="inlineStr">
        <is>
          <t>Greenman Energy — Open / Reveal</t>
        </is>
      </c>
      <c r="X1" t="inlineStr">
        <is>
          <t>Greenman Energy — Transform / Turn</t>
        </is>
      </c>
      <c r="Y1" t="inlineStr">
        <is>
          <t>Greenman Energy — Over 18</t>
        </is>
      </c>
    </row>
    <row r="2" ht="49.5" customHeight="1" s="56">
      <c r="A2" s="2" t="inlineStr">
        <is>
          <t>Apple</t>
        </is>
      </c>
      <c r="B2" s="2" t="inlineStr">
        <is>
          <t>Fruit of the Underworld</t>
        </is>
      </c>
      <c r="C2" s="2" t="inlineStr">
        <is>
          <t>Malus domestica</t>
        </is>
      </c>
      <c r="D2" s="3" t="inlineStr">
        <is>
          <t>Love, Happiness, WISDOM IN MAGICK, Wisdom,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Joy, Joyous celebrations, Contentment, Magical power, Increasing magical power, Increasing spell power, Power amplification, Bolstering spells, Bolstering incense, Strengthening spells, Potency, Power, Magic, defensive magic, Knowledge, Intelligence, Intuition, Mental clarity, Sharpening the wits, Sharpening the brain, Mental powers, MEM, Memory, Illumination, Enlightenment</t>
        </is>
      </c>
      <c r="E2" s="3" t="inlineStr">
        <is>
          <t>Symbolizes immortality and healing; associated with Celtic Otherworld traditions.</t>
        </is>
      </c>
      <c r="F2" s="2" t="inlineStr">
        <is>
          <t>VENUS</t>
        </is>
      </c>
      <c r="G2" s="2" t="inlineStr">
        <is>
          <t>Air</t>
        </is>
      </c>
      <c r="H2" s="2" t="inlineStr">
        <is>
          <t>Feminine</t>
        </is>
      </c>
      <c r="I2" s="2" t="inlineStr">
        <is>
          <t>Friday</t>
        </is>
      </c>
      <c r="J2" s="2" t="inlineStr">
        <is>
          <t>APHRODITE</t>
        </is>
      </c>
      <c r="K2" s="3" t="inlineStr">
        <is>
          <t>OSTARA</t>
        </is>
      </c>
      <c r="L2" s="3"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M2" s="3" t="inlineStr">
        <is>
          <t>Love, happiness, healing, peace, immortality, wisdom, prosperity</t>
        </is>
      </c>
      <c r="N2" s="3" t="inlineStr">
        <is>
          <t>UPLIFTING</t>
        </is>
      </c>
      <c r="O2" s="3" t="inlineStr">
        <is>
          <t>*Apple Essential Oil*  Also known as: Fruit of the Underworld.  Botanical source: Malus domestica.  Planet: VENUS  Element: Air  Energy: Feminine  Sacred Day: Friday.  Deity associations: APHRODITE.  Sabbat: OSTARA.  Association: Symbolizes immortality and healing; associated with Celtic Otherworld traditions..  Magical uses: Love, Happiness, WISDOM IN MAGICK.  Powers: Love, happiness, healing, peace, immortality, wisdom, prosperity.  Spiritual uses: UPLIFTING.  Folk lore: In Celtic myth, the silver branch of an apple tree was the passport to the Otherworld. It is said that in the land of Avalon, the apple tree bore fruit that could feed a person for a year and grant them eternal youth, keeping them forever young in the halls of the Sidhe..  Origin: Widely cultivated globally; originates in Central Asia (Kazakhstan, Kyrgyzstan).</t>
        </is>
      </c>
      <c r="P2" s="2" t="inlineStr">
        <is>
          <t>Apple</t>
        </is>
      </c>
      <c r="Q2" s="3" t="inlineStr">
        <is>
          <t>Widely cultivated globally; originates in Central Asia (Kazakhstan, Kyrgyzstan)</t>
        </is>
      </c>
      <c r="R2" s="3" t="inlineStr">
        <is>
          <t>Generally safe for external ritual use. Do not ingest essential oils.</t>
        </is>
      </c>
      <c r="S2" s="42" t="inlineStr">
        <is>
          <t>The fruit of the Underworld pressed into oil — apple carries the gateway energy of every tradition that understood what eating one meant. The oil that opens wisdom in magic, brings love and happiness, and carries the autumn gate energy into whatever it anoints.</t>
        </is>
      </c>
      <c r="T2" t="inlineStr">
        <is>
          <t>Love, happiness, peace and prosperity drawn through apple oil.</t>
        </is>
      </c>
      <c r="U2" t="inlineStr">
        <is>
          <t>Wisdom in magic — the oil held in any working where deeper understanding is needed.</t>
        </is>
      </c>
      <c r="V2" t="inlineStr">
        <is>
          <t>None specified.</t>
        </is>
      </c>
      <c r="W2" t="inlineStr">
        <is>
          <t>Opens the wisdom available through the magical tradition — where what is hidden must be made known.</t>
        </is>
      </c>
      <c r="X2" t="inlineStr">
        <is>
          <t>Turns through healing and the old energy composted into new growth.</t>
        </is>
      </c>
      <c r="Y2" t="inlineStr">
        <is>
          <t>The Underworld fruit oil in its most complete function — where the working opens the gateway into what lies beyond the visible world, apple oil carries the permission that eating the apple has always carried. Where the threshold must be genuinely crossed.</t>
        </is>
      </c>
    </row>
    <row r="3" ht="61.5" customHeight="1" s="56">
      <c r="A3" s="4" t="inlineStr">
        <is>
          <t>Bergamot</t>
        </is>
      </c>
      <c r="B3" s="4" t="inlineStr">
        <is>
          <t>Bergamot Orange</t>
        </is>
      </c>
      <c r="C3" s="4" t="inlineStr">
        <is>
          <t>Citrus bergamia</t>
        </is>
      </c>
      <c r="D3" s="5" t="inlineStr">
        <is>
          <t>PROSPERITY SPELLS, Prosperity, Increasing wealth, Success, Confidence, Happiness, Harmony, Wisdom, Clairvoyance, Fertility, Female fertility, Fertility magic, Fertility charms, Aiding fertility, Increasing fertility, Fruitfulness, Virility, male virility, Abundant harvest, Wealth, Wealth/Prosperity, Attracting business, Business dealings, abundance, Financial arrangements, Aiding gain, Gain, Money, Money spells, Attracting money, Drawing money, INCREASE MONEY, Breaking financial stagnation, Money mixtures, Protecting against poverty, Warding off poverty, Victory, victory in battle, Conquest, Overcoming opposition, Courtroom success, Legal matters, Justice, Self-confidence, Courage, Bravery, Determination, Will Power, Leadership, Leadership skills, Commanding, Personal power, Joy, Joyous celebrations, Contentment, Serenity, Ensuring joy in the home, PEACE &amp; HAPPINESS,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Knowledge, Intelligence, Intuition, Mental clarity, Sharpening the wits, Sharpening the brain, Mental powers, MEM, Memory, Illumination, Enlightenment, Enhancing clairvoyance, Psychic development, Psychic powers, INCREASE PSYCHIC ABILITIES, Psychic awareness, Stimulating psychic senses, Disabling psychic phenomena, Psychic communication, communication and psychic abilities</t>
        </is>
      </c>
      <c r="E3" s="5" t="inlineStr">
        <is>
          <t>Associated with prosperity, wealth, and success; often used in money-drawing rituals.</t>
        </is>
      </c>
      <c r="F3" s="4" t="inlineStr">
        <is>
          <t>MERCURY</t>
        </is>
      </c>
      <c r="G3" s="4" t="inlineStr">
        <is>
          <t>Air</t>
        </is>
      </c>
      <c r="H3" s="4" t="inlineStr">
        <is>
          <t>Masculine</t>
        </is>
      </c>
      <c r="I3" s="4" t="inlineStr">
        <is>
          <t>Wednesday</t>
        </is>
      </c>
      <c r="J3" s="4" t="inlineStr">
        <is>
          <t>ALL</t>
        </is>
      </c>
      <c r="K3" s="5" t="inlineStr">
        <is>
          <t>LAMMAS</t>
        </is>
      </c>
      <c r="L3" s="5" t="inlineStr">
        <is>
          <t>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t>
        </is>
      </c>
      <c r="M3" s="5" t="inlineStr">
        <is>
          <t>Prosperity, success, confidence, uplifting, money, business, clarity</t>
        </is>
      </c>
      <c r="N3" s="5" t="inlineStr">
        <is>
          <t>Harmony, Happiness, Strength</t>
        </is>
      </c>
      <c r="O3" s="5" t="inlineStr">
        <is>
          <t>*Bergamot Essential Oil*  Also known as: Bergamot Orange.  Botanical source: Citrus bergamia.  Planet: MERCURY  Element: Air  Energy: Masculine  Sacred Day: Wednesday.  Deity associations: ALL.  Sabbat: LAMMAS.  Association: Associated with prosperity, wealth, and success; often used in money-drawing rituals..  Magical uses: PROSPERITY SPELLS, Prosperity.  Powers: Prosperity, success, confidence, uplifting, money, business, clarity.  Spiritual uses: Harmony, Happiness, Strength.  Folk lore: 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  Origin: Italy (Calabria region); cultivated in Mediterranean and tropical climates.</t>
        </is>
      </c>
      <c r="P3" s="4" t="inlineStr">
        <is>
          <t>Bergamot</t>
        </is>
      </c>
      <c r="Q3" s="5" t="inlineStr">
        <is>
          <t>Italy (Calabria region); cultivated in Mediterranean and tropical climates</t>
        </is>
      </c>
      <c r="R3" s="5" t="inlineStr">
        <is>
          <t>Warning: Phototoxic — avoid sun exposure after skin application. Do not ingest.</t>
        </is>
      </c>
      <c r="S3" s="42" t="inlineStr">
        <is>
          <t>The bergamot orange pressed — a citrus oil of Mercury and Air, carrying the optimistic, forward-moving energy of successful communication and prosperous outcome. The oil anointed where business dealings must flourish and where confidence must be transmitted through whatever it touches.</t>
        </is>
      </c>
      <c r="T3" t="inlineStr">
        <is>
          <t>Prosperity and success drawn through bergamot's Mercury brightness.</t>
        </is>
      </c>
      <c r="U3" t="inlineStr">
        <is>
          <t>Confidence and clarity — held in any working where the mind must be clear.</t>
        </is>
      </c>
      <c r="V3" t="inlineStr">
        <is>
          <t>None specified.</t>
        </is>
      </c>
      <c r="W3" t="inlineStr">
        <is>
          <t>Opens the deeper current of prosperity — where the block to successful outcome must be seen and moved.</t>
        </is>
      </c>
      <c r="X3" t="inlineStr">
        <is>
          <t>Turns through success and the strengthening of what was beginning to work.</t>
        </is>
      </c>
      <c r="Y3" t="inlineStr">
        <is>
          <t>The Mercury oil in its most complete prosperous communication function — where what must be communicated includes what is most genuinely wanted and what has been compromised, bergamot sharpens the clarity to say the thing that needs to be said.</t>
        </is>
      </c>
    </row>
    <row r="4" ht="61.5" customHeight="1" s="56">
      <c r="A4" s="2" t="inlineStr">
        <is>
          <t>Cedarwood</t>
        </is>
      </c>
      <c r="B4" s="2" t="inlineStr">
        <is>
          <t>Sacred Cedar</t>
        </is>
      </c>
      <c r="C4" s="2" t="inlineStr">
        <is>
          <t>Cedrus libani / Cedrus atlantica</t>
        </is>
      </c>
      <c r="D4" s="3" t="inlineStr">
        <is>
          <t>Purification, Protection, RID OF BAD DREAMS, Prosperity, Nightmare prevention,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Preventing nightmares, Negating dreams, Nightmares, Sleep, Rest, Encouraging sound sleep, Relaxation, Serenity, Calm,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E4" s="3" t="inlineStr">
        <is>
          <t>Ancient symbol of longevity, protection, and endurance; used in temple construction.</t>
        </is>
      </c>
      <c r="F4" s="2" t="inlineStr">
        <is>
          <t>SUN</t>
        </is>
      </c>
      <c r="G4" s="2" t="inlineStr">
        <is>
          <t>Fire, Earth</t>
        </is>
      </c>
      <c r="H4" s="2" t="inlineStr">
        <is>
          <t>Masculine</t>
        </is>
      </c>
      <c r="I4" s="2" t="inlineStr">
        <is>
          <t>Sunday</t>
        </is>
      </c>
      <c r="J4" s="2" t="inlineStr">
        <is>
          <t>ARTEMIS, SECH, PERSEPHONE</t>
        </is>
      </c>
      <c r="K4" s="3" t="inlineStr">
        <is>
          <t>YULE</t>
        </is>
      </c>
      <c r="L4" s="3"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M4" s="3" t="inlineStr">
        <is>
          <t>Protection, purification, strength, longevity, grounding, healing, prosperity</t>
        </is>
      </c>
      <c r="N4" s="3" t="inlineStr">
        <is>
          <t>New beginnings, REGROWTH, CALMING &amp; COMF, Attracting good spirits, STRENGTHENING</t>
        </is>
      </c>
      <c r="O4" s="3" t="inlineStr">
        <is>
          <t>*Cedarwood Essential Oil*  Also known as: Sacred Cedar.  Botanical source: Cedrus libani / Cedrus atlantica.  Planet: SUN  Element: Fire, Earth  Energy: Masculine  Sacred Day: Sunday.  Deity associations: ARTEMIS, SECH, PERSEPHONE.  Sabbat: YULE.  Association: Ancient symbol of longevity, protection, and endurance; used in temple construction..  Magical uses: Purification, Protection, RID OF BAD DREAMS, Prosperity.  Powers: Protection, purification, strength, longevity, grounding, healing, prosperity.  Spiritual uses: New beginnings, REGROWTH, CALMING &amp; COMF, Attracting good spirits, STRENGTHENING.  Folk lore: 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  Origin: Atlas Mountains (Morocco, Algeria); also Himalayan and Virginian varieties.</t>
        </is>
      </c>
      <c r="P4" s="2" t="inlineStr">
        <is>
          <t>Cedarwood</t>
        </is>
      </c>
      <c r="Q4" s="3" t="inlineStr">
        <is>
          <t>Atlas Mountains (Morocco, Algeria); also Himalayan and Virginian varieties</t>
        </is>
      </c>
      <c r="R4" s="3" t="inlineStr">
        <is>
          <t>Warning: Avoid during pregnancy. Do not ingest. May irritate sensitive skin — dilute before use.</t>
        </is>
      </c>
      <c r="S4" s="42" t="inlineStr">
        <is>
          <t>The sacred cedar of the Tree of Life pressed into oil — its smoke and oil used by Druids, by Native American traditions, by anyone who needed to make a space genuinely sacred and then protect it. Purifies, protects and drives bad dreams from the room where it burns.</t>
        </is>
      </c>
      <c r="T4" t="inlineStr">
        <is>
          <t>Prosperity and new beginnings drawn through cedar oil's clean solar energy.</t>
        </is>
      </c>
      <c r="U4" t="inlineStr">
        <is>
          <t>Protection, strength and grounding — cedarwood in any protective anointing.</t>
        </is>
      </c>
      <c r="V4" t="inlineStr">
        <is>
          <t>Purification and the driving out of bad dreams — the clearing oil.</t>
        </is>
      </c>
      <c r="W4" t="inlineStr">
        <is>
          <t>Opens the way for good spirits and the clearing of what clouds the atmosphere before a working.</t>
        </is>
      </c>
      <c r="X4" t="inlineStr">
        <is>
          <t>Turns through purification and the building of strength — what was polluted cleared, what was weak fortified.</t>
        </is>
      </c>
      <c r="Y4" t="inlineStr">
        <is>
          <t>The sacred cedar oil in its full consecration function — where what is being consecrated is not just a space but a commitment, cedarwood oil carries the ancient authority of what has been considered holy across every tradition that has burned it.</t>
        </is>
      </c>
    </row>
    <row r="5" ht="61.5" customHeight="1" s="56">
      <c r="A5" s="4" t="inlineStr">
        <is>
          <t>Clove Bud</t>
        </is>
      </c>
      <c r="B5" s="4" t="inlineStr">
        <is>
          <t>Clove</t>
        </is>
      </c>
      <c r="C5" s="4" t="inlineStr">
        <is>
          <t>Syzygium aromaticum</t>
        </is>
      </c>
      <c r="D5" s="5" t="inlineStr">
        <is>
          <t>Love, Prosperity, Protection, HELP ATTRACT OPPOSITE SEX, Purification, Attraction,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Attracting a mate, Attracting a soulmate, Conjuring a lover, Finding future love,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t>
        </is>
      </c>
      <c r="E5" s="5" t="inlineStr">
        <is>
          <t>Used in protection magic and to repel negative energy; traditionally carried to attract prosperity.</t>
        </is>
      </c>
      <c r="F5" s="4" t="inlineStr">
        <is>
          <t>JUPITER</t>
        </is>
      </c>
      <c r="G5" s="4" t="inlineStr">
        <is>
          <t>Fire</t>
        </is>
      </c>
      <c r="H5" s="4" t="inlineStr">
        <is>
          <t>Masculine</t>
        </is>
      </c>
      <c r="I5" s="4" t="inlineStr">
        <is>
          <t>Thursday</t>
        </is>
      </c>
      <c r="J5" s="4" t="inlineStr">
        <is>
          <t>JUPITER, ZEUS</t>
        </is>
      </c>
      <c r="K5" s="5" t="inlineStr">
        <is>
          <t>LAMMAS, MABON</t>
        </is>
      </c>
      <c r="L5" s="5"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M5" s="5" t="inlineStr">
        <is>
          <t>Protection, love, money, exorcism, purification, courage, clarity</t>
        </is>
      </c>
      <c r="N5" s="5" t="inlineStr">
        <is>
          <t>INNER WARMTH, INSPIRATION, REGENERATION, MENTAL POWERS</t>
        </is>
      </c>
      <c r="O5" s="5" t="inlineStr">
        <is>
          <t>*Clove Bud Essential Oil*  Also known as: Clove.  Botanical source: Syzygium aromaticum.  Planet: JUPITER  Element: Fire  Energy: Masculine  Sacred Day: Thursday.  Deity associations: JUPITER, ZEUS.  Sabbat: LAMMAS, MABON.  Association: Used in protection magic and to repel negative energy; traditionally carried to attract prosperity..  Magical uses: Love, Prosperity, Protection, HELP ATTRACT OPPOSITE SEX, Purification.  Powers: Protection, love, money, exorcism, purification, courage, clarity.  Spiritual uses: INNER WARMTH, INSPIRATION, REGENERATION, MENTAL POWERS.  Folk lore: In the Spice Islands, it was whispered that clove buds were the captured sparks of volcanic fire. Healers would carry them to ward off the 'cold' of sickness and the 'darkness' of envy, believing the heat of the clove would burn away any ill-intent before it could touch the owner..  Origin: Maluku Islands, Indonesia; also Madagascar, Zanzibar, Sri Lanka.</t>
        </is>
      </c>
      <c r="P5" s="4" t="inlineStr">
        <is>
          <t>Clove Bud</t>
        </is>
      </c>
      <c r="Q5" s="5" t="inlineStr">
        <is>
          <t>Maluku Islands, Indonesia; also Madagascar, Zanzibar, Sri Lanka</t>
        </is>
      </c>
      <c r="R5" s="5" t="inlineStr">
        <is>
          <t>Warning: Strong skin irritant — must be heavily diluted before topical use. Do not ingest. Avoid during pregnancy.</t>
        </is>
      </c>
      <c r="S5" s="42" t="inlineStr">
        <is>
          <t>The Jupiter fire spice pressed into oil — clove bud oil carries the same functions as the whole spice but in a more immediate, penetrating form. Anoint candles and tools with it for love and prosperity workings, use it in the purification blend that prepares a space for serious work.</t>
        </is>
      </c>
      <c r="T5" t="inlineStr">
        <is>
          <t>Love, prosperity and the attraction of the opposite drawn through clove oil.</t>
        </is>
      </c>
      <c r="U5" t="inlineStr">
        <is>
          <t>Protection and courage — clove oil in protective anointing.</t>
        </is>
      </c>
      <c r="V5" t="inlineStr">
        <is>
          <t>Purification and exorcism — the oil burned and used to clear.</t>
        </is>
      </c>
      <c r="W5" t="inlineStr">
        <is>
          <t>Opens the deeper current of love and the psychic protection that surrounds it.</t>
        </is>
      </c>
      <c r="X5" t="inlineStr">
        <is>
          <t>Turns through purification and exorcism — the clearing oil that prepares the space.</t>
        </is>
      </c>
      <c r="Y5" t="inlineStr">
        <is>
          <t>The fire spice in its role as an herb that helps attract and draw physical desire — used in workings where the magnetic quality of physical attraction must be strengthened.</t>
        </is>
      </c>
    </row>
    <row r="6" ht="61.5" customHeight="1" s="56">
      <c r="A6" s="2" t="inlineStr">
        <is>
          <t>Fir Needle</t>
        </is>
      </c>
      <c r="B6" s="2" t="inlineStr">
        <is>
          <t>Pine Needle</t>
        </is>
      </c>
      <c r="C6" s="2" t="inlineStr">
        <is>
          <t>Abies alba / Abies sibirica</t>
        </is>
      </c>
      <c r="D6" s="3" t="inlineStr">
        <is>
          <t>Purification, Cleansing, Protection, Healing,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Protective charm, Protective charms, Protective wreaths, Protective incense, PROTECT AGAINST NEGATIVITY, Protection from negativity, Circle protection, Healing magic, Healing spells, Healing sachets, Healing incenses, Healing mixtures, Healing rituals, Healing incense, Healing vibrations, healing after surgery, Aiding recovery, Aiding the ill, Improving health, Speeding recovery, Good health, health</t>
        </is>
      </c>
      <c r="E6" s="3" t="inlineStr">
        <is>
          <t>Associated with purification, protection, and clearing away stagnant energies.</t>
        </is>
      </c>
      <c r="F6" s="2" t="inlineStr">
        <is>
          <t>Sun</t>
        </is>
      </c>
      <c r="G6" s="2" t="inlineStr">
        <is>
          <t>Air</t>
        </is>
      </c>
      <c r="H6" s="2" t="inlineStr">
        <is>
          <t>Masculine</t>
        </is>
      </c>
      <c r="I6" s="2" t="inlineStr">
        <is>
          <t>Sunday</t>
        </is>
      </c>
      <c r="J6" s="2" t="inlineStr">
        <is>
          <t>ARTEMIS, PAN</t>
        </is>
      </c>
      <c r="K6" s="3" t="inlineStr">
        <is>
          <t>IMBOLAC, LAMMAS</t>
        </is>
      </c>
      <c r="L6" s="3" t="inlineStr">
        <is>
          <t>In the deep northern forests, it was said that the fir tree never slept. While other trees lost their leaves, the fir remained green to act as a sentinel. Villagers would hang branches over their doors, believing the tree’s spirit would stand watch and sweep away any restless or wandering spirits that tried to disturb the home.</t>
        </is>
      </c>
      <c r="M6" s="3" t="inlineStr">
        <is>
          <t>Healing, purification, new beginnings, strength, prosperity, protection</t>
        </is>
      </c>
      <c r="N6" s="3" t="inlineStr">
        <is>
          <t>Used in ritual and ceremonial magic for purification, cleansing, protection, healing</t>
        </is>
      </c>
      <c r="O6" s="3" t="inlineStr">
        <is>
          <t>*Fir Needle Essential Oil*  Also known as: Pine Needle.  Botanical source: Abies alba / Abies sibirica.  Planet: Sun  Element: Air  Energy: Masculine  Sacred Day: Sunday.  Deity associations: ARTEMIS, PAN.  Sabbat: IMBOLAC, LAMMAS.  Association: Associated with purification, protection, and clearing away stagnant energies..  Magical uses: Purification, Cleansing, Protection, Healing.  Powers: Healing, purification, new beginnings, strength, prosperity, protection.  Spiritual uses: Used in ritual and ceremonial magic for purification, cleansing, protection, healing.  Folk lore: In the deep northern forests, it was said that the fir tree never slept. While other trees lost their leaves, the fir remained green to act as a sentinel. Villagers would hang branches over their doors, believing the tree’s spirit would stand watch and sweep away any restless or wandering spirits that tried to disturb the home..  Origin: Northern Europe, North America, Siberia (coniferous forests).</t>
        </is>
      </c>
      <c r="P6" s="2" t="inlineStr">
        <is>
          <t>Fir Needle</t>
        </is>
      </c>
      <c r="Q6" s="3" t="inlineStr">
        <is>
          <t>Northern Europe, North America, Siberia (coniferous forests)</t>
        </is>
      </c>
      <c r="R6" s="3" t="inlineStr">
        <is>
          <t>Warning: May cause skin irritation in sensitive individuals. Do not ingest. Avoid during pregnancy.</t>
        </is>
      </c>
      <c r="S6" s="42" t="inlineStr">
        <is>
          <t>The pine needle forest in a bottle — Abies oils carry the clean purification and healing of the high forest where air moves between trees that have grown for centuries. Used for purification, cleansing and the healing and protection of whatever needs that combination of clearing and strengthening.</t>
        </is>
      </c>
      <c r="T6" t="inlineStr">
        <is>
          <t>New beginnings and prosperity drawn through fir needle's forest clarity.</t>
        </is>
      </c>
      <c r="U6" t="inlineStr">
        <is>
          <t>Protection, healing and strength — the forest oil held in protective and healing anointing.</t>
        </is>
      </c>
      <c r="V6" t="inlineStr">
        <is>
          <t>Purification — the primary function of this clean forest oil.</t>
        </is>
      </c>
      <c r="W6" t="inlineStr">
        <is>
          <t>Opens the deeper purification channel — where what must go must be seen before it can be cleared.</t>
        </is>
      </c>
      <c r="X6" t="inlineStr">
        <is>
          <t>Turns through purification and cleansing — the space made as clean as a high forest after rain.</t>
        </is>
      </c>
      <c r="Y6" t="inlineStr">
        <is>
          <t>The high forest oil in its most complete purification function — where the clearing required goes to the level of what the body has accumulated from difficult experiences, fir needle works through the physical level of what needs to be released.</t>
        </is>
      </c>
    </row>
    <row r="7" ht="61.5" customHeight="1" s="56">
      <c r="A7" s="4" t="inlineStr">
        <is>
          <t>Frankincense</t>
        </is>
      </c>
      <c r="B7" s="4" t="inlineStr">
        <is>
          <t>Olibanum</t>
        </is>
      </c>
      <c r="C7" s="4" t="inlineStr">
        <is>
          <t>Boswellia sacra / Boswellia carterii</t>
        </is>
      </c>
      <c r="D7" s="5" t="inlineStr">
        <is>
          <t>Luck, Protection, SPIRITUALITY, PROTECT AGAINST NEGATIVITY, EXC, Exorcism, Contacting planes, Protection (hexes/evil),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Protective charm, Protective charms, Protective sachets, Protective wreaths, Protective incense, Protection from negativity, Circle protection,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t>
        </is>
      </c>
      <c r="E7" s="5" t="inlineStr">
        <is>
          <t>Sacred to the sun; used for thousands of years in temple rites, meditation, and spiritual elevation.</t>
        </is>
      </c>
      <c r="F7" s="4" t="inlineStr">
        <is>
          <t>SUN</t>
        </is>
      </c>
      <c r="G7" s="4" t="inlineStr">
        <is>
          <t>Fire</t>
        </is>
      </c>
      <c r="H7" s="4" t="inlineStr">
        <is>
          <t>Masculine</t>
        </is>
      </c>
      <c r="I7" s="4" t="inlineStr">
        <is>
          <t>Sunday</t>
        </is>
      </c>
      <c r="J7" s="4" t="inlineStr">
        <is>
          <t>RA, BAAL, APHRODITE, VENUS, SOL</t>
        </is>
      </c>
      <c r="K7" s="5" t="inlineStr">
        <is>
          <t>LITHA</t>
        </is>
      </c>
      <c r="L7" s="5"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M7" s="5" t="inlineStr">
        <is>
          <t>Purification, protection, consecration, spiritual elevation, meditation, healing</t>
        </is>
      </c>
      <c r="N7" s="5" t="inlineStr">
        <is>
          <t>ENLIGHTENMENT, INSPIRATION, INTROSPECTION, AIDS MEDITATION</t>
        </is>
      </c>
      <c r="O7" s="5" t="inlineStr">
        <is>
          <t>*Frankincense Essential Oil*  Also known as: Olibanum.  Botanical source: Boswellia sacra / Boswellia carterii.  Planet: SUN  Element: Fire  Energy: Masculine  Sacred Day: Sunday.  Deity associations: RA, BAAL, APHRODITE, VENUS, SOL.  Sabbat: LITHA.  Association: Sacred to the sun; used for thousands of years in temple rites, meditation, and spiritual elevation..  Magical uses: Luck, Protection, SPIRITUALITY, PROTECT AGAINST NEGATIVITY, EXC, Exorcism.  Powers: Purification, protection, consecration, spiritual elevation, meditation, healing.  Spiritual uses: ENLIGHTENMENT, INSPIRATION, INTROSPECTION, AIDS MEDITATION.  Folk lore: It is said that in the time when the world was new, the gods walked among men. When they ascended, they left behind the resin of the Frankincense tree as a bridge. It is believed that its smoke carries human prayers upward, acting as a messenger that reaches the ears of the divine..  Origin: Somalia, Ethiopia, Oman, Yemen (dry rocky terrain and hillsides).</t>
        </is>
      </c>
      <c r="P7" s="4" t="inlineStr">
        <is>
          <t>Frankincense</t>
        </is>
      </c>
      <c r="Q7" s="5" t="inlineStr">
        <is>
          <t>Somalia, Ethiopia, Oman, Yemen (dry rocky terrain and hillsides)</t>
        </is>
      </c>
      <c r="R7" s="5" t="inlineStr">
        <is>
          <t>Warning: Do not ingest. Avoid during pregnancy in large amounts. May interact with blood-thinning medications.</t>
        </is>
      </c>
      <c r="S7" s="42" t="inlineStr">
        <is>
          <t>The golden tears of the Boswellia tree distilled — frankincense oil carries all the sacred consecrating power of the resin in a form that can be worn on skin and painted onto tools and candles. The first oil in any serious working. Anoints Sun God candles, protects against negativity, elevates the space into the sacred.</t>
        </is>
      </c>
      <c r="T7" t="inlineStr">
        <is>
          <t>Luck drawn through frankincense's solar power.</t>
        </is>
      </c>
      <c r="U7" t="inlineStr">
        <is>
          <t>Protection against negativity and meditation — the oil held in any serious sacred work.</t>
        </is>
      </c>
      <c r="V7" t="inlineStr">
        <is>
          <t>Exorcism and purification — frankincense as the clearing oil.</t>
        </is>
      </c>
      <c r="W7" t="inlineStr">
        <is>
          <t>Opens spiritual elevation — where the divine must be invited in and the space made worthy.</t>
        </is>
      </c>
      <c r="X7" t="inlineStr">
        <is>
          <t>Turns through exorcism and purification — the oil that changes the quality of what it touches.</t>
        </is>
      </c>
      <c r="Y7" t="inlineStr">
        <is>
          <t>The first oil in the Over 18 working — where what is being blessed and elevated includes the full range of what happens between consenting adults in genuine desire, frankincense consecrates it with the same completeness it brings to any sacred working.</t>
        </is>
      </c>
    </row>
    <row r="8" ht="61.5" customHeight="1" s="56">
      <c r="A8" s="2" t="inlineStr">
        <is>
          <t>Geranium</t>
        </is>
      </c>
      <c r="B8" s="2" t="inlineStr">
        <is>
          <t>Storksbill</t>
        </is>
      </c>
      <c r="C8" s="2" t="inlineStr">
        <is>
          <t>Pelargonium graveolens</t>
        </is>
      </c>
      <c r="D8" s="3" t="inlineStr">
        <is>
          <t>Love, Fertility, Healing, Protection,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Protective charm, Protective charms, Protective sachets, Protective wreaths, Protective incense, PROTECT AGAINST NEGATIVITY, Protection from negativity, Circle protection</t>
        </is>
      </c>
      <c r="E8" s="3" t="inlineStr">
        <is>
          <t>Used in protection magic for the home and to foster balance and harmony.</t>
        </is>
      </c>
      <c r="F8" s="2" t="inlineStr">
        <is>
          <t>VENUS</t>
        </is>
      </c>
      <c r="G8" s="2" t="inlineStr">
        <is>
          <t>Air</t>
        </is>
      </c>
      <c r="H8" s="2" t="inlineStr">
        <is>
          <t>Feminine</t>
        </is>
      </c>
      <c r="I8" s="2" t="inlineStr">
        <is>
          <t>Friday</t>
        </is>
      </c>
      <c r="J8" s="2" t="inlineStr">
        <is>
          <t>APHRODITE, VENUS</t>
        </is>
      </c>
      <c r="K8" s="3" t="inlineStr">
        <is>
          <t>SAMHAIN, YULE</t>
        </is>
      </c>
      <c r="L8" s="3"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M8" s="3" t="inlineStr">
        <is>
          <t>Love, happiness, protection, healing, fertility, balance, calm</t>
        </is>
      </c>
      <c r="N8" s="3" t="inlineStr">
        <is>
          <t>ASSURANCE, Harmony, Peace, ANTI-DEPRESSANT</t>
        </is>
      </c>
      <c r="O8" s="3" t="inlineStr">
        <is>
          <t>*Geranium Essential Oil*  Also known as: Storksbill.  Botanical source: Pelargonium graveolens.  Planet: VENUS  Element: Air  Energy: Feminine  Sacred Day: Friday.  Deity associations: APHRODITE, VENUS.  Sabbat: SAMHAIN, YULE.  Association: Used in protection magic for the home and to foster balance and harmony..  Magical uses: Love, Fertility, Healing, Protection.  Powers: Love, happiness, protection, healing, fertility, balance, calm.  Spiritual uses: ASSURANCE, Harmony, Peace, ANTI-DEPRESSANT.  Folk lore: 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  Origin: South Africa, Réunion, Egypt, Morocco (cultivated globally).</t>
        </is>
      </c>
      <c r="P8" s="2" t="inlineStr">
        <is>
          <t>Geranium</t>
        </is>
      </c>
      <c r="Q8" s="3" t="inlineStr">
        <is>
          <t>South Africa, Réunion, Egypt, Morocco (cultivated globally)</t>
        </is>
      </c>
      <c r="R8" s="3" t="inlineStr">
        <is>
          <t>Warning: May cause skin sensitisation. Avoid during first trimester of pregnancy. Do not ingest.</t>
        </is>
      </c>
      <c r="S8" s="42" t="inlineStr">
        <is>
          <t>The storksbill oil of Venus and Air — geranium's rosy-green scent bridges the floral and the green, carrying love, fertility, healing and protection in a form that can be worn. Used in love workings and healing preparations, in any anointing that needs Venus's dual gift of attraction and care.</t>
        </is>
      </c>
      <c r="T8" t="inlineStr">
        <is>
          <t>Love, happiness and fertility drawn through geranium's Venus warmth.</t>
        </is>
      </c>
      <c r="U8" t="inlineStr">
        <is>
          <t>Protection and healing — geranium oil in protective and healing anointing.</t>
        </is>
      </c>
      <c r="V8" t="inlineStr">
        <is>
          <t>None specified.</t>
        </is>
      </c>
      <c r="W8" t="inlineStr">
        <is>
          <t>Opens the deeper current of love and the fertility that follows when love is genuinely drawn.</t>
        </is>
      </c>
      <c r="X8" t="inlineStr">
        <is>
          <t>Turns through healing and the restoration of balance — what was uneven made harmonious.</t>
        </is>
      </c>
      <c r="Y8" t="inlineStr">
        <is>
          <t>The Venus oil in its most complete nurturing function — where the working is about healing what love has damaged as much as drawing what love offers, geranium oil balances the two with genuine care for what the heart actually needs.</t>
        </is>
      </c>
    </row>
    <row r="9" ht="49.5" customHeight="1" s="56">
      <c r="A9" s="4" t="inlineStr">
        <is>
          <t>Honeysuckle</t>
        </is>
      </c>
      <c r="B9" s="4" t="inlineStr">
        <is>
          <t>Woodbine</t>
        </is>
      </c>
      <c r="C9" s="4" t="inlineStr">
        <is>
          <t>Lonicera caprifolium</t>
        </is>
      </c>
      <c r="D9" s="5" t="inlineStr">
        <is>
          <t>INCREASE PSYCHIC ABILITIES, INCREASE MONEY, Protection, Clairvoyance, Increasing wealth, Enhancing clairvoyance, Psychic development, Psychic powers, Psychic awareness, Stimulating psychic senses, Disabling psychic phenomena, Psychic communication, communication and psychic abilities,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Money, Money spells, Attracting money, Drawing money, Breaking financial stagnation, Money mixtures, Protecting against poverty, Warding off poverty, Protective charm, Protective charms, Protective sachets, Protective wreaths, Protective incense, PROTECT AGAINST NEGATIVITY, Protection from negativity, Circle protection</t>
        </is>
      </c>
      <c r="E9" s="5" t="inlineStr">
        <is>
          <t>Symbolizes love and fidelity; used in rituals to attract luck and improve intuition.</t>
        </is>
      </c>
      <c r="F9" s="4" t="inlineStr">
        <is>
          <t>JUPITER</t>
        </is>
      </c>
      <c r="G9" s="4" t="inlineStr">
        <is>
          <t>Water</t>
        </is>
      </c>
      <c r="H9" s="4" t="inlineStr">
        <is>
          <t>Feminine</t>
        </is>
      </c>
      <c r="I9" s="4" t="inlineStr">
        <is>
          <t>Thursday</t>
        </is>
      </c>
      <c r="J9" s="4" t="inlineStr">
        <is>
          <t>APHRODITE, FAUNA</t>
        </is>
      </c>
      <c r="K9" s="5" t="inlineStr">
        <is>
          <t>BELTANE, YULE</t>
        </is>
      </c>
      <c r="L9" s="5" t="inlineStr">
        <is>
          <t>In the language of the fae, honeysuckle is known as the 'honey of the woods.' It is said that if you place a blossom under your pillow, you will dream of the location of hidden treasures—not just of gold, but of lost loves and forgotten truths.</t>
        </is>
      </c>
      <c r="M9" s="5" t="inlineStr">
        <is>
          <t>Love, luck, money, prosperity, psychic awareness, healing, protection</t>
        </is>
      </c>
      <c r="N9" s="5" t="inlineStr">
        <is>
          <t>RELAXING, SOOTHING, UPLIFTING, PSYCHIC POWERS</t>
        </is>
      </c>
      <c r="O9" s="5" t="inlineStr">
        <is>
          <t>*Honeysuckle Essential Oil*  Also known as: Woodbine.  Botanical source: Lonicera caprifolium.  Planet: JUPITER  Element: Water  Energy: Feminine  Sacred Day: Thursday.  Deity associations: APHRODITE, FAUNA.  Sabbat: BELTANE, YULE.  Association: Symbolizes love and fidelity; used in rituals to attract luck and improve intuition..  Magical uses: INCREASE PSYCHIC ABILITIES, INCREASE MONEY, Protection.  Powers: Love, luck, money, prosperity, psychic awareness, healing, protection.  Spiritual uses: RELAXING, SOOTHING, UPLIFTING, PSYCHIC POWERS.  Folk lore: In the language of the fae, honeysuckle is known as the 'honey of the woods.' It is said that if you place a blossom under your pillow, you will dream of the location of hidden treasures—not just of gold, but of lost loves and forgotten truths..  Origin: Europe, Asia, North America (hedgerows, woodland edges).</t>
        </is>
      </c>
      <c r="P9" s="4" t="inlineStr">
        <is>
          <t>Honeysuckle</t>
        </is>
      </c>
      <c r="Q9" s="5" t="inlineStr">
        <is>
          <t>Europe, Asia, North America (hedgerows, woodland edges)</t>
        </is>
      </c>
      <c r="R9" s="5" t="inlineStr">
        <is>
          <t>Warning: Do not ingest. May cause skin irritation in sensitive individuals.</t>
        </is>
      </c>
      <c r="S9" s="42" t="inlineStr">
        <is>
          <t>The Woodbine oil of Jupiter and Water — honeysuckle's sweet climbing scent increases psychic abilities and draws money when used in anointing. The oil that increases perception of the invisible and draws material abundance in the same breath. Protective of those who work psychically.</t>
        </is>
      </c>
      <c r="T9" t="inlineStr">
        <is>
          <t>Love, luck and prosperity drawn through honeysuckle's climbing sweetness.</t>
        </is>
      </c>
      <c r="U9" t="inlineStr">
        <is>
          <t>Psychic awareness, protection and healing — the oil held in psychic work.</t>
        </is>
      </c>
      <c r="V9" t="inlineStr">
        <is>
          <t>None specified.</t>
        </is>
      </c>
      <c r="W9" t="inlineStr">
        <is>
          <t>Opens the increase of psychic abilities — honeysuckle oil anointed before any divination or psychic working.</t>
        </is>
      </c>
      <c r="X9" t="inlineStr">
        <is>
          <t>Turns through the healing of what was blocked between the psychic and material — where the two must now work together.</t>
        </is>
      </c>
      <c r="Y9" t="inlineStr">
        <is>
          <t>The sweetly climbing Over 18 oil — where the psychic abilities being opened include the ability to read what another person genuinely feels beneath what they are willing to say, honeysuckle sharpens that knowing.</t>
        </is>
      </c>
    </row>
    <row r="10" ht="61.5" customHeight="1" s="56">
      <c r="A10" s="2" t="inlineStr">
        <is>
          <t>Juniper</t>
        </is>
      </c>
      <c r="B10" s="2" t="inlineStr">
        <is>
          <t>Genever</t>
        </is>
      </c>
      <c r="C10" s="2" t="inlineStr">
        <is>
          <t>Juniperus communis</t>
        </is>
      </c>
      <c r="D10" s="3" t="inlineStr">
        <is>
          <t>AID MEDITATION, Healing, Love, Protection, Meditation,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Protective charm, Protective charms, Protective sachets, Protective wreaths, Protective incense, PROTECT AGAINST NEGATIVITY, Protection from negativity, Circle protection</t>
        </is>
      </c>
      <c r="E10" s="3" t="inlineStr">
        <is>
          <t>Known as a powerful guardian; sprigs were burned to cleanse spaces and protect against illness.</t>
        </is>
      </c>
      <c r="F10" s="2" t="inlineStr">
        <is>
          <t>SUN</t>
        </is>
      </c>
      <c r="G10" s="2" t="inlineStr">
        <is>
          <t>Fire</t>
        </is>
      </c>
      <c r="H10" s="2" t="inlineStr">
        <is>
          <t>Masculine</t>
        </is>
      </c>
      <c r="I10" s="2" t="inlineStr">
        <is>
          <t>Sunday</t>
        </is>
      </c>
      <c r="J10" s="2" t="inlineStr">
        <is>
          <t>JUPITER, ZEUS</t>
        </is>
      </c>
      <c r="K10" s="3" t="inlineStr">
        <is>
          <t>LAMMAS</t>
        </is>
      </c>
      <c r="L10" s="3"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M10" s="3" t="inlineStr">
        <is>
          <t>Protection, purification, healing, love, psychic power, anti-theft</t>
        </is>
      </c>
      <c r="N10" s="3" t="inlineStr">
        <is>
          <t>ENLIGHTENMENT, INNER VISION, SINCERITY, UPLIFTING, CENTRING</t>
        </is>
      </c>
      <c r="O10" s="3" t="inlineStr">
        <is>
          <t>*Juniper Essential Oil*  Also known as: Genever.  Botanical source: Juniperus communis.  Planet: SUN  Element: Fire  Energy: Masculine  Sacred Day: Sunday.  Deity associations: JUPITER, ZEUS.  Sabbat: LAMMAS.  Association: Known as a powerful guardian; sprigs were burned to cleanse spaces and protect against illness..  Magical uses: AID MEDITATION, Healing, Love, Protection.  Powers: Protection, purification, healing, love, psychic power, anti-theft.  Spiritual uses: ENLIGHTENMENT, INNER VISION, SINCERITY, UPLIFTING, CENTRING.  Folk lore: In the old mountain villages, people believed that Juniper was the 'Gatekeeper.' When someone was ill, they would burn branches in the sickroom, believing the smoke created a circle of light that the shadow of death could not cross, ensuring the soul stayed firmly in the body..  Origin: Northern hemisphere — Europe, Asia, North America (rocky, mountainous terrain).</t>
        </is>
      </c>
      <c r="P10" s="2" t="inlineStr">
        <is>
          <t>Juniper</t>
        </is>
      </c>
      <c r="Q10" s="3" t="inlineStr">
        <is>
          <t>Northern hemisphere — Europe, Asia, North America (rocky, mountainous terrain)</t>
        </is>
      </c>
      <c r="R10" s="3" t="inlineStr">
        <is>
          <t>Warning: Avoid during pregnancy and if suffering from kidney disease. Do not ingest essential oil.</t>
        </is>
      </c>
      <c r="S10" s="42" t="inlineStr">
        <is>
          <t>The Genever oil — juniper berries distilled into an oil that aids meditation, heals, draws love and protects. The same anti-theft and purification energy of the berry concentrated. Burned before meditation to prepare the mind, anointed on candles for love workings.</t>
        </is>
      </c>
      <c r="T10" t="inlineStr">
        <is>
          <t>Love drawn through juniper oil's solar warmth.</t>
        </is>
      </c>
      <c r="U10" t="inlineStr">
        <is>
          <t>Meditation, healing and protection — juniper oil in any meditative and healing anointing.</t>
        </is>
      </c>
      <c r="V10" t="inlineStr">
        <is>
          <t>Purification — the clearing oil.</t>
        </is>
      </c>
      <c r="W10" t="inlineStr">
        <is>
          <t>Opens meditation and the psychic power that deepens in meditative stillness.</t>
        </is>
      </c>
      <c r="X10" t="inlineStr">
        <is>
          <t>Turns through healing and the purification that prepares for what must come next.</t>
        </is>
      </c>
      <c r="Y10" t="inlineStr">
        <is>
          <t>The purification oil in its most thorough function — where what needs to be cleared from the body's own energy field as well as the space includes what has accumulated from intimate contact with others, juniper works through both levels.</t>
        </is>
      </c>
    </row>
    <row r="11" ht="61.5" customHeight="1" s="56">
      <c r="A11" s="4" t="inlineStr">
        <is>
          <t>Lavender</t>
        </is>
      </c>
      <c r="B11" s="4" t="inlineStr">
        <is>
          <t>Nardus</t>
        </is>
      </c>
      <c r="C11" s="4" t="inlineStr">
        <is>
          <t>Lavandula angustifolia</t>
        </is>
      </c>
      <c r="D11" s="5" t="inlineStr">
        <is>
          <t>MEM, Clairvoyance, PEACE &amp; HAPPINESS, Purification, Happiness, Wisdom, Harmony, Memory, Knowledge, Intelligence, Intuition, Mental clarity, Sharpening the wits, Sharpening the brain, Mental powers, Concentration, Focus, Illumination, Enlightenment,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Joy, Joyous celebrations, Contentment</t>
        </is>
      </c>
      <c r="E11" s="5" t="inlineStr">
        <is>
          <t>Herb of peace and clarity; used for purification, calm, and protection against the 'evil eye'.</t>
        </is>
      </c>
      <c r="F11" s="4" t="inlineStr">
        <is>
          <t>MERCURY</t>
        </is>
      </c>
      <c r="G11" s="4" t="inlineStr">
        <is>
          <t>Air</t>
        </is>
      </c>
      <c r="H11" s="4" t="inlineStr">
        <is>
          <t>Feminine</t>
        </is>
      </c>
      <c r="I11" s="4" t="inlineStr">
        <is>
          <t>Wednesday</t>
        </is>
      </c>
      <c r="J11" s="4" t="inlineStr">
        <is>
          <t>HECATE, SATURN</t>
        </is>
      </c>
      <c r="K11" s="5" t="inlineStr">
        <is>
          <t>OSTARA, SAMHAIN</t>
        </is>
      </c>
      <c r="L11" s="5"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M11" s="5" t="inlineStr">
        <is>
          <t>Love, protection, purification, sleep, psychic power, healing, calm</t>
        </is>
      </c>
      <c r="N11" s="5" t="inlineStr">
        <is>
          <t>REST, ATIVE, Peace, BALANCING, STIMULATING</t>
        </is>
      </c>
      <c r="O11" s="5" t="inlineStr">
        <is>
          <t>*Lavender Essential Oil*  Also known as: Nardus.  Botanical source: Lavandula angustifolia.  Planet: MERCURY  Element: Air  Energy: Feminine  Sacred Day: Wednesday.  Deity associations: HECATE, SATURN.  Sabbat: OSTARA, SAMHAIN.  Association: Herb of peace and clarity; used for purification, calm, and protection against the 'evil eye'..  Magical uses: MEM, Clairvoyance, PEACE &amp; HAPPINESS, Purification, Happiness.  Powers: Love, protection, purification, sleep, psychic power, healing, calm.  Spiritual uses: REST, ATIVE, Peace, BALANCING, STIMULATING.  Folk lore: The story goes that lavender was once a simple herb, but it was blessed by the moon. On midsummer nights, it is said that the flowers glow with a soft, silver light that calms the most troubled heart, washing away the stresses of the day as if they were nothing more than dust..  Origin: Mediterranean region, southern Europe; widely cultivated globally.</t>
        </is>
      </c>
      <c r="P11" s="4" t="inlineStr">
        <is>
          <t>Lavender</t>
        </is>
      </c>
      <c r="Q11" s="5" t="inlineStr">
        <is>
          <t>Mediterranean region, southern Europe; widely cultivated globally</t>
        </is>
      </c>
      <c r="R11" s="5" t="inlineStr">
        <is>
          <t>Generally safe. Avoid ingesting the essential oil. May cause skin irritation in sensitive individuals.</t>
        </is>
      </c>
      <c r="S11" s="42" t="inlineStr">
        <is>
          <t>The Nardus oil of Mercury and Air — lavender oil carries the full magical range of the flower in its most concentrated form. Clairvoyance, peace, happiness, love, purification — the oil that does everything that lavender does, immediately and completely. Anointed on the temples for peace of mind, burned for psychic development, used in protective preparations.</t>
        </is>
      </c>
      <c r="T11" t="inlineStr">
        <is>
          <t>Peace, happiness and love drawn through lavender's gentle Mercury balance.</t>
        </is>
      </c>
      <c r="U11" t="inlineStr">
        <is>
          <t>Protection and psychic power — lavender oil in protective and sight-opening work.</t>
        </is>
      </c>
      <c r="V11" t="inlineStr">
        <is>
          <t>Purification — the gentle clearing oil.</t>
        </is>
      </c>
      <c r="W11" t="inlineStr">
        <is>
          <t>Opens clairvoyance and psychic power — lavender oil anointed before any reading.</t>
        </is>
      </c>
      <c r="X11" t="inlineStr">
        <is>
          <t>Turns through purification and healing — the lavender oil that leaves the space clear.</t>
        </is>
      </c>
      <c r="Y11" t="inlineStr">
        <is>
          <t>The Hecate oil in its most complete psychic protection function — where the working requires that what is opened psychically must also be protected, lavender holds both the opening and the protection without losing the balance between them.</t>
        </is>
      </c>
    </row>
    <row r="12" ht="61.5" customHeight="1" s="56">
      <c r="A12" s="2" t="inlineStr">
        <is>
          <t>Lemon</t>
        </is>
      </c>
      <c r="B12" s="2" t="inlineStr">
        <is>
          <t>Citron</t>
        </is>
      </c>
      <c r="C12" s="2" t="inlineStr">
        <is>
          <t>Citrus limonum</t>
        </is>
      </c>
      <c r="D12" s="3" t="inlineStr">
        <is>
          <t>Purification, Love, FRIENDSHIP, Harmony,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12" s="3" t="inlineStr">
        <is>
          <t>Used for purification and cleansing rituals; associated with solar energy.</t>
        </is>
      </c>
      <c r="F12" s="2" t="inlineStr">
        <is>
          <t>MOON</t>
        </is>
      </c>
      <c r="G12" s="2" t="inlineStr">
        <is>
          <t>Air</t>
        </is>
      </c>
      <c r="H12" s="2" t="inlineStr">
        <is>
          <t>Masculine</t>
        </is>
      </c>
      <c r="I12" s="2" t="inlineStr">
        <is>
          <t>Monday</t>
        </is>
      </c>
      <c r="J12" s="2" t="inlineStr">
        <is>
          <t>LUNA, SELENE</t>
        </is>
      </c>
      <c r="K12" s="3" t="inlineStr">
        <is>
          <t>LITHA</t>
        </is>
      </c>
      <c r="L12" s="3" t="inlineStr">
        <is>
          <t>It was common practice in the Mediterranean to keep a bowl of lemons near the hearth. It was said that the lemon’s sourness could 'eat' the malice of visitors. If someone entered with a bitter heart, the lemon would absorb the negativity, keeping the family home sweet and secure.</t>
        </is>
      </c>
      <c r="M12" s="3" t="inlineStr">
        <is>
          <t>Purification, healing, love, lunar magic, happiness, clarity</t>
        </is>
      </c>
      <c r="N12" s="3" t="inlineStr">
        <is>
          <t>AWARENESS, CLARITY, REJUVENATION, Peace</t>
        </is>
      </c>
      <c r="O12" s="3" t="inlineStr">
        <is>
          <t>*Lemon Essential Oil*  Also known as: Citron.  Botanical source: Citrus limonum.  Planet: MOON  Element: Air  Energy: Masculine  Sacred Day: Monday.  Deity associations: LUNA, SELENE.  Sabbat: LITHA.  Association: Used for purification and cleansing rituals; associated with solar energy..  Magical uses: Purification, Love, FRIENDSHIP.  Powers: Purification, healing, love, lunar magic, happiness, clarity.  Spiritual uses: AWARENESS, CLARITY, REJUVENATION, Peace.  Folk lore: It was common practice in the Mediterranean to keep a bowl of lemons near the hearth. It was said that the lemon’s sourness could 'eat' the malice of visitors. If someone entered with a bitter heart, the lemon would absorb the negativity, keeping the family home sweet and secure..  Origin: Mediterranean region (Italy, Spain, USA); cultivated in subtropical climates.</t>
        </is>
      </c>
      <c r="P12" s="2" t="inlineStr">
        <is>
          <t>Lemon</t>
        </is>
      </c>
      <c r="Q12" s="3" t="inlineStr">
        <is>
          <t>Mediterranean region (Italy, Spain, USA); cultivated in subtropical climates</t>
        </is>
      </c>
      <c r="R12" s="3" t="inlineStr">
        <is>
          <t>Warning: Phototoxic — avoid sun exposure after topical application. Do not ingest essential oil.</t>
        </is>
      </c>
      <c r="S12" s="42" t="inlineStr">
        <is>
          <t>The Citron oil of the Moon and Air — lemon's sharp clarifying scent purifies and draws in equal measure. Used for purification, love and the drawing of friendship. The oil that cuts through what is stale and heavy and leaves the air smelling of something that has just been made clean.</t>
        </is>
      </c>
      <c r="T12" t="inlineStr">
        <is>
          <t>Love and friendship drawn through lemon oil's bright clarity.</t>
        </is>
      </c>
      <c r="U12" t="inlineStr">
        <is>
          <t>Healing and clarity — lemon oil held in any working where the mind must be cleared.</t>
        </is>
      </c>
      <c r="V12" t="inlineStr">
        <is>
          <t>Purification — lemon oil's primary function.</t>
        </is>
      </c>
      <c r="W12" t="inlineStr">
        <is>
          <t>Opens the deeper current of friendship — where friendship must be drawn and the obstacles to it cleared.</t>
        </is>
      </c>
      <c r="X12" t="inlineStr">
        <is>
          <t>Turns through purification and healing — the clearing of what was stale.</t>
        </is>
      </c>
      <c r="Y12" t="inlineStr">
        <is>
          <t>The moon oil in its most clarifying function — where the friendship and love being drawn must be based on what is genuinely there rather than what has been projected, lemon oil clears the lens through which others are seen.</t>
        </is>
      </c>
    </row>
    <row r="13" ht="49.5" customHeight="1" s="56">
      <c r="A13" s="4" t="inlineStr">
        <is>
          <t>Lemon Grass</t>
        </is>
      </c>
      <c r="B13" s="4" t="inlineStr">
        <is>
          <t>Fever Grass</t>
        </is>
      </c>
      <c r="C13" s="4" t="inlineStr">
        <is>
          <t>Citrus limonum</t>
        </is>
      </c>
      <c r="D13" s="5" t="inlineStr">
        <is>
          <t>Divination, REPELS, Love, Banishing, Enhancing divination, Divinatory incense, Foretelling the future, Future divination, Scrying, Dowsing, Prophecy,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13" s="5" t="inlineStr">
        <is>
          <t>Used for spiritual clearing, breaking hexes, and opening communication.</t>
        </is>
      </c>
      <c r="F13" s="4" t="inlineStr">
        <is>
          <t>MERCURY</t>
        </is>
      </c>
      <c r="G13" s="4" t="inlineStr">
        <is>
          <t>Air</t>
        </is>
      </c>
      <c r="H13" s="4" t="inlineStr">
        <is>
          <t>Masculine</t>
        </is>
      </c>
      <c r="I13" s="4" t="inlineStr">
        <is>
          <t>Wednesday</t>
        </is>
      </c>
      <c r="J13" s="4" t="inlineStr">
        <is>
          <t>AMATERASU</t>
        </is>
      </c>
      <c r="K13" s="5" t="inlineStr">
        <is>
          <t>MOON</t>
        </is>
      </c>
      <c r="L13" s="5" t="inlineStr">
        <is>
          <t>In the humid tropics, it was told that if you plant Lemon Grass around your home, the spirits of the wind will be distracted by its sweet, sharp scent. They will spend so much time dancing around the grass that they will forget to enter your home to cause trouble.</t>
        </is>
      </c>
      <c r="M13" s="5" t="inlineStr">
        <is>
          <t>Psychic power, purification, lust, clarity, travel, communication</t>
        </is>
      </c>
      <c r="N13" s="5" t="inlineStr">
        <is>
          <t>Harmony, Peace, UPLIFTING, TONIC, REFRESHING</t>
        </is>
      </c>
      <c r="O13" s="5" t="inlineStr">
        <is>
          <t>*Lemon Grass Essential Oil*  Also known as: Fever Grass.  Botanical source: Citrus limonum.  Planet: MERCURY  Element: Air  Energy: Masculine  Sacred Day: Wednesday.  Deity associations: AMATERASU.  Sabbat: MOON.  Association: Used for spiritual clearing, breaking hexes, and opening communication..  Magical uses: Divination, REPELS, Love.  Powers: Psychic power, purification, lust, clarity, travel, communication.  Spiritual uses: Harmony, Peace, UPLIFTING, TONIC, REFRESHING.  Folk lore: In the humid tropics, it was told that if you plant Lemon Grass around your home, the spirits of the wind will be distracted by its sweet, sharp scent. They will spend so much time dancing around the grass that they will forget to enter your home to cause trouble..  Origin: Tropical Asia (India, Sri Lanka, Southeast Asia); cultivated globally.</t>
        </is>
      </c>
      <c r="P13" s="4" t="inlineStr">
        <is>
          <t>Lemon Grass</t>
        </is>
      </c>
      <c r="Q13" s="5" t="inlineStr">
        <is>
          <t>Tropical Asia (India, Sri Lanka, Southeast Asia); cultivated globally</t>
        </is>
      </c>
      <c r="R13" s="5" t="inlineStr">
        <is>
          <t>Warning: May cause skin irritation — dilute well before use. Do not ingest. Avoid during pregnancy.</t>
        </is>
      </c>
      <c r="S13" s="42" t="inlineStr">
        <is>
          <t>The Fever Grass oil of Mercury and Air — lemon grass distilled into an oil that divines, repels what must be repelled and draws love. The oil of the moving mercurial current — quick, clarifying, sharp in its action.</t>
        </is>
      </c>
      <c r="T13" t="inlineStr">
        <is>
          <t>Love drawn through lemon grass's mercurial energy.</t>
        </is>
      </c>
      <c r="U13" t="inlineStr">
        <is>
          <t>Psychic power and clarity — held in any working where the sight must be sharpened.</t>
        </is>
      </c>
      <c r="V13" t="inlineStr">
        <is>
          <t>Purification — the repelling oil that clears what must go.</t>
        </is>
      </c>
      <c r="W13" t="inlineStr">
        <is>
          <t>Opens divination and the psychic power that comes through Mercury's quick intelligence.</t>
        </is>
      </c>
      <c r="X13" t="inlineStr">
        <is>
          <t>Turns through purification and the releasing of what must leave.</t>
        </is>
      </c>
      <c r="Y13" t="inlineStr">
        <is>
          <t>The Mercury oil in its most direct repelling function — where what must be repelled has been using the opening created by the practitioner's own psychic sensitivity to approach, lemongrass closes that gap decisively.</t>
        </is>
      </c>
    </row>
    <row r="14" ht="49.5" customHeight="1" s="56">
      <c r="A14" s="2" t="inlineStr">
        <is>
          <t>Marjoram</t>
        </is>
      </c>
      <c r="B14" s="2" t="inlineStr">
        <is>
          <t>Joy of the Mountain</t>
        </is>
      </c>
      <c r="C14" s="2" t="inlineStr">
        <is>
          <t>Origanum majorana</t>
        </is>
      </c>
      <c r="D14" s="3" t="inlineStr">
        <is>
          <t>Happiness, Healing, Love, Prosperity, Protection, Joy, Joyous celebrations, Contentment, Serenity, Ensuring joy in the home, PEACE &amp; HAPPINESS,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t>
        </is>
      </c>
      <c r="E14" s="3" t="inlineStr">
        <is>
          <t>Associated with love and happiness; used in bridal wreaths for protection and joy.</t>
        </is>
      </c>
      <c r="F14" s="2" t="inlineStr">
        <is>
          <t>MERCURY</t>
        </is>
      </c>
      <c r="G14" s="2" t="inlineStr">
        <is>
          <t>Air</t>
        </is>
      </c>
      <c r="H14" s="2" t="inlineStr">
        <is>
          <t>Masculine</t>
        </is>
      </c>
      <c r="I14" s="2" t="inlineStr">
        <is>
          <t>Wednesday</t>
        </is>
      </c>
      <c r="J14" s="2" t="inlineStr">
        <is>
          <t>APHRODITE, VENUS</t>
        </is>
      </c>
      <c r="K14" s="3" t="inlineStr">
        <is>
          <t>OSTARA</t>
        </is>
      </c>
      <c r="L14" s="3"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M14" s="3" t="inlineStr">
        <is>
          <t>Love, protection, healing, happiness, peace, money, grief</t>
        </is>
      </c>
      <c r="N14" s="3" t="inlineStr">
        <is>
          <t>Harmony, Peace, PERSEVERANCE</t>
        </is>
      </c>
      <c r="O14" s="3" t="inlineStr">
        <is>
          <t>*Marjoram Essential Oil*  Also known as: Joy of the Mountain.  Botanical source: Origanum majorana.  Planet: MERCURY  Element: Air  Energy: Masculine  Sacred Day: Wednesday.  Deity associations: APHRODITE, VENUS.  Sabbat: OSTARA.  Association: Associated with love and happiness; used in bridal wreaths for protection and joy..  Magical uses: Happiness, Healing, Love, Prosperity, Protection.  Powers: Love, protection, healing, happiness, peace, money, grief.  Spiritual uses: Harmony, Peace, PERSEVERANCE.  Folk lore: Legend says that Aphrodite herself created Marjoram to be a symbol of happiness. She would weave it into her hair to make her presence felt as a wave of joy, and it is said that to this day, a sprig of it in a home ensures that laughter never fades from the halls..  Origin: Mediterranean region and western Asia; cultivated globally.</t>
        </is>
      </c>
      <c r="P14" s="2" t="inlineStr">
        <is>
          <t>Marjoram</t>
        </is>
      </c>
      <c r="Q14" s="3" t="inlineStr">
        <is>
          <t>Mediterranean region and western Asia; cultivated globally</t>
        </is>
      </c>
      <c r="R14" s="3" t="inlineStr">
        <is>
          <t>Warning: Avoid during pregnancy. Do not ingest. May cause drowsiness in large amounts.</t>
        </is>
      </c>
      <c r="S14" s="42" t="inlineStr">
        <is>
          <t>The Joy of the Mountain oil — marjoram growing on sunny slopes across the Mediterranean, its scent of happiness and warmth pressed into an oil used for love, healing and the drawing of prosperity. An oil that carries its origin in its name: the mountain joy, the herb that grows where the view is wide.</t>
        </is>
      </c>
      <c r="T14" t="inlineStr">
        <is>
          <t>Happiness, love and prosperity drawn through marjoram's warm Air energy.</t>
        </is>
      </c>
      <c r="U14" t="inlineStr">
        <is>
          <t>Protection and healing — marjoram oil in protective and healing anointing.</t>
        </is>
      </c>
      <c r="V14" t="inlineStr">
        <is>
          <t>Grief — where grief must be gently released rather than carried, marjoram oil accompanies the process.</t>
        </is>
      </c>
      <c r="W14" t="inlineStr">
        <is>
          <t>Opens the deeper happiness available when grief has been genuinely acknowledged.</t>
        </is>
      </c>
      <c r="X14" t="inlineStr">
        <is>
          <t>Turns through healing and the movement from grief into what follows it — the joy that was always there, waiting.</t>
        </is>
      </c>
      <c r="Y14" t="inlineStr">
        <is>
          <t>The Joy of the Mountain oil in its grief-accompanying function — where the working is about the genuine processing of grief including the grief about what desire has cost, marjoram accompanies that process without rushing it toward a resolution.</t>
        </is>
      </c>
    </row>
    <row r="15" ht="49.5" customHeight="1" s="56">
      <c r="A15" s="4" t="inlineStr">
        <is>
          <t>Melissa</t>
        </is>
      </c>
      <c r="B15" s="4" t="inlineStr">
        <is>
          <t>Bee Balm</t>
        </is>
      </c>
      <c r="C15" s="4" t="inlineStr">
        <is>
          <t>Melissa officinalis</t>
        </is>
      </c>
      <c r="D15" s="5" t="inlineStr">
        <is>
          <t>Love, Healing, Prosperity,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E15" s="5" t="inlineStr">
        <is>
          <t>Associated with love, healing, and success; historically used to 'gladden the heart'.</t>
        </is>
      </c>
      <c r="F15" s="4" t="inlineStr">
        <is>
          <t>Moon</t>
        </is>
      </c>
      <c r="G15" s="4" t="inlineStr">
        <is>
          <t>Air</t>
        </is>
      </c>
      <c r="H15" s="4" t="inlineStr">
        <is>
          <t>Feminine</t>
        </is>
      </c>
      <c r="I15" s="4" t="inlineStr">
        <is>
          <t>Monday</t>
        </is>
      </c>
      <c r="J15" s="4" t="inlineStr">
        <is>
          <t>DIANA, ARTEMIS</t>
        </is>
      </c>
      <c r="K15" s="5" t="inlineStr">
        <is>
          <t>BELTANE</t>
        </is>
      </c>
      <c r="L15" s="5" t="inlineStr">
        <is>
          <t>Called the 'Bee’s Delight,' it is said that if you hold a leaf of Melissa in your hand, bees will not sting you. The plant was gifted to humans by the bees themselves, who wanted to share the secret of their own contentment and the sweet hum of life.</t>
        </is>
      </c>
      <c r="M15" s="5" t="inlineStr">
        <is>
          <t>Love, success, healing, calming, uplifting, psychic development</t>
        </is>
      </c>
      <c r="N15" s="5" t="inlineStr">
        <is>
          <t>GENTLENESS, Peace, PROGRESSIVENESS</t>
        </is>
      </c>
      <c r="O15" s="5" t="inlineStr">
        <is>
          <t>*Melissa Essential Oil*  Also known as: Bee Balm.  Botanical source: Melissa officinalis.  Planet: Moon  Element: Air  Energy: Feminine  Sacred Day: Monday.  Deity associations: DIANA, ARTEMIS.  Sabbat: BELTANE.  Association: Associated with love, healing, and success; historically used to 'gladden the heart'..  Magical uses: Love, Healing, Prosperity.  Powers: Love, success, healing, calming, uplifting, psychic development.  Spiritual uses: GENTLENESS, Peace, PROGRESSIVENESS.  Folk lore: Called the 'Bee’s Delight,' it is said that if you hold a leaf of Melissa in your hand, bees will not sting you. The plant was gifted to humans by the bees themselves, who wanted to share the secret of their own contentment and the sweet hum of life..  Origin: Southern Europe, Mediterranean; widely cultivated globally.</t>
        </is>
      </c>
      <c r="P15" s="4" t="inlineStr">
        <is>
          <t>Melissa</t>
        </is>
      </c>
      <c r="Q15" s="5" t="inlineStr">
        <is>
          <t>Southern Europe, Mediterranean; widely cultivated globally</t>
        </is>
      </c>
      <c r="R15" s="5" t="inlineStr">
        <is>
          <t>Warning: May cause skin sensitisation. Avoid during pregnancy. Do not ingest essential oil.</t>
        </is>
      </c>
      <c r="S15" s="42" t="inlineStr">
        <is>
          <t>The Bee Balm oil — Melissa officinalis distilled, carrying the lunar Moon energy of lemon balm into a concentrated form. Draws love and prosperity, used in healing preparations and psychic development work. The oil of the dreaming lunar mind.</t>
        </is>
      </c>
      <c r="T15" t="inlineStr">
        <is>
          <t>Love and prosperity drawn through melissa's Moon sweetness.</t>
        </is>
      </c>
      <c r="U15" t="inlineStr">
        <is>
          <t>Healing and psychic development — melissa oil in healing and sight-opening preparations.</t>
        </is>
      </c>
      <c r="V15" t="inlineStr">
        <is>
          <t>None specified.</t>
        </is>
      </c>
      <c r="W15" t="inlineStr">
        <is>
          <t>Opens psychic development and the dreaming mind — melissa oil before any moon working.</t>
        </is>
      </c>
      <c r="X15" t="inlineStr">
        <is>
          <t>Turns through healing and success — the oil that supports what is beginning to work.</t>
        </is>
      </c>
      <c r="Y15" t="inlineStr">
        <is>
          <t>The lunar bee balm oil in its love-drawing function at its most honest — where what is being drawn must be based on what is genuinely compatible rather than what the lonely self has constructed, melissa draws what is actually there.</t>
        </is>
      </c>
    </row>
    <row r="16" ht="49.5" customHeight="1" s="56">
      <c r="A16" s="2" t="inlineStr">
        <is>
          <t>Neroli</t>
        </is>
      </c>
      <c r="B16" s="2" t="inlineStr">
        <is>
          <t>Orange Blossom</t>
        </is>
      </c>
      <c r="C16" s="2" t="inlineStr">
        <is>
          <t>Citrus aurantium var. amara</t>
        </is>
      </c>
      <c r="D16" s="3" t="inlineStr">
        <is>
          <t>Prosperity, Love, Purification, Happiness, Luck, Confidence, Clairvoyance, Peace,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Joy, Joyous celebrations, Contentment,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Self-confidence, Courage, Bravery, Determination, Will Power, Leadership, Leadership skills, Commanding, Personal power, Enhancing clairvoyance, Psychic development, Psychic powers, INCREASE PSYCHIC ABILITIES, Psychic awareness, Stimulating psychic senses, Disabling psychic phenomena, Psychic communication, communication and psychic abilities</t>
        </is>
      </c>
      <c r="E16" s="3" t="inlineStr">
        <is>
          <t>Symbol of purity and fertility; often used in bridal ceremonies and to calm the spirit.</t>
        </is>
      </c>
      <c r="F16" s="2" t="inlineStr">
        <is>
          <t>MERCURY</t>
        </is>
      </c>
      <c r="G16" s="2" t="inlineStr">
        <is>
          <t>Air</t>
        </is>
      </c>
      <c r="H16" s="2" t="inlineStr">
        <is>
          <t>Feminine</t>
        </is>
      </c>
      <c r="I16" s="2" t="inlineStr">
        <is>
          <t>Wednesday</t>
        </is>
      </c>
      <c r="J16" s="2" t="inlineStr">
        <is>
          <t>APHRODITE, HATHOR</t>
        </is>
      </c>
      <c r="K16" s="3" t="inlineStr">
        <is>
          <t>OSTARA</t>
        </is>
      </c>
      <c r="L16" s="3" t="inlineStr">
        <is>
          <t>In the palaces of old, orange blossoms were the sign of a royal wedding. It was said that the flower holds the promise of eternal spring, and that a bride wearing the blossoms would be granted a lifetime of fertility and the grace of a blooming garden.</t>
        </is>
      </c>
      <c r="M16" s="3" t="inlineStr">
        <is>
          <t>Love, purification, happiness, luck, confidence, psychic power</t>
        </is>
      </c>
      <c r="N16" s="3" t="inlineStr">
        <is>
          <t>Peace, Happiness</t>
        </is>
      </c>
      <c r="O16" s="3" t="inlineStr">
        <is>
          <t>*Neroli Essential Oil*  Also known as: Orange Blossom.  Botanical source: Citrus aurantium var. amara.  Planet: MERCURY  Element: Air  Energy: Feminine  Sacred Day: Wednesday.  Deity associations: APHRODITE, HATHOR.  Sabbat: OSTARA.  Association: Symbol of purity and fertility; often used in bridal ceremonies and to calm the spirit..  Magical uses: Prosperity.  Powers: Love, purification, happiness, luck, confidence, psychic power.  Spiritual uses: Peace, Happiness.  Folk lore: In the palaces of old, orange blossoms were the sign of a royal wedding. It was said that the flower holds the promise of eternal spring, and that a bride wearing the blossoms would be granted a lifetime of fertility and the grace of a blooming garden..  Origin: Mediterranean region; bitter orange cultivated in Spain, Italy, North Africa.</t>
        </is>
      </c>
      <c r="P16" s="2" t="inlineStr">
        <is>
          <t>Neroli</t>
        </is>
      </c>
      <c r="Q16" s="3" t="inlineStr">
        <is>
          <t>Mediterranean region; bitter orange cultivated in Spain, Italy, North Africa</t>
        </is>
      </c>
      <c r="R16" s="3" t="inlineStr">
        <is>
          <t>Generally safe for external use. Do not ingest essential oil. May cause drowsiness.</t>
        </is>
      </c>
      <c r="S16" s="42" t="inlineStr">
        <is>
          <t>The Orange Blossom oil — pressed from the flowers of the bitter orange tree, carrying the hopeful energy of blossom before fruit. Used for prosperity, love, happiness and luck. The oil of new possibilities and the confidence that makes them real.</t>
        </is>
      </c>
      <c r="T16" t="inlineStr">
        <is>
          <t>Prosperity, love, happiness and luck drawn through neroli's blossoming energy.</t>
        </is>
      </c>
      <c r="U16" t="inlineStr">
        <is>
          <t>Confidence and psychic power — neroli in workings where confidence must be present.</t>
        </is>
      </c>
      <c r="V16" t="inlineStr">
        <is>
          <t>Purification — neroli's clearing function.</t>
        </is>
      </c>
      <c r="W16" t="inlineStr">
        <is>
          <t>Opens psychic power and the clearing of what was blocking confidence.</t>
        </is>
      </c>
      <c r="X16" t="inlineStr">
        <is>
          <t>Turns through purification and the opening of new possibilities — the blossom that must now become fruit.</t>
        </is>
      </c>
      <c r="Y16" t="inlineStr">
        <is>
          <t>The blossom oil in its most promising function — where the working is about the genuine possibility of new love after what has closed the heart, neroli carries the energy of the blossom before the fruit: all potential, no guarantee.</t>
        </is>
      </c>
    </row>
    <row r="17" ht="49.5" customHeight="1" s="56">
      <c r="A17" s="4" t="inlineStr">
        <is>
          <t>Orange Bitter</t>
        </is>
      </c>
      <c r="B17" s="4" t="inlineStr">
        <is>
          <t>Seville Orange</t>
        </is>
      </c>
      <c r="C17" s="4" t="inlineStr">
        <is>
          <t>Citrus sinensis</t>
        </is>
      </c>
      <c r="D17" s="5" t="inlineStr">
        <is>
          <t>Divination, Love, Luck, Prosperity, Enhancing divination, Divinatory incense, Foretelling the future, Future divination, Scrying, Dowsing, Prophecy,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E17" s="5" t="inlineStr">
        <is>
          <t>Used for prosperity, solar magic, and fostering joy and emotional warmth.</t>
        </is>
      </c>
      <c r="F17" s="4" t="inlineStr">
        <is>
          <t>SUN</t>
        </is>
      </c>
      <c r="G17" s="4" t="inlineStr">
        <is>
          <t>Air</t>
        </is>
      </c>
      <c r="H17" s="4" t="inlineStr">
        <is>
          <t>Masculine</t>
        </is>
      </c>
      <c r="I17" s="4" t="inlineStr">
        <is>
          <t>Sunday</t>
        </is>
      </c>
      <c r="J17" s="4" t="inlineStr">
        <is>
          <t>SOL, RA</t>
        </is>
      </c>
      <c r="K17" s="5" t="inlineStr">
        <is>
          <t>LITHA, YULE</t>
        </is>
      </c>
      <c r="L17" s="5" t="inlineStr">
        <is>
          <t>It was whispered that the bitter orange was the fruit of the sun’s own garden. Because it grew in the heat, it was believed to hold the fire of the sun, and those who bathed in its essence would find their spirits lightened, as if they were walking in perpetual midday.</t>
        </is>
      </c>
      <c r="M17" s="5" t="inlineStr">
        <is>
          <t>Love, prosperity, luck, purification, happiness, solar energy</t>
        </is>
      </c>
      <c r="N17" s="5" t="inlineStr">
        <is>
          <t>CREATIVITY, LIGHTHEARTEDNESS, POSITIVITY, SENSUAL</t>
        </is>
      </c>
      <c r="O17" s="5" t="inlineStr">
        <is>
          <t>*Orange Bitter Essential Oil*  Also known as: Seville Orange.  Botanical source: Citrus sinensis.  Planet: SUN  Element: Air  Energy: Masculine  Sacred Day: Sunday.  Deity associations: SOL, RA.  Sabbat: LITHA, YULE.  Association: Used for prosperity, solar magic, and fostering joy and emotional warmth..  Magical uses: Divination, Love, Luck, Prosperity.  Powers: Love, prosperity, luck, purification, happiness, solar energy.  Spiritual uses: CREATIVITY, LIGHTHEARTEDNESS, POSITIVITY, SENSUAL.  Folk lore: It was whispered that the bitter orange was the fruit of the sun’s own garden. Because it grew in the heat, it was believed to hold the fire of the sun, and those who bathed in its essence would find their spirits lightened, as if they were walking in perpetual midday..  Origin: Mediterranean region; cultivated in subtropical climates worldwide.</t>
        </is>
      </c>
      <c r="P17" s="4" t="inlineStr">
        <is>
          <t>Orange Bitter</t>
        </is>
      </c>
      <c r="Q17" s="5" t="inlineStr">
        <is>
          <t>Mediterranean region; cultivated in subtropical climates worldwide</t>
        </is>
      </c>
      <c r="R17" s="5" t="inlineStr">
        <is>
          <t>Warning: Phototoxic — avoid sun exposure after topical application. Do not ingest.</t>
        </is>
      </c>
      <c r="S17" s="42" t="inlineStr">
        <is>
          <t>The Seville Orange oil — the most bitter of the citrus family, used in divination, love, luck and prosperity. The oil that asks the direct question and gets the direct answer. Its bitterness is its truth-telling quality.</t>
        </is>
      </c>
      <c r="T17" t="inlineStr">
        <is>
          <t>Love, luck and prosperity drawn through bitter orange's solar directness.</t>
        </is>
      </c>
      <c r="U17" t="inlineStr">
        <is>
          <t>None specified.</t>
        </is>
      </c>
      <c r="V17" t="inlineStr">
        <is>
          <t>Purification — the bitter oil's clearing function.</t>
        </is>
      </c>
      <c r="W17" t="inlineStr">
        <is>
          <t>Opens divination — where the oracle must be consulted honestly and the answer received without cushioning.</t>
        </is>
      </c>
      <c r="X17" t="inlineStr">
        <is>
          <t>Turns through purification and the clear-eyed beginning that follows an honest accounting.</t>
        </is>
      </c>
      <c r="Y17" t="inlineStr">
        <is>
          <t>The truth-asking oil in its most direct divination function — where the oracle is being consulted about a matter of genuine importance including matters of the heart and body that require an honest answer, bitter orange asks the direct question.</t>
        </is>
      </c>
    </row>
    <row r="18" ht="61.5" customHeight="1" s="56">
      <c r="A18" s="2" t="inlineStr">
        <is>
          <t>Peppermint</t>
        </is>
      </c>
      <c r="B18" s="2" t="inlineStr">
        <is>
          <t>Mentha</t>
        </is>
      </c>
      <c r="C18" s="2" t="inlineStr">
        <is>
          <t>Mentha piperita</t>
        </is>
      </c>
      <c r="D18" s="3" t="inlineStr">
        <is>
          <t>Purification, PSYCHIC POWERS, Healing, Clairvoyance,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INCREASE PSYCHIC ABILITIES, Psychic awareness, Stimulating psychic senses, Disabling psychic phenomena, Psychic communication, communication and psychic abilities</t>
        </is>
      </c>
      <c r="E18" s="3" t="inlineStr">
        <is>
          <t>Associated with energy, purification, and mental clarity; used to drive away fatigue.</t>
        </is>
      </c>
      <c r="F18" s="2" t="inlineStr">
        <is>
          <t>VENUS</t>
        </is>
      </c>
      <c r="G18" s="2" t="inlineStr">
        <is>
          <t>Air</t>
        </is>
      </c>
      <c r="H18" s="2" t="inlineStr">
        <is>
          <t>Masculine</t>
        </is>
      </c>
      <c r="I18" s="2" t="inlineStr">
        <is>
          <t>Friday</t>
        </is>
      </c>
      <c r="J18" s="2" t="inlineStr">
        <is>
          <t>PLUTO, HECATE</t>
        </is>
      </c>
      <c r="K18" s="3" t="inlineStr">
        <is>
          <t>LAMMAS</t>
        </is>
      </c>
      <c r="L18" s="3" t="inlineStr">
        <is>
          <t>There is a story of a traveler who was exhausted and lost in the woods. He stumbled upon a patch of mint and, crushed by fatigue, fell asleep on it. When he woke, he felt as if his very blood had been renewed by the cool, sharp scent, giving him the strength to walk all the way home.</t>
        </is>
      </c>
      <c r="M18" s="3" t="inlineStr">
        <is>
          <t>Healing, purification, money, love, psychic power, energy, clarity</t>
        </is>
      </c>
      <c r="N18" s="3" t="inlineStr">
        <is>
          <t>ANTI-DEPRESSANT, MENTAL CLARITY</t>
        </is>
      </c>
      <c r="O18" s="3" t="inlineStr">
        <is>
          <t>*Peppermint Essential Oil*  Also known as: Mentha.  Botanical source: Mentha piperita.  Planet: VENUS  Element: Air  Energy: Masculine  Sacred Day: Friday.  Deity associations: PLUTO, HECATE.  Sabbat: LAMMAS.  Association: Associated with energy, purification, and mental clarity; used to drive away fatigue..  Magical uses: Purification, PSYCHIC POWERS, Healing.  Powers: Healing, purification, money, love, psychic power, energy, clarity.  Spiritual uses: ANTI-DEPRESSANT, MENTAL CLARITY.  Folk lore: There is a story of a traveler who was exhausted and lost in the woods. He stumbled upon a patch of mint and, crushed by fatigue, fell asleep on it. When he woke, he felt as if his very blood had been renewed by the cool, sharp scent, giving him the strength to walk all the way home..  Origin: Europe, North America (cultivated globally in temperate climates).</t>
        </is>
      </c>
      <c r="P18" s="2" t="inlineStr">
        <is>
          <t>Peppermint</t>
        </is>
      </c>
      <c r="Q18" s="3" t="inlineStr">
        <is>
          <t>Europe, North America (cultivated globally in temperate climates)</t>
        </is>
      </c>
      <c r="R18" s="3" t="inlineStr">
        <is>
          <t>Warning: Do not use near infants or young children. Avoid during pregnancy. Do not ingest essential oil.</t>
        </is>
      </c>
      <c r="S18" s="42" t="inlineStr">
        <is>
          <t>The Mentha oil of Venus and Air — peppermint's sharp coolness carries healing, psychic power and purification in concentrated form. The oil that wakes the working up. Anointed on the temples it sharpens thinking; burned it purifies; used in healing preparations it carries the healing function directly.</t>
        </is>
      </c>
      <c r="T18" t="inlineStr">
        <is>
          <t>Love drawn through peppermint's Venus quality.</t>
        </is>
      </c>
      <c r="U18" t="inlineStr">
        <is>
          <t>Psychic power, healing and clarity — peppermint oil in any working where the mind must be clear.</t>
        </is>
      </c>
      <c r="V18" t="inlineStr">
        <is>
          <t>Purification — the sharp clearing oil.</t>
        </is>
      </c>
      <c r="W18" t="inlineStr">
        <is>
          <t>Opens psychic power — peppermint oil before any divination or psychic work.</t>
        </is>
      </c>
      <c r="X18" t="inlineStr">
        <is>
          <t>Turns through purification and healing — the cooling sharpness that clears what was muddy.</t>
        </is>
      </c>
      <c r="Y18" t="inlineStr">
        <is>
          <t>In its role as a stimulant and awakener of the body's senses — used in workings where what has gone numb in desire must be gently recalled to itself.</t>
        </is>
      </c>
    </row>
    <row r="19" ht="49.5" customHeight="1" s="56">
      <c r="A19" s="4" t="inlineStr">
        <is>
          <t>Pine</t>
        </is>
      </c>
      <c r="B19" s="4" t="inlineStr">
        <is>
          <t>Forest Spirit</t>
        </is>
      </c>
      <c r="C19" s="4" t="inlineStr">
        <is>
          <t>Pinus sylvestris</t>
        </is>
      </c>
      <c r="D19" s="5" t="inlineStr">
        <is>
          <t>PROSPERITY SPELLS, Prosperity, Purification, Protection, Healing, Fertility, Strength, Harmony, Happiness, Female fertility, Fertility magic, Fertility charms, Aiding fertility, Increasing fertility, Fruitfulness, Virility, male virility, Abundant harvest, Wealth, Wealth/Prosperity, Attracting business, Business dealings, abundance, Financial arrangements, Aiding gain, Gain, Increasing wealth, Money, Money spells, Attracting money, Drawing money, INCREASE MONEY, Breaking financial stagnation, Money mixtures, Protecting against poverty, Warding off poverty,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Healing magic, Healing spells, Healing sachets, Healing incenses, Healing mixtures, Healing rituals, Healing incense, Healing vibrations, healing after surgery, Aiding recovery, Aiding the ill, Improving health, Speeding recovery, Good health, health, Physical Strength, Fortitude, Vitality, Inner power, and strength,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Joy, Joyous celebrations, Contentment</t>
        </is>
      </c>
      <c r="E19" s="5" t="inlineStr">
        <is>
          <t>Symbol of immortality; used for purification of the home and protection.</t>
        </is>
      </c>
      <c r="F19" s="4" t="inlineStr">
        <is>
          <t>MARS</t>
        </is>
      </c>
      <c r="G19" s="4" t="inlineStr">
        <is>
          <t>Fire</t>
        </is>
      </c>
      <c r="H19" s="4" t="inlineStr">
        <is>
          <t>Masculine</t>
        </is>
      </c>
      <c r="I19" s="4" t="inlineStr">
        <is>
          <t>Tuesday</t>
        </is>
      </c>
      <c r="J19" s="4" t="inlineStr">
        <is>
          <t>BRIGID, LUNA, ASTARTE, ATTIS, CYBELE, DIONYSUS, PAN, VENUS</t>
        </is>
      </c>
      <c r="K19" s="5" t="inlineStr">
        <is>
          <t>LAMMAS</t>
        </is>
      </c>
      <c r="L19" s="5"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M19" s="5" t="inlineStr">
        <is>
          <t>Purification, protection, healing, fertility, prosperity, strength</t>
        </is>
      </c>
      <c r="N19" s="5" t="inlineStr">
        <is>
          <t>Harmony, Happiness, Strength</t>
        </is>
      </c>
      <c r="O19" s="5" t="inlineStr">
        <is>
          <t>*Pine Essential Oil*  Also known as: Forest Spirit.  Botanical source: Pinus sylvestris.  Planet: MARS  Element: Fire  Energy: Masculine  Sacred Day: Tuesday.  Deity associations: BRIGID, LUNA, ASTARTE, ATTIS, CYBELE, DIONYSUS, PAN, VENUS.  Sabbat: LAMMAS.  Association: Symbol of immortality; used for purification of the home and protection..  Magical uses: PROSPERITY SPELLS, Prosperity.  Powers: Purification, protection, healing, fertility, prosperity, strength.  Spiritual uses: Harmony, Happiness, Strength.  Folk lore: In the ancient woods, Pine was considered the 'Tree of Life.' It was said that those who walked among the pines would never truly die, as the trees would absorb their sorrows and turn them into the sap that feeds the forest, keeping the cycle of life spinning forever..  Origin: Northern hemisphere — Europe, North America, Asia (coniferous forests).</t>
        </is>
      </c>
      <c r="P19" s="4" t="inlineStr">
        <is>
          <t>Pine</t>
        </is>
      </c>
      <c r="Q19" s="5" t="inlineStr">
        <is>
          <t>Northern hemisphere — Europe, North America, Asia (coniferous forests)</t>
        </is>
      </c>
      <c r="R19" s="5" t="inlineStr">
        <is>
          <t>Warning: May cause skin irritation — dilute well. Avoid during pregnancy. Do not ingest.</t>
        </is>
      </c>
      <c r="S19" s="42" t="inlineStr">
        <is>
          <t>The Forest Spirit oil — pine distilled from needles of the great winter-green tree. Used for prosperity and the fertility of what is being grown. The oil that carries the forest's endurance through winter into whatever it anoints.</t>
        </is>
      </c>
      <c r="T19" t="inlineStr">
        <is>
          <t>Prosperity, fertility and new beginnings drawn through pine oil.</t>
        </is>
      </c>
      <c r="U19" t="inlineStr">
        <is>
          <t>Protection, healing and strength — pine oil in protective and strengthening anointing.</t>
        </is>
      </c>
      <c r="V19" t="inlineStr">
        <is>
          <t>Purification — pine oil's clearing function.</t>
        </is>
      </c>
      <c r="W19" t="inlineStr">
        <is>
          <t>Opens the deeper prosperity — where what must grow requires the forest's long patience.</t>
        </is>
      </c>
      <c r="X19" t="inlineStr">
        <is>
          <t>Turns through purification and healing — the forest air clearing what was stale.</t>
        </is>
      </c>
      <c r="Y19" t="inlineStr">
        <is>
          <t>The endurance oil in its most persistent function — where the working requires the long-game energy of what stands green through winter, pine oil sustains what is being built through conditions that would discourage something less rooted.</t>
        </is>
      </c>
    </row>
    <row r="20" ht="61.5" customHeight="1" s="56">
      <c r="A20" s="2" t="inlineStr">
        <is>
          <t>Rose</t>
        </is>
      </c>
      <c r="B20" s="2" t="inlineStr">
        <is>
          <t>Flower of Venus</t>
        </is>
      </c>
      <c r="C20" s="2" t="inlineStr">
        <is>
          <t>Rosa damascena / Rosa centifolia</t>
        </is>
      </c>
      <c r="D20" s="3" t="inlineStr">
        <is>
          <t>Peace, Protection, Luck, PROMOTE LOVE &amp; AFFECTION, Love, Love magick, Love drawing, Attracting love, Love-attracting rituals, Inviting love, Inducing love, Love charms, Love enchantment, Finding love, Romantic love ceremonies,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t>
        </is>
      </c>
      <c r="E20" s="3" t="inlineStr">
        <is>
          <t>Deeply linked to love, secrets, and the heart; famously 'sub rosa' (confidentiality).</t>
        </is>
      </c>
      <c r="F20" s="2" t="inlineStr">
        <is>
          <t>MERCURY, VENUS</t>
        </is>
      </c>
      <c r="G20" s="2" t="inlineStr">
        <is>
          <t>Water</t>
        </is>
      </c>
      <c r="H20" s="2" t="inlineStr">
        <is>
          <t>Feminine</t>
        </is>
      </c>
      <c r="I20" s="2" t="inlineStr">
        <is>
          <t>Wednesday</t>
        </is>
      </c>
      <c r="J20" s="2" t="inlineStr">
        <is>
          <t>CUPID, EROS, HATHOR</t>
        </is>
      </c>
      <c r="K20" s="3" t="inlineStr">
        <is>
          <t>MOON</t>
        </is>
      </c>
      <c r="L20" s="3"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M20" s="3" t="inlineStr">
        <is>
          <t>Love, healing, psychic power, luck, protection, beauty, divination</t>
        </is>
      </c>
      <c r="N20" s="3" t="inlineStr">
        <is>
          <t>BALANCING, STRENGTHENING, Attracting good spirits</t>
        </is>
      </c>
      <c r="O20" s="3" t="inlineStr">
        <is>
          <t>*Rose Essential Oil*  Also known as: Flower of Venus.  Botanical source: Rosa damascena / Rosa centifolia.  Planet: MERCURY, VENUS  Element: Water  Energy: Feminine  Sacred Day: Wednesday.  Deity associations: CUPID, EROS, HATHOR.  Sabbat: MOON.  Association: Deeply linked to love, secrets, and the heart; famously 'sub rosa' (confidentiality)..  Magical uses: Peace, Protection, Luck, PROMOTE LOVE &amp; AFFECTION.  Powers: Love, healing, psychic power, luck, protection, beauty, divination.  Spiritual uses: BALANCING, STRENGTHENING, Attracting good spirits.  Folk lore: The rose was said to be the favorite flower of secret keepers. In the old courts, a rose carved into the ceiling meant that all words spoken beneath it were 'sub rosa'—under the rose—and protected by the secrecy of the queen, never to be repeated outside the room..  Origin: Bulgaria, Turkey, Morocco, Iran; cultivated globally.</t>
        </is>
      </c>
      <c r="P20" s="2" t="inlineStr">
        <is>
          <t>Rose</t>
        </is>
      </c>
      <c r="Q20" s="3" t="inlineStr">
        <is>
          <t>Bulgaria, Turkey, Morocco, Iran; cultivated globally</t>
        </is>
      </c>
      <c r="R20" s="3" t="inlineStr">
        <is>
          <t>Generally safe for external use. Do not ingest essential oil. Avoid during pregnancy in large amounts.</t>
        </is>
      </c>
      <c r="S20" s="42" t="inlineStr">
        <is>
          <t>The Flower of Venus pressed into oil — rose oil carries the full weight of the love tradition in its most concentrated and precious form. One of the most expensive natural oils, worth its weight not just in money but in magical function. Promotes love in all its forms, draws peace and luck, anoints love candles from base to wick.</t>
        </is>
      </c>
      <c r="T20" t="inlineStr">
        <is>
          <t>Love, luck and beauty drawn through rose oil's full Venus depth.</t>
        </is>
      </c>
      <c r="U20" t="inlineStr">
        <is>
          <t>Protection and psychic power — rose oil in protective anointing.</t>
        </is>
      </c>
      <c r="V20" t="inlineStr">
        <is>
          <t>None specified.</t>
        </is>
      </c>
      <c r="W20" t="inlineStr">
        <is>
          <t>Opens psychic power and the divination of love matters — rose oil before any reading about the heart.</t>
        </is>
      </c>
      <c r="X20" t="inlineStr">
        <is>
          <t>Turns through healing and the strengthening of what was beginning to love again — rose oil anointed where love must be restored.</t>
        </is>
      </c>
      <c r="Y20" t="inlineStr">
        <is>
          <t>The Flower of Venus in her most complete function — the rose oil used in love workings that honour the full range of what love includes. Where sacred sexuality is the working, rose oil anoints the candle from base to wick.</t>
        </is>
      </c>
    </row>
    <row r="21" ht="61.5" customHeight="1" s="56">
      <c r="A21" s="4" t="inlineStr">
        <is>
          <t>Rosemary</t>
        </is>
      </c>
      <c r="B21" s="4" t="inlineStr">
        <is>
          <t>Dew of the Sea</t>
        </is>
      </c>
      <c r="C21" s="4" t="inlineStr">
        <is>
          <t>Rosa damascena / Rosa centifolia</t>
        </is>
      </c>
      <c r="D21" s="5" t="inlineStr">
        <is>
          <t>Healing, Love, Protection, Purification,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t>
        </is>
      </c>
      <c r="E21" s="5" t="inlineStr">
        <is>
          <t>Herb of remembrance and fidelity; protects the home and clears the mind.</t>
        </is>
      </c>
      <c r="F21" s="4" t="inlineStr">
        <is>
          <t>SUN</t>
        </is>
      </c>
      <c r="G21" s="4" t="inlineStr">
        <is>
          <t>Water</t>
        </is>
      </c>
      <c r="H21" s="4" t="inlineStr">
        <is>
          <t>Feminine</t>
        </is>
      </c>
      <c r="I21" s="4" t="inlineStr">
        <is>
          <t>Sunday</t>
        </is>
      </c>
      <c r="J21" s="4" t="inlineStr">
        <is>
          <t>APHRODITE, ISIS, VESTA</t>
        </is>
      </c>
      <c r="K21" s="5" t="inlineStr">
        <is>
          <t>IMBOLAC, LAMMAS, LITHA, MABON</t>
        </is>
      </c>
      <c r="L21" s="5"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M21" s="5" t="inlineStr">
        <is>
          <t>Protection, love, purification, healing, memory, clarity, sleep</t>
        </is>
      </c>
      <c r="N21" s="5" t="inlineStr">
        <is>
          <t>CLARITY, ENERGY, STRENGTH OF CHARACTER, Confidence</t>
        </is>
      </c>
      <c r="O21" s="5" t="inlineStr">
        <is>
          <t>*Rosemary Essential Oil*  Also known as: Dew of the Sea.  Botanical source: Rosa damascena / Rosa centifolia.  Planet: SUN  Element: Water  Energy: Feminine  Sacred Day: Sunday.  Deity associations: APHRODITE, ISIS, VESTA.  Sabbat: IMBOLAC, LAMMAS, LITHA, MABON.  Association: Herb of remembrance and fidelity; protects the home and clears the mind..  Magical uses: Healing, Love, Protection, Purification.  Powers: Protection, love, purification, healing, memory, clarity, sleep.  Spiritual uses: CLARITY, ENERGY, STRENGTH OF CHARACTER, Confidence.  Folk lore: It is said that Rosemary once had white flowers, but when the Virgin Mary hung her blue cloak on a bush while resting on her journey, the flowers turned blue in honor of her. Since then, the plant has been known to protect the innocent and help people remember their path..  Origin: Mediterranean region; cultivated globally in temperate climates.</t>
        </is>
      </c>
      <c r="P21" s="4" t="inlineStr">
        <is>
          <t>Rosemary</t>
        </is>
      </c>
      <c r="Q21" s="5" t="inlineStr">
        <is>
          <t>Mediterranean region; cultivated globally in temperate climates</t>
        </is>
      </c>
      <c r="R21" s="5" t="inlineStr">
        <is>
          <t>Warning: Avoid during pregnancy and if epileptic. Do not ingest. May raise blood pressure.</t>
        </is>
      </c>
      <c r="S21" s="42" t="inlineStr">
        <is>
          <t>The Dew of the Sea oil — rosemary distilled into an oil that heals, draws love, protects and purifies. The Mediterranean cliffside herb concentrated into a form that can be painted onto candles and tools. The all-purpose working oil of the European tradition.</t>
        </is>
      </c>
      <c r="T21" t="inlineStr">
        <is>
          <t>Love drawn through rosemary oil's warm solar energy.</t>
        </is>
      </c>
      <c r="U21" t="inlineStr">
        <is>
          <t>Protection, healing and clarity — rosemary oil in protective and healing anointing.</t>
        </is>
      </c>
      <c r="V21" t="inlineStr">
        <is>
          <t>Purification — the rosemary oil clearing function.</t>
        </is>
      </c>
      <c r="W21" t="inlineStr">
        <is>
          <t>Opens the healing channel — where what must be healed must first be clearly seen.</t>
        </is>
      </c>
      <c r="X21" t="inlineStr">
        <is>
          <t>Turns through healing and purification — the rosemary oil that clears and restores.</t>
        </is>
      </c>
      <c r="Y21" t="inlineStr">
        <is>
          <t>The all-purpose oil at its most complete — where the working encompasses the full range of what rosemary offers including its role in the wedding night tradition and the blessing of what two people give each other, rosemary oil covers everything.</t>
        </is>
      </c>
    </row>
    <row r="22" ht="61.5" customHeight="1" s="56">
      <c r="A22" s="2" t="inlineStr">
        <is>
          <t>Sandalwood w.i.</t>
        </is>
      </c>
      <c r="B22" s="2" t="inlineStr">
        <is>
          <t>Sacred Wood</t>
        </is>
      </c>
      <c r="C22" s="2" t="inlineStr">
        <is>
          <t>Santalum album</t>
        </is>
      </c>
      <c r="D22" s="3" t="inlineStr">
        <is>
          <t>Protection, EXC, SISM, Exorcism, Contacting planes, Protective charm, Protective charms, Protective sachets,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Contacting other planes, Communion with spirits, Communing with the departed, Communing with otherworldly entities, Spirit work, Nether-realm travel, Walking between worlds,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E22" s="3" t="inlineStr">
        <is>
          <t>Highly sacred; used to deepen meditation, induce trance states, and elevate prayer.</t>
        </is>
      </c>
      <c r="F22" s="2" t="inlineStr">
        <is>
          <t>MERCURY</t>
        </is>
      </c>
      <c r="G22" s="2" t="inlineStr">
        <is>
          <t>Air</t>
        </is>
      </c>
      <c r="H22" s="2" t="inlineStr">
        <is>
          <t>Masculine</t>
        </is>
      </c>
      <c r="I22" s="2" t="inlineStr">
        <is>
          <t>Wednesday</t>
        </is>
      </c>
      <c r="J22" s="2" t="inlineStr">
        <is>
          <t>ISIS, LUNA</t>
        </is>
      </c>
      <c r="K22" s="3" t="inlineStr">
        <is>
          <t>MOON</t>
        </is>
      </c>
      <c r="L22" s="3"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M22" s="3" t="inlineStr">
        <is>
          <t>Protection, healing, purification, spiritual elevation, meditation, prosperity</t>
        </is>
      </c>
      <c r="N22" s="3" t="inlineStr">
        <is>
          <t>SPIRITUALITY, HARMONISING</t>
        </is>
      </c>
      <c r="O22" s="3" t="inlineStr">
        <is>
          <t>*Sandalwood w.i. Essential Oil*  Also known as: Sacred Wood.  Botanical source: Santalum album.  Planet: MERCURY  Element: Air  Energy: Masculine  Sacred Day: Wednesday.  Deity associations: ISIS, LUNA.  Sabbat: MOON.  Association: Highly sacred; used to deepen meditation, induce trance states, and elevate prayer..  Magical uses: Protection, EXC, SISM.  Powers: Protection, healing, purification, spiritual elevation, meditation, prosperity.  Spiritual uses: SPIRITUALITY, HARMONISING.  Folk lore: In the Eastern tradition, it is said that the gods enjoy the scent of Sandalwood more than any other. When the incense is burned, it creates a golden ladder that connects the world of the mortals to the heavens, allowing the spirit to rise above the weight of the material world..  Origin: India (Mysore region); also Australia and New Caledonia.</t>
        </is>
      </c>
      <c r="P22" s="2" t="inlineStr">
        <is>
          <t>Sandalwood w.i.</t>
        </is>
      </c>
      <c r="Q22" s="3" t="inlineStr">
        <is>
          <t>India (Mysore region); also Australia and New Caledonia</t>
        </is>
      </c>
      <c r="R22" s="3" t="inlineStr">
        <is>
          <t>Generally safe for external use. Do not ingest essential oil.</t>
        </is>
      </c>
      <c r="S22" s="42" t="inlineStr">
        <is>
          <t>The Sacred Wood of the West Indian variety — Santalum album distilled, carrying the full meditative sacred quality of sandalwood in a form that can be worn and anointed. Used in meditation, protection and exorcism preparations. The oil that turns ordinary space into sacred space.</t>
        </is>
      </c>
      <c r="T22" t="inlineStr">
        <is>
          <t>Prosperity drawn through sandalwood's gentle sacred energy.</t>
        </is>
      </c>
      <c r="U22" t="inlineStr">
        <is>
          <t>Protection, healing and meditation — the sacred oil in any meditative anointing.</t>
        </is>
      </c>
      <c r="V22" t="inlineStr">
        <is>
          <t>Purification and exorcism — sandalwood oil's clearing function.</t>
        </is>
      </c>
      <c r="W22" t="inlineStr">
        <is>
          <t>Opens spiritual elevation and meditation — where the sacred must be approached and the ordinary left behind.</t>
        </is>
      </c>
      <c r="X22" t="inlineStr">
        <is>
          <t>Turns through healing and purification — the sacred oil that changes what it touches.</t>
        </is>
      </c>
      <c r="Y22" t="inlineStr">
        <is>
          <t>The West Indian sacred wood in its exorcism function — where what must be removed from a space or a person's field has been there through intimate contact with others, sandalwood works at that level of energetic entanglement.</t>
        </is>
      </c>
    </row>
    <row r="23" ht="61.5" customHeight="1" s="56">
      <c r="A23" s="4" t="inlineStr">
        <is>
          <t>Tea Tree</t>
        </is>
      </c>
      <c r="B23" s="4" t="inlineStr">
        <is>
          <t>Melaleuca</t>
        </is>
      </c>
      <c r="C23" s="4" t="inlineStr">
        <is>
          <t>Melaleuca alternifolia</t>
        </is>
      </c>
      <c r="D23" s="5" t="inlineStr">
        <is>
          <t>Strength, Healing, Purification, Protection, Cleansing, Banishing, Physical Strength, Fortitude, Vitality, Inner power, and strength,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23" s="5" t="inlineStr">
        <is>
          <t>Used for spiritual cleansing and removing impurities, both physical and energetic.</t>
        </is>
      </c>
      <c r="F23" s="4" t="inlineStr">
        <is>
          <t>Sun</t>
        </is>
      </c>
      <c r="G23" s="4" t="inlineStr">
        <is>
          <t>Fire</t>
        </is>
      </c>
      <c r="H23" s="4" t="inlineStr">
        <is>
          <t>Masculine</t>
        </is>
      </c>
      <c r="I23" s="4" t="inlineStr">
        <is>
          <t>Sunday</t>
        </is>
      </c>
      <c r="J23" s="4" t="inlineStr">
        <is>
          <t>ALL</t>
        </is>
      </c>
      <c r="K23" s="5" t="inlineStr">
        <is>
          <t>LITHA</t>
        </is>
      </c>
      <c r="L23" s="5"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M23" s="5" t="inlineStr">
        <is>
          <t>Healing, purification, protection, cleansing, strength, clarity</t>
        </is>
      </c>
      <c r="N23" s="5" t="inlineStr">
        <is>
          <t>MEDICINAL</t>
        </is>
      </c>
      <c r="O23" s="5" t="inlineStr">
        <is>
          <t>*Tea Tree Essential Oil*  Also known as: Melaleuca.  Botanical source: Melaleuca alternifolia.  Planet: Sun  Element: Fire  Energy: Masculine  Sacred Day: Sunday.  Deity associations: ALL.  Sabbat: LITHA.  Association: Used for spiritual cleansing and removing impurities, both physical and energetic..  Magical uses: Strength.  Powers: Healing, purification, protection, cleansing, strength, clarity.  Spiritual uses: MEDICINAL.  Folk lore: 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  Origin: Australia (New South Wales, Queensland).</t>
        </is>
      </c>
      <c r="P23" s="4" t="inlineStr">
        <is>
          <t>Tea Tree</t>
        </is>
      </c>
      <c r="Q23" s="5" t="inlineStr">
        <is>
          <t>Australia (New South Wales, Queensland)</t>
        </is>
      </c>
      <c r="R23" s="5" t="inlineStr">
        <is>
          <t>Warning: Do not ingest — toxic internally. May cause skin irritation in sensitive individuals. Keep away from pets.</t>
        </is>
      </c>
      <c r="S23" s="42" t="inlineStr">
        <is>
          <t>The Melaleuca oil — tea tree distilled from the Australian myrtle-family tree, carrying a particularly clean, medicinal purification. Used primarily for its strength and healing function, the clearing oil that protects what it touches through purity.</t>
        </is>
      </c>
      <c r="T23" t="inlineStr">
        <is>
          <t>None specified.</t>
        </is>
      </c>
      <c r="U23" t="inlineStr">
        <is>
          <t>Strength, healing and clarity — tea tree oil in protective and healing preparations.</t>
        </is>
      </c>
      <c r="V23" t="inlineStr">
        <is>
          <t>Purification — tea tree's primary function, the clean sharp clearing.</t>
        </is>
      </c>
      <c r="W23" t="inlineStr">
        <is>
          <t>Opens the strength channel — where what must be strengthened must first be cleared of what weakened it.</t>
        </is>
      </c>
      <c r="X23" t="inlineStr">
        <is>
          <t>Turns through strength and healing — the Melaleuca oil's clean restoration of what was depleted.</t>
        </is>
      </c>
      <c r="Y23" t="inlineStr">
        <is>
          <t>The cleansing oil in its most thorough protective function — where the working is about the genuine protection of the physical and energetic body from what it has been exposed to, tea tree works at both levels with the same clean decisiveness.</t>
        </is>
      </c>
    </row>
    <row r="24" ht="49.5" customHeight="1" s="56">
      <c r="A24" s="2" t="inlineStr">
        <is>
          <t>Thyme</t>
        </is>
      </c>
      <c r="B24" s="2" t="inlineStr">
        <is>
          <t>Hillwort</t>
        </is>
      </c>
      <c r="C24" s="2" t="inlineStr">
        <is>
          <t>Thymus vulgaris</t>
        </is>
      </c>
      <c r="D24" s="3" t="inlineStr">
        <is>
          <t>Healing, Love, Purification, Confidence,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Self-confidence, Courage, Bravery, Determination, Will Power, Leadership, Leadership skills, Commanding, Personal power</t>
        </is>
      </c>
      <c r="E24" s="3" t="inlineStr">
        <is>
          <t>Symbol of courage and strength; traditionally used for bravery and protection.</t>
        </is>
      </c>
      <c r="F24" s="2" t="inlineStr">
        <is>
          <t>VENUS</t>
        </is>
      </c>
      <c r="G24" s="2" t="inlineStr">
        <is>
          <t>Water</t>
        </is>
      </c>
      <c r="H24" s="2" t="inlineStr">
        <is>
          <t>Feminine</t>
        </is>
      </c>
      <c r="I24" s="2" t="inlineStr">
        <is>
          <t>Friday</t>
        </is>
      </c>
      <c r="J24" s="2" t="inlineStr">
        <is>
          <t>MINERVA, LOKI, VENUS, TITIANA</t>
        </is>
      </c>
      <c r="K24" s="3" t="inlineStr">
        <is>
          <t>OSTARA, BELTANE</t>
        </is>
      </c>
      <c r="L24" s="3" t="inlineStr">
        <is>
          <t>In the stories of the knights, Thyme was the herb of bravery. Before a battle, they would wear a sprig of thyme near their hearts, believing the herb would gift them the heart of a lion and ensure their courage never failed when the steel was drawn.</t>
        </is>
      </c>
      <c r="M24" s="3" t="inlineStr">
        <is>
          <t>Healing, purification, love, psychic power, courage, protection, sleep</t>
        </is>
      </c>
      <c r="N24" s="3" t="inlineStr">
        <is>
          <t>Harmony, STRENGTHENS, SUPP, Amulets/talismans</t>
        </is>
      </c>
      <c r="O24" s="3" t="inlineStr">
        <is>
          <t>*Thyme Essential Oil*  Also known as: Hillwort.  Botanical source: Thymus vulgaris.  Planet: VENUS  Element: Water  Energy: Feminine  Sacred Day: Friday.  Deity associations: MINERVA, LOKI, VENUS, TITIANA.  Sabbat: OSTARA, BELTANE.  Association: Symbol of courage and strength; traditionally used for bravery and protection..  Magical uses: Healing, Love, Purification, Confidence.  Powers: Healing, purification, love, psychic power, courage, protection, sleep.  Spiritual uses: Harmony, STRENGTHENS, SUPP, Amulets/talismans.  Folk lore: In the stories of the knights, Thyme was the herb of bravery. Before a battle, they would wear a sprig of thyme near their hearts, believing the herb would gift them the heart of a lion and ensure their courage never failed when the steel was drawn..  Origin: Mediterranean region; cultivated globally.</t>
        </is>
      </c>
      <c r="P24" s="2" t="inlineStr">
        <is>
          <t>Thyme</t>
        </is>
      </c>
      <c r="Q24" s="3" t="inlineStr">
        <is>
          <t>Mediterranean region; cultivated globally</t>
        </is>
      </c>
      <c r="R24" s="3" t="inlineStr">
        <is>
          <t>Warning: Strong skin irritant — dilute well. Avoid during pregnancy. Do not ingest essential oil.</t>
        </is>
      </c>
      <c r="S24" s="42" t="inlineStr">
        <is>
          <t>The Hillwort oil of Venus and Water — thyme distilled into an oil that heals, draws love and purifies. The courage oil that stands alongside lavender as the most useful of the flowering herb oils. Carries the psychic power of thyme in concentrated form, anointed for any working where courage and love and healing must all be present at once.</t>
        </is>
      </c>
      <c r="T24" t="inlineStr">
        <is>
          <t>Love drawn through thyme oil's Venus warmth.</t>
        </is>
      </c>
      <c r="U24" t="inlineStr">
        <is>
          <t>Healing, courage and psychic power — thyme oil in protective and healing anointing.</t>
        </is>
      </c>
      <c r="V24" t="inlineStr">
        <is>
          <t>Purification — thyme oil's clearing function.</t>
        </is>
      </c>
      <c r="W24" t="inlineStr">
        <is>
          <t>Opens psychic power and the courage that psychic work requires — thyme oil before any deep working.</t>
        </is>
      </c>
      <c r="X24" t="inlineStr">
        <is>
          <t>Turns through healing and purification — the hillwort oil that does its cleaning work quietly.</t>
        </is>
      </c>
      <c r="Y24" t="inlineStr">
        <is>
          <t>The Midsummer rite oil in its courage-demanding function — where the working asks for the courage to be psychically present to what the body and the dreaming mind know about desire and what has been done with it, thyme holds that courage.</t>
        </is>
      </c>
    </row>
    <row r="25" ht="61.5" customHeight="1" s="56">
      <c r="A25" s="4" t="inlineStr">
        <is>
          <t>Vanilla</t>
        </is>
      </c>
      <c r="B25" s="4" t="inlineStr">
        <is>
          <t>Black Flower</t>
        </is>
      </c>
      <c r="C25" s="4" t="inlineStr">
        <is>
          <t>Vanilla planifolia</t>
        </is>
      </c>
      <c r="D25" s="5" t="inlineStr">
        <is>
          <t>MENTAL POWERS, LOVING &amp; LUSTFUL ENERGIES, Wisdom, Aphrodisiac, Love, Prosperity, Happiness, Harmony, Aphrodisiac tea, Sensuality, Lust, Lust/Sex, Passionate love-making, SEX MAGIC, RAISE SEXUAL ENERGY, Sexual energy, Knowledge, Intelligence, Intuition, Mental clarity, Sharpening the wits, Sharpening the brain,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Joy, Joyous celebrations, Contentment</t>
        </is>
      </c>
      <c r="E25" s="5" t="inlineStr">
        <is>
          <t>Associated with love, attraction, and mental stimulation; used to soothe the spirit.</t>
        </is>
      </c>
      <c r="F25" s="4" t="inlineStr">
        <is>
          <t>VENUS</t>
        </is>
      </c>
      <c r="G25" s="4" t="inlineStr">
        <is>
          <t>Water</t>
        </is>
      </c>
      <c r="H25" s="4" t="inlineStr">
        <is>
          <t>Feminine</t>
        </is>
      </c>
      <c r="I25" s="4" t="inlineStr">
        <is>
          <t>Friday</t>
        </is>
      </c>
      <c r="J25" s="4" t="inlineStr">
        <is>
          <t>APHRODITE, VENUS</t>
        </is>
      </c>
      <c r="K25" s="5" t="inlineStr">
        <is>
          <t>OSTARA, BELTANE</t>
        </is>
      </c>
      <c r="L25" s="5"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M25" s="5" t="inlineStr">
        <is>
          <t>Love, lust, mental power, energy, prosperity, happiness</t>
        </is>
      </c>
      <c r="N25" s="5" t="inlineStr">
        <is>
          <t>SOOTHES NERVES, CALMS, RELAXES</t>
        </is>
      </c>
      <c r="O25" s="5" t="inlineStr">
        <is>
          <t>*Vanilla Essential Oil*  Also known as: Black Flower.  Botanical source: Vanilla planifolia.  Planet: VENUS  Element: Water  Energy: Feminine  Sacred Day: Friday.  Deity associations: APHRODITE, VENUS.  Sabbat: OSTARA, BELTANE.  Association: Associated with love, attraction, and mental stimulation; used to soothe the spirit..  Magical uses: MENTAL POWERS, LOVING &amp; LUSTFUL ENERGIES.  Powers: Love, lust, mental power, energy, prosperity, happiness.  Spiritual uses: SOOTHES NERVES, CALMS, RELAXES.  Folk lore: The myth tells of a princess who was turned into a vine because she was too beautiful for the earth. The fruit she left behind—the vanilla bean—was said to be a love potion. It is believed that just by smelling the scent, a person’s heart becomes open to the possibility of love..  Origin: Mexico (origin); Madagascar, Indonesia, Tahiti (main producers).</t>
        </is>
      </c>
      <c r="P25" s="4" t="inlineStr">
        <is>
          <t>Vanilla</t>
        </is>
      </c>
      <c r="Q25" s="5" t="inlineStr">
        <is>
          <t>Mexico (origin); Madagascar, Indonesia, Tahiti (main producers)</t>
        </is>
      </c>
      <c r="R25" s="5" t="inlineStr">
        <is>
          <t>Generally safe for external ritual use. Do not ingest essential oil.</t>
        </is>
      </c>
      <c r="S25" s="42" t="inlineStr">
        <is>
          <t>The Black Flower oil — vanilla extracted from the climbing orchid of tropical America, carrying the mental powers and loving lustful energies that made it one of the most traded aromatics in the world. The warm sweet oil that draws the most human of the magical functions: the power of the mind and the pleasure of the body together.</t>
        </is>
      </c>
      <c r="T25" t="inlineStr">
        <is>
          <t>Love, prosperity and happiness drawn through vanilla's warm sweetness.</t>
        </is>
      </c>
      <c r="U25" t="inlineStr">
        <is>
          <t>Mental power — vanilla oil held in any working where the mind must be strong.</t>
        </is>
      </c>
      <c r="V25" t="inlineStr">
        <is>
          <t>None specified.</t>
        </is>
      </c>
      <c r="W25" t="inlineStr">
        <is>
          <t>Opens the mental powers — where the working requires full cognitive engagement alongside the energetic.</t>
        </is>
      </c>
      <c r="X25" t="inlineStr">
        <is>
          <t>Turns through the mental powers and their transformation of what was unclear into what is known.</t>
        </is>
      </c>
      <c r="Y25" t="inlineStr">
        <is>
          <t>The warm sweetness that has carried aphrodisiac association since the Spanish first encountered it in Mexico — the Black Flower oil used in workings of loving and lustful energies together. Where physical desire and tender love are not opposites but partners, vanilla holds them both.</t>
        </is>
      </c>
    </row>
    <row r="26" ht="61.5" customHeight="1" s="56">
      <c r="A26" s="2" t="inlineStr">
        <is>
          <t>Ylang Ylang</t>
        </is>
      </c>
      <c r="B26" s="2" t="inlineStr">
        <is>
          <t>Flower of Flowers</t>
        </is>
      </c>
      <c r="C26" s="2" t="inlineStr">
        <is>
          <t>Cananga odorata</t>
        </is>
      </c>
      <c r="D26" s="3" t="inlineStr">
        <is>
          <t>SEX MAGIC, Protection, LOVE &amp; PEACE, CLEARING NEGATIVITY, Aphrodisiac, Love, Peace, Banishing, Aphrodisiac tea, Sensuality, Lust, Lust/Sex, Passionate love-making, LOVING &amp; LUSTFUL ENERGIES, RAISE SEXUAL ENERGY, Sexual energy, Protective charm, Protective charms, Protective sachets, Protective wreaths, Protective incense, PROTECT AGAINST NEGATIVITY, Protection from negativity, Circle protection, Love magick, Love drawing, Attracting love, Love-attracting rituals, Inviting love, Inducing love, Love charms, Love enchantment, Finding love, Romantic love ceremonies, PROMOTE LOVE &amp; AFFECTION,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26" s="3" t="inlineStr">
        <is>
          <t>Used in love magic, to boost confidence, and to foster peace.</t>
        </is>
      </c>
      <c r="F26" s="2" t="inlineStr">
        <is>
          <t>VENUS</t>
        </is>
      </c>
      <c r="G26" s="2" t="inlineStr">
        <is>
          <t>Water</t>
        </is>
      </c>
      <c r="H26" s="2" t="inlineStr">
        <is>
          <t>Feminine</t>
        </is>
      </c>
      <c r="I26" s="2" t="inlineStr">
        <is>
          <t>Friday</t>
        </is>
      </c>
      <c r="J26" s="2" t="inlineStr">
        <is>
          <t>APHRODITE, VENUS</t>
        </is>
      </c>
      <c r="K26" s="3" t="inlineStr">
        <is>
          <t>OSTARA, BELTANE</t>
        </is>
      </c>
      <c r="L26" s="3"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M26" s="3" t="inlineStr">
        <is>
          <t>Love, lust, peace, happiness, confidence, attraction, calming</t>
        </is>
      </c>
      <c r="N26" s="3" t="inlineStr">
        <is>
          <t>Peace, ENTHUSIASM, Happiness, UPLIFTMENT</t>
        </is>
      </c>
      <c r="O26" s="3" t="inlineStr">
        <is>
          <t>*Ylang Ylang Essential Oil*  Also known as: Flower of Flowers.  Botanical source: Cananga odorata.  Planet: VENUS  Element: Water  Energy: Feminine  Sacred Day: Friday.  Deity associations: APHRODITE, VENUS.  Sabbat: OSTARA, BELTANE.  Association: Used in love magic, to boost confidence, and to foster peace..  Magical uses: SEX MAGIC, Protection, LOVE &amp; PEACE, CLEARING NEGATIVITY.  Powers: Love, lust, peace, happiness, confidence, attraction, calming.  Spiritual uses: Peace, ENTHUSIASM, Happiness, UPLIFTMENT.  Folk lore: It was said that in the islands, the scent of Ylang Ylang is so powerful that it can bridge the distance between two lovers who are far apart. If you focus on the scent, you can send a message of peace and affection across the sea, and the wind will carry it to their heart..  Origin: Philippines, Indonesia, Comoro Islands, Madagascar.</t>
        </is>
      </c>
      <c r="P26" s="2" t="inlineStr">
        <is>
          <t>Ylang Ylang</t>
        </is>
      </c>
      <c r="Q26" s="3" t="inlineStr">
        <is>
          <t>Philippines, Indonesia, Comoro Islands, Madagascar</t>
        </is>
      </c>
      <c r="R26" s="3" t="inlineStr">
        <is>
          <t>Warning: May cause headaches in large amounts. Avoid during pregnancy. Do not ingest. Dilute well — can cause sensitisation.</t>
        </is>
      </c>
      <c r="S26" s="42" t="inlineStr">
        <is>
          <t>The Flower of Flowers oil — ylang ylang pressed from the yellow-starred flowers of the Cananga tree, used in love, peace and the clearing of negativity. The oil of sacred sexuality and the peace that follows it. Its heady tropical sweetness carries the full weight of Venus's most intimate gifts.</t>
        </is>
      </c>
      <c r="T26" t="inlineStr">
        <is>
          <t>Love, peace, happiness and attraction drawn through ylang ylang's deep Venus beauty.</t>
        </is>
      </c>
      <c r="U26" t="inlineStr">
        <is>
          <t>Protection and confidence — the oil that holds what must be protected.</t>
        </is>
      </c>
      <c r="V26" t="inlineStr">
        <is>
          <t>Clearing negativity — ylang ylang's releasing function.</t>
        </is>
      </c>
      <c r="W26" t="inlineStr">
        <is>
          <t>Opens the sacred sexuality and the peace of union — where the most intimate magical functions are being called.</t>
        </is>
      </c>
      <c r="X26" t="inlineStr">
        <is>
          <t>Turns through the clearing of negativity and the love that fills the space it leaves.</t>
        </is>
      </c>
      <c r="Y26" t="inlineStr">
        <is>
          <t>The Flower of Flowers in its most direct function — this is the aphrodisiac oil, the sacred sexuality oil, the oil used in love workings where physical desire must be acknowledged and honoured. Its heady tropical sweetness is the scent of Venus at her most present and physical. Used where the working asks for the full opening of desire.</t>
        </is>
      </c>
    </row>
    <row r="27" ht="61.5" customHeight="1" s="56">
      <c r="A27" s="4" t="inlineStr">
        <is>
          <t>Cinnamon</t>
        </is>
      </c>
      <c r="B27" s="4" t="inlineStr">
        <is>
          <t>Sweet Wood</t>
        </is>
      </c>
      <c r="C27" s="4" t="inlineStr">
        <is>
          <t>Cinnamomum verum</t>
        </is>
      </c>
      <c r="D27" s="5" t="inlineStr">
        <is>
          <t>Love, Prosperity, Protection, HELP ATTRACT OPPOSITE SEX, Purification, Attraction,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Attracting a mate, Attracting a soulmate, Conjuring a lover, Finding future love,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t>
        </is>
      </c>
      <c r="E27" s="5" t="inlineStr">
        <is>
          <t>Used to 'heat up' intentions, manifest desires, and attract prosperity rapidly.</t>
        </is>
      </c>
      <c r="F27" s="4" t="inlineStr">
        <is>
          <t>JUPITER</t>
        </is>
      </c>
      <c r="G27" s="4" t="inlineStr">
        <is>
          <t>Fire</t>
        </is>
      </c>
      <c r="H27" s="4" t="inlineStr">
        <is>
          <t>Masculine</t>
        </is>
      </c>
      <c r="I27" s="4" t="inlineStr">
        <is>
          <t>Thursday</t>
        </is>
      </c>
      <c r="J27" s="4" t="inlineStr">
        <is>
          <t>JUPITER, ZEUS</t>
        </is>
      </c>
      <c r="K27" s="5" t="inlineStr">
        <is>
          <t>LAMMAS, MABON</t>
        </is>
      </c>
      <c r="L27" s="5"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M27" s="5" t="inlineStr">
        <is>
          <t>Love, success, prosperity, protection, healing, psychic power, energy</t>
        </is>
      </c>
      <c r="N27" s="5" t="inlineStr">
        <is>
          <t>INNER WARMTH, INSPIRATION, REGENERATION, MENTAL POWERS</t>
        </is>
      </c>
      <c r="O27" s="5" t="inlineStr">
        <is>
          <t>*Cinnamon Essential Oil*  Also known as: Sweet Wood.  Botanical source: Cinnamomum verum.  Planet: JUPITER  Element: Fire  Energy: Masculine  Sacred Day: Thursday.  Deity associations: JUPITER, ZEUS.  Sabbat: LAMMAS, MABON.  Association: Used to 'heat up' intentions, manifest desires, and attract prosperity rapidly..  Magical uses: Love, Prosperity, Protection, HELP ATTRACT OPPOSITE SEX, Purification.  Powers: Love, success, prosperity, protection, healing, psychic power, energy.  Spiritual uses: INNER WARMTH, INSPIRATION, REGENERATION, MENTAL POWERS.  Folk lore: It was said that the phoenix built its nest out of Cinnamon and Myrrh. When the bird rose from the ashes, it carried the scent of the spices, which is why Cinnamon is believed to hold the power of resurrection and the ability to turn a bad situation into a new beginning..  Origin: Sri Lanka (origin); also India, Indonesia, Vietnam.</t>
        </is>
      </c>
      <c r="P27" s="4" t="inlineStr">
        <is>
          <t>Cinnamon</t>
        </is>
      </c>
      <c r="Q27" s="5" t="inlineStr">
        <is>
          <t>Sri Lanka (origin); also India, Indonesia, Vietnam</t>
        </is>
      </c>
      <c r="R27" s="5" t="inlineStr">
        <is>
          <t>Warning: Strong skin and mucous membrane irritant — must be heavily diluted. Do not ingest. Avoid during pregnancy.</t>
        </is>
      </c>
      <c r="S27" s="42" t="inlineStr">
        <is>
          <t>The Sweet Wood oil of Jupiter and Fire — cinnamon oil carries the same warming, sharpening functions as the spice but in a form that penetrates immediately. Anointed on candles for love and prosperity workings, used in psychic development blends. The oil that warms everything it touches and draws what is good.</t>
        </is>
      </c>
      <c r="T27" t="inlineStr">
        <is>
          <t>Love and prosperity drawn through cinnamon oil's warm fire.</t>
        </is>
      </c>
      <c r="U27" t="inlineStr">
        <is>
          <t>Protection and psychic power — cinnamon oil in protective and sight-opening anointing.</t>
        </is>
      </c>
      <c r="V27" t="inlineStr">
        <is>
          <t>Purification — cinnamon oil's clearing function.</t>
        </is>
      </c>
      <c r="W27" t="inlineStr">
        <is>
          <t>Opens psychic power — cinnamon oil before any divination or working where the sight must be sharp.</t>
        </is>
      </c>
      <c r="X27" t="inlineStr">
        <is>
          <t>Turns through purification and the success that follows a well-prepared working.</t>
        </is>
      </c>
      <c r="Y27" t="inlineStr">
        <is>
          <t>The fire spice oil in its most complete attraction function — where the working must draw the specific person or the specific outcome through the sheer heat of clear intention, cinnamon oil is the accelerant that makes the working run hot.</t>
        </is>
      </c>
    </row>
    <row r="28" ht="49.5" customHeight="1" s="56">
      <c r="A28" s="2" t="inlineStr">
        <is>
          <t>Ginger</t>
        </is>
      </c>
      <c r="B28" s="2" t="inlineStr">
        <is>
          <t>Root of Fire</t>
        </is>
      </c>
      <c r="C28" s="2" t="inlineStr">
        <is>
          <t>Zingiber officinale</t>
        </is>
      </c>
      <c r="D28" s="3" t="inlineStr">
        <is>
          <t>Prosperity, Healing, Love, Strength,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t>
        </is>
      </c>
      <c r="E28" s="3" t="inlineStr">
        <is>
          <t>Used for energy, motivation, and speeding up magical work.</t>
        </is>
      </c>
      <c r="F28" s="2" t="inlineStr">
        <is>
          <t>MARS, SUN</t>
        </is>
      </c>
      <c r="G28" s="2" t="inlineStr">
        <is>
          <t>Fire</t>
        </is>
      </c>
      <c r="H28" s="2" t="inlineStr">
        <is>
          <t>Masculine</t>
        </is>
      </c>
      <c r="I28" s="2" t="inlineStr">
        <is>
          <t>Sunday</t>
        </is>
      </c>
      <c r="J28" s="2" t="inlineStr">
        <is>
          <t>ARES, VENUS</t>
        </is>
      </c>
      <c r="K28" s="3" t="inlineStr">
        <is>
          <t>BELTANE, LITHA</t>
        </is>
      </c>
      <c r="L28" s="3" t="inlineStr">
        <is>
          <t>It is said that Ginger grew where a drop of liquid sun hit the earth. Because of its fiery taste, it was believed to grant the eater the 'fire of the gut,' helping them digest not just food, but life experiences, turning bitterness into wisdom.</t>
        </is>
      </c>
      <c r="M28" s="3" t="inlineStr">
        <is>
          <t>Love, money, success, power, protection, healing, energy</t>
        </is>
      </c>
      <c r="N28" s="3" t="inlineStr">
        <is>
          <t>Confidence, EMPATHY, LIBERATION, OPTIMISM, STRENGTHENS</t>
        </is>
      </c>
      <c r="O28" s="3" t="inlineStr">
        <is>
          <t>*Ginger Essential Oil*  Also known as: Root of Fire.  Botanical source: Zingiber officinale.  Planet: MARS, SUN  Element: Fire  Energy: Masculine  Sacred Day: Sunday.  Deity associations: ARES, VENUS.  Sabbat: BELTANE, LITHA.  Association: Used for energy, motivation, and speeding up magical work..  Magical uses: Prosperity, Healing, Love, Strength.  Powers: Love, money, success, power, protection, healing, energy.  Spiritual uses: Confidence, EMPATHY, LIBERATION, OPTIMISM, STRENGTHENS.  Folk lore: It is said that Ginger grew where a drop of liquid sun hit the earth. Because of its fiery taste, it was believed to grant the eater the 'fire of the gut,' helping them digest not just food, but life experiences, turning bitterness into wisdom..  Origin: India, China, Southeast Asia; cultivated globally in tropical climates.</t>
        </is>
      </c>
      <c r="P28" s="2" t="inlineStr">
        <is>
          <t>Ginger</t>
        </is>
      </c>
      <c r="Q28" s="3" t="inlineStr">
        <is>
          <t>India, China, Southeast Asia; cultivated globally in tropical climates</t>
        </is>
      </c>
      <c r="R28" s="3" t="inlineStr">
        <is>
          <t>Warning: May cause skin irritation — dilute well. Phototoxic. Avoid during pregnancy in large amounts. Do not ingest.</t>
        </is>
      </c>
      <c r="S28" s="42" t="inlineStr">
        <is>
          <t>The Root of Fire oil — ginger pressed into oil from the rhizome that carries Mars and Sun in equal measure. Quickens workings, brings love and passion a directness that the slower herbs cannot match, increases prosperity and healing in a form that is felt immediately.</t>
        </is>
      </c>
      <c r="T28" t="inlineStr">
        <is>
          <t>Prosperity and love drawn through ginger oil's fire directness.</t>
        </is>
      </c>
      <c r="U28" t="inlineStr">
        <is>
          <t>Power and healing — ginger oil in energising and healing anointing.</t>
        </is>
      </c>
      <c r="V28" t="inlineStr">
        <is>
          <t>None specified.</t>
        </is>
      </c>
      <c r="W28" t="inlineStr">
        <is>
          <t>Opens the deeper prosperity — where the block to abundance must be removed quickly.</t>
        </is>
      </c>
      <c r="X28" t="inlineStr">
        <is>
          <t>Turns through healing and strength — the ginger oil that accelerates what must move.</t>
        </is>
      </c>
      <c r="Y28" t="inlineStr">
        <is>
          <t>The Mars fire oil in its most direct fertility function — where the working concerns the genuine generative power of the body and what supports it, ginger oil works at the level of the fire that makes things grow.</t>
        </is>
      </c>
    </row>
    <row r="29" ht="61.5" customHeight="1" s="56">
      <c r="A29" s="4" t="inlineStr">
        <is>
          <t>Patchouli</t>
        </is>
      </c>
      <c r="B29" s="4" t="inlineStr">
        <is>
          <t>Earth Essence</t>
        </is>
      </c>
      <c r="C29" s="4" t="inlineStr">
        <is>
          <t>Pogostemon cablin</t>
        </is>
      </c>
      <c r="D29" s="5" t="inlineStr">
        <is>
          <t>Fertility, Love, Prosperity, RAISE SEXUAL ENERGY, Aphrodisiac,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Sexual energy</t>
        </is>
      </c>
      <c r="E29" s="5" t="inlineStr">
        <is>
          <t>Associated with groundedness, material success, and wealth-drawing.</t>
        </is>
      </c>
      <c r="F29" s="4" t="inlineStr">
        <is>
          <t>SATURN</t>
        </is>
      </c>
      <c r="G29" s="4" t="inlineStr">
        <is>
          <t>Earth</t>
        </is>
      </c>
      <c r="H29" s="4" t="inlineStr">
        <is>
          <t>Masculine</t>
        </is>
      </c>
      <c r="I29" s="4" t="inlineStr">
        <is>
          <t>Saturday</t>
        </is>
      </c>
      <c r="J29" s="4" t="inlineStr">
        <is>
          <t>CERNUNNOS, PAN, HECATE</t>
        </is>
      </c>
      <c r="K29" s="5" t="inlineStr">
        <is>
          <t>OSTARA, SAMHAIN, YULE</t>
        </is>
      </c>
      <c r="L29" s="5"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M29" s="5" t="inlineStr">
        <is>
          <t>Love, wealth, protection, fertility, grounding, prosperity, attraction</t>
        </is>
      </c>
      <c r="N29" s="5" t="inlineStr">
        <is>
          <t>ASTUTENESS, REASONABLENESS, STIMULATION, Aphrodisiac</t>
        </is>
      </c>
      <c r="O29" s="5" t="inlineStr">
        <is>
          <t>*Patchouli Essential Oil*  Also known as: Earth Essence.  Botanical source: Pogostemon cablin.  Planet: SATURN  Element: Earth  Energy: Masculine  Sacred Day: Saturday.  Deity associations: CERNUNNOS, PAN, HECATE.  Sabbat: OSTARA, SAMHAIN, YULE.  Association: Associated with groundedness, material success, and wealth-drawing..  Magical uses: Fertility, Love, Prosperity, RAISE SEXUAL ENERGY.  Powers: Love, wealth, protection, fertility, grounding, prosperity, attraction.  Spiritual uses: ASTUTENESS, REASONABLENESS, STIMULATION, Aphrodisiac.  Folk lore: 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  Origin: Southeast Asia (Indonesia, Philippines, India, Malaysia).</t>
        </is>
      </c>
      <c r="P29" s="4" t="inlineStr">
        <is>
          <t>Patchouli</t>
        </is>
      </c>
      <c r="Q29" s="5" t="inlineStr">
        <is>
          <t>Southeast Asia (Indonesia, Philippines, India, Malaysia)</t>
        </is>
      </c>
      <c r="R29" s="5" t="inlineStr">
        <is>
          <t>Generally safe for external use. Do not ingest essential oil. Avoid excessive use during pregnancy.</t>
        </is>
      </c>
      <c r="S29" s="42" t="inlineStr">
        <is>
          <t>The Earth Essence oil — patchouli pressed from the herb that smells of dark wet soil and leaf mould, the deepest earth fragrance available. Used in fertility, love, prosperity and the raising of sexual energy. The oil that grounds the working into the physical world and draws through the earth rather than through the air.</t>
        </is>
      </c>
      <c r="T29" t="inlineStr">
        <is>
          <t>Fertility, love, prosperity and attraction drawn through patchouli's deep earth energy.</t>
        </is>
      </c>
      <c r="U29" t="inlineStr">
        <is>
          <t>Protection and grounding — patchouli oil in protective and grounding anointing.</t>
        </is>
      </c>
      <c r="V29" t="inlineStr">
        <is>
          <t>None specified.</t>
        </is>
      </c>
      <c r="W29" t="inlineStr">
        <is>
          <t>Opens the deeper fertility and the earth-rooted love that grows rather than burns.</t>
        </is>
      </c>
      <c r="X29" t="inlineStr">
        <is>
          <t>Turns through the transformation of energy from aspirational to physical — what was wished for now planted in real soil.</t>
        </is>
      </c>
      <c r="Y29" t="inlineStr">
        <is>
          <t>The earth oil of fertility and the raising of sexual energy — patchouli pressed from the leaf that smells of dark soil carries the most grounded and physical of the aphrodisiac oils. Where desire must be rooted in the body rather than the imagination, patchouli does that work honestly and without artifice.</t>
        </is>
      </c>
    </row>
    <row r="30" ht="49.5" customHeight="1" s="56">
      <c r="A30" s="2" t="inlineStr">
        <is>
          <t>Sandalwood In.</t>
        </is>
      </c>
      <c r="B30" s="2" t="inlineStr">
        <is>
          <t>Sacred Wood</t>
        </is>
      </c>
      <c r="C30" s="2" t="inlineStr">
        <is>
          <t>Santalum album</t>
        </is>
      </c>
      <c r="D30" s="3" t="inlineStr">
        <is>
          <t>WISHES, PSYCHIC POWERS, Luck, Clairvoyance, Protection, Healing, Purification, Meditation, Peace,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 magick, Carrying wishes, Transmuting wishes, Enhancing clairvoyance, Psychic development, INCREASE PSYCHIC ABILITIES, Psychic awareness, Stimulating psychic senses, Disabling psychic phenomena, Psychic communication, communication and psychic abilities, Protective charm, Protective charms, Protective sachets, Protective wreaths, Protective incense, PROTECT AGAINST NEGATIVITY, Protection from negativity, Circle protection,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t>
        </is>
      </c>
      <c r="E30" s="3" t="inlineStr">
        <is>
          <t>Used for spiritual connection, meditation, and grounding one's energy.</t>
        </is>
      </c>
      <c r="F30" s="2" t="inlineStr">
        <is>
          <t>MERCURY</t>
        </is>
      </c>
      <c r="G30" s="2" t="inlineStr">
        <is>
          <t>Air</t>
        </is>
      </c>
      <c r="H30" s="2" t="inlineStr">
        <is>
          <t>Masculine</t>
        </is>
      </c>
      <c r="I30" s="2" t="inlineStr">
        <is>
          <t>Wednesday</t>
        </is>
      </c>
      <c r="J30" s="2" t="inlineStr">
        <is>
          <t>ISIS, LUNA</t>
        </is>
      </c>
      <c r="K30" s="3" t="inlineStr">
        <is>
          <t>MOON</t>
        </is>
      </c>
      <c r="L30" s="3" t="inlineStr">
        <is>
          <t>It is said that Sandalwood is the wood that dreams are made of. In the temples, the monks believed that if you meditated with the scent, you could walk in your sleep through the history of your ancestors, learning the secrets they left behind in the earth.</t>
        </is>
      </c>
      <c r="M30" s="3" t="inlineStr">
        <is>
          <t>Protection, healing, purification, spiritual elevation, meditation, prosperity</t>
        </is>
      </c>
      <c r="N30" s="3" t="inlineStr">
        <is>
          <t>Peace, Aphrodisiac</t>
        </is>
      </c>
      <c r="O30" s="3" t="inlineStr">
        <is>
          <t>*Sandalwood In. Essential Oil*  Also known as: Sacred Wood.  Botanical source: Santalum album.  Planet: MERCURY  Element: Air  Energy: Masculine  Sacred Day: Wednesday.  Deity associations: ISIS, LUNA.  Sabbat: MOON.  Association: Used for spiritual connection, meditation, and grounding one's energy..  Magical uses: WISHES, PSYCHIC POWERS.  Powers: Protection, healing, purification, spiritual elevation, meditation, prosperity.  Spiritual uses: Peace, Aphrodisiac.  Folk lore: It is said that Sandalwood is the wood that dreams are made of. In the temples, the monks believed that if you meditated with the scent, you could walk in your sleep through the history of your ancestors, learning the secrets they left behind in the earth..  Origin: India (Mysore region); also Australia and New Caledonia.</t>
        </is>
      </c>
      <c r="P30" s="2" t="inlineStr">
        <is>
          <t>Sandalwood In.</t>
        </is>
      </c>
      <c r="Q30" s="3" t="inlineStr">
        <is>
          <t>India (Mysore region); also Australia and New Caledonia</t>
        </is>
      </c>
      <c r="R30" s="3" t="inlineStr">
        <is>
          <t>Generally safe for external use. Do not ingest essential oil.</t>
        </is>
      </c>
      <c r="S30" s="42" t="inlineStr">
        <is>
          <t>The Sacred Wood of the Indian variety — the older, more refined sandalwood oil from Mysore, carrying wishes and psychic power in its smoke and its oil. The oil that carries the wish into the sacred smoke and the psychic sight into the working that follows.</t>
        </is>
      </c>
      <c r="T30" t="inlineStr">
        <is>
          <t>Prosperity and wishes drawn through sandalwood's sacred energy.</t>
        </is>
      </c>
      <c r="U30" t="inlineStr">
        <is>
          <t>Psychic power, protection and meditation — the sacred oil in any working where the psychic must be open.</t>
        </is>
      </c>
      <c r="V30" t="inlineStr">
        <is>
          <t>Purification — sandalwood oil's clearing function.</t>
        </is>
      </c>
      <c r="W30" t="inlineStr">
        <is>
          <t>Opens psychic power and wishes — sandalwood Indian oil before any wish magic or divination.</t>
        </is>
      </c>
      <c r="X30" t="inlineStr">
        <is>
          <t>Turns through healing and purification — the sacred wood carrying out what must be transformed.</t>
        </is>
      </c>
      <c r="Y30" t="inlineStr">
        <is>
          <t>The Sacred Wood in its aphrodisiac aspect — the older Indian tradition used sandalwood oil in the preparation for sacred union rites. Where the working involves the blessing of physical intimacy, sandalwood Indian carries the consecrating quality that makes desire holy rather than merely urgent.</t>
        </is>
      </c>
    </row>
  </sheetData>
  <autoFilter ref="A1:R1"/>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A25"/>
  <sheetViews>
    <sheetView zoomScaleNormal="100" workbookViewId="0">
      <pane xSplit="1" ySplit="1" topLeftCell="B2" activePane="bottomRight" state="frozen"/>
      <selection pane="bottomLeft" activeCell="A2" sqref="A2"/>
      <selection pane="topRight" activeCell="B1" sqref="B1"/>
      <selection pane="bottomRight" activeCell="A1" sqref="A1"/>
    </sheetView>
  </sheetViews>
  <sheetFormatPr baseColWidth="8" defaultColWidth="8.7421875" defaultRowHeight="15"/>
  <cols>
    <col width="13.98828125" customWidth="1" style="56" min="1" max="1"/>
    <col width="18.0234375" customWidth="1" style="56" min="2" max="2"/>
    <col width="9.953125" customWidth="1" style="56" min="3" max="3"/>
    <col width="14.9296875" customWidth="1" style="56" min="4" max="4"/>
    <col width="50.04296875" customWidth="1" style="56" min="5" max="5"/>
    <col width="27.98046875" customWidth="1" style="56" min="6" max="6"/>
    <col width="11.97265625" customWidth="1" style="56" min="7" max="10"/>
    <col width="22.05859375" customWidth="1" style="56" min="11" max="11"/>
    <col width="18.0234375" customWidth="1" style="56" min="12" max="12"/>
    <col width="55.01953125" customWidth="1" style="56" min="13" max="13"/>
    <col width="39.953125" customWidth="1" style="56" min="14" max="14"/>
    <col width="69.94921875" customWidth="1" style="56" min="15" max="15"/>
    <col width="11.97265625" customWidth="1" style="56" min="16" max="16"/>
    <col width="13.98828125" customWidth="1" style="56" min="17" max="18"/>
    <col width="39.953125" customWidth="1" style="56" min="19" max="20"/>
  </cols>
  <sheetData>
    <row r="1" ht="31.5" customHeight="1" s="56">
      <c r="A1" s="1" t="inlineStr">
        <is>
          <t>Name</t>
        </is>
      </c>
      <c r="B1" s="1" t="inlineStr">
        <is>
          <t>Ye Olde Name</t>
        </is>
      </c>
      <c r="C1" s="1" t="inlineStr">
        <is>
          <t>Letter</t>
        </is>
      </c>
      <c r="D1" s="1" t="inlineStr">
        <is>
          <t>Pronunciation</t>
        </is>
      </c>
      <c r="E1" s="1" t="inlineStr">
        <is>
          <t>Magical Uses</t>
        </is>
      </c>
      <c r="F1" s="1" t="inlineStr">
        <is>
          <t>Association</t>
        </is>
      </c>
      <c r="G1" s="1" t="inlineStr">
        <is>
          <t>Planet</t>
        </is>
      </c>
      <c r="H1" s="1" t="inlineStr">
        <is>
          <t>Element</t>
        </is>
      </c>
      <c r="I1" s="1" t="inlineStr">
        <is>
          <t>Energy</t>
        </is>
      </c>
      <c r="J1" s="1" t="inlineStr">
        <is>
          <t>Day</t>
        </is>
      </c>
      <c r="K1" s="1" t="inlineStr">
        <is>
          <t>Deity</t>
        </is>
      </c>
      <c r="L1" s="1" t="inlineStr">
        <is>
          <t>Sabbat</t>
        </is>
      </c>
      <c r="M1" s="1" t="inlineStr">
        <is>
          <t>Folk Lore</t>
        </is>
      </c>
      <c r="N1" s="1" t="inlineStr">
        <is>
          <t>Powers</t>
        </is>
      </c>
      <c r="O1" s="1" t="inlineStr">
        <is>
          <t>Description</t>
        </is>
      </c>
      <c r="P1" s="1" t="inlineStr">
        <is>
          <t>Runic Number</t>
        </is>
      </c>
      <c r="Q1" s="1" t="inlineStr">
        <is>
          <t>Color</t>
        </is>
      </c>
      <c r="R1" s="1" t="inlineStr">
        <is>
          <t>Tree</t>
        </is>
      </c>
      <c r="S1" s="1" t="inlineStr">
        <is>
          <t>Associated Herbs</t>
        </is>
      </c>
      <c r="T1" s="1" t="inlineStr">
        <is>
          <t>Associated Crystals</t>
        </is>
      </c>
      <c r="U1" s="41" t="inlineStr">
        <is>
          <t>Greenman Energy — Main</t>
        </is>
      </c>
      <c r="V1" t="inlineStr">
        <is>
          <t>Greenman Energy — Draw</t>
        </is>
      </c>
      <c r="W1" t="inlineStr">
        <is>
          <t>Greenman Energy — Hold</t>
        </is>
      </c>
      <c r="X1" t="inlineStr">
        <is>
          <t>Greenman Energy — Release</t>
        </is>
      </c>
      <c r="Y1" t="inlineStr">
        <is>
          <t>Greenman Energy — Open / Reveal</t>
        </is>
      </c>
      <c r="Z1" t="inlineStr">
        <is>
          <t>Greenman Energy — Transform / Turn</t>
        </is>
      </c>
      <c r="AA1" t="inlineStr">
        <is>
          <t>Greenman Energy — Over 18</t>
        </is>
      </c>
    </row>
    <row r="2" ht="49.5" customHeight="1" s="56">
      <c r="A2" s="2" t="inlineStr">
        <is>
          <t>FEHU</t>
        </is>
      </c>
      <c r="B2" s="2" t="inlineStr">
        <is>
          <t>Fe, Faihu, Fé, Feh, Feo</t>
        </is>
      </c>
      <c r="C2" s="2" t="inlineStr">
        <is>
          <t>F</t>
        </is>
      </c>
      <c r="D2" s="2" t="inlineStr">
        <is>
          <t>Fay-who</t>
        </is>
      </c>
      <c r="E2" s="3" t="inlineStr">
        <is>
          <t>Increasing wealth, Prosperity, Anti-theft, Fortune, Luck, New beginnings, Confidence, Sun God offerings, Attraction,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Preventing theft, Protection against theft, Spell-breaking, Reversing harmful spells, Breaking spells, Hex breaking, Removing hexes, Removing curses, Removing jinxes, Removing bad luck, Breaking hexes, Returning hexes, hex-breaking, Removing hexes and curses, Removing a jinx, Good luck, Good luck in family matters, Casino luck, WISHES, Wish magick, Carrying wishes, Transmuting wishes,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Attracting a mate, Attracting a soulmate, Conjuring a lover, HELP ATTRACT OPPOSITE SEX, Finding future love</t>
        </is>
      </c>
      <c r="F2" s="3" t="inlineStr">
        <is>
          <t>Frey, Freyja, Fertility</t>
        </is>
      </c>
      <c r="G2" s="2" t="inlineStr">
        <is>
          <t>Aries</t>
        </is>
      </c>
      <c r="H2" s="2" t="inlineStr">
        <is>
          <t>Fire and Earth</t>
        </is>
      </c>
      <c r="I2" s="2" t="inlineStr">
        <is>
          <t>Female</t>
        </is>
      </c>
      <c r="J2" s="2" t="inlineStr">
        <is>
          <t>Friday</t>
        </is>
      </c>
      <c r="K2" s="2" t="inlineStr">
        <is>
          <t>Frey, Freyja</t>
        </is>
      </c>
      <c r="L2" s="3" t="inlineStr">
        <is>
          <t>BELTANE</t>
        </is>
      </c>
      <c r="M2" s="3" t="inlineStr">
        <is>
          <t>Reward, Wealth, Nourishment. Fehu means cattle, a measure of wealth to the ancients. Today Fehu means movable wealth, such as money and possessions. It also implies the energy and hard work that leads to wealth. Fehu can mean emotional and spiritual riches, as well as money.</t>
        </is>
      </c>
      <c r="N2" s="3" t="inlineStr">
        <is>
          <t>Realized ambition. Good health. Wealth. Love fulfilled. Good fortune. Show charity and compassion.</t>
        </is>
      </c>
      <c r="O2" s="3" t="inlineStr">
        <is>
          <t>Fehu is Frey's rune, and he is the god of fertility, itself a form of wealth. It is a rune of unselfish abundance. Let it shine forth to lighten your path and the paths of others. You will never run out of your spiritual richness, but don't waste it on those who will abuse it. Discernment is important.</t>
        </is>
      </c>
      <c r="P2" s="2" t="inlineStr">
        <is>
          <t>1</t>
        </is>
      </c>
      <c r="Q2" s="2" t="inlineStr">
        <is>
          <t>Light Red</t>
        </is>
      </c>
      <c r="R2" s="2" t="inlineStr">
        <is>
          <t>Elder</t>
        </is>
      </c>
      <c r="S2" s="3" t="inlineStr">
        <is>
          <t>Basil, Cinnamon, Chamomile, Apple Blossom, Black Tea</t>
        </is>
      </c>
      <c r="T2" s="3" t="inlineStr">
        <is>
          <t>Citrine, Aventurine, Amazonite, Carnelian, Clear Quartz</t>
        </is>
      </c>
      <c r="U2" s="42" t="inlineStr">
        <is>
          <t>First light on moving cattle, wealth that breathes and stirs. The Elder rune cut in light red — Frey's own mark. Wealth that must circulate to live; abundance that generates more abundance when it moves. The rune of the generous harvest, the overflowing cup, the beginning that carries everything forward.</t>
        </is>
      </c>
      <c r="V2" t="inlineStr">
        <is>
          <t>Prosperity, luck, new beginnings and attraction drawn — the rune of moving wealth.</t>
        </is>
      </c>
      <c r="W2" t="inlineStr">
        <is>
          <t>Confidence and the will to work toward good health and fulfilled ambition.</t>
        </is>
      </c>
      <c r="X2" t="inlineStr">
        <is>
          <t>None specified.</t>
        </is>
      </c>
      <c r="Y2" t="inlineStr">
        <is>
          <t>Opens the deeper current of abundance — where prosperity must first be seen as possible before it can arrive.</t>
        </is>
      </c>
      <c r="Z2" t="inlineStr">
        <is>
          <t>Turns through new beginnings seeded in existing abundance — the rune that feeds what must grow next.</t>
        </is>
      </c>
      <c r="AA2" t="inlineStr">
        <is>
          <t>Fehu in its most intimate aspect — the fertility and generative energy that underlies the wealth-magic also runs through the workings of physical union. The fire and earth rune of what generates new life.</t>
        </is>
      </c>
    </row>
    <row r="3" ht="61.5" customHeight="1" s="56">
      <c r="A3" s="4" t="inlineStr">
        <is>
          <t>URUZ</t>
        </is>
      </c>
      <c r="B3" s="4" t="inlineStr">
        <is>
          <t>Ur, Uraz, Urs, Urur, Urus</t>
        </is>
      </c>
      <c r="C3" s="4" t="inlineStr">
        <is>
          <t>U/OO</t>
        </is>
      </c>
      <c r="D3" s="4" t="inlineStr">
        <is>
          <t>Oor-ooze</t>
        </is>
      </c>
      <c r="E3" s="5" t="inlineStr">
        <is>
          <t>Strength, Bolstering spells, Healing, Confidence, Protection, Fertility, Fruitfulness, Physical Strength, Fortitude, Vitality, Inner power, and strength, Magical power, Increasing magical power, Increasing spell power, Power amplification, Bolstering incense, Strengthening spells, Potency, Power, Magic, WISDOM IN MAGICK, defensive magic, Healing magic, Healing spells, Healing sachets, Healing incenses, Healing mixtures, Healing rituals, Healing incense, Healing vibrations, healing after surgery, Aiding recovery, Aiding the ill, Improving health, Speeding recovery, Good health, health, Self-confidence, Courage, Bravery, Determination, Will Power, Leadership, Leadership skills, Commanding, Personal power, Protective charm, Protective charms, Protective sachets, Protective wreaths, Protective incense, PROTECT AGAINST NEGATIVITY, Protection from negativity, Circle protection, Female fertility, Fertility magic, Fertility charms, Aiding fertility, Increasing fertility,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F3" s="5" t="inlineStr">
        <is>
          <t>Thor, Urdl, Raw power</t>
        </is>
      </c>
      <c r="G3" s="4" t="inlineStr">
        <is>
          <t>Taurus</t>
        </is>
      </c>
      <c r="H3" s="4" t="inlineStr">
        <is>
          <t>Earth</t>
        </is>
      </c>
      <c r="I3" s="4" t="inlineStr">
        <is>
          <t>Male</t>
        </is>
      </c>
      <c r="J3" s="4" t="inlineStr">
        <is>
          <t>Tuesday</t>
        </is>
      </c>
      <c r="K3" s="4" t="inlineStr">
        <is>
          <t>Thor, Urdl</t>
        </is>
      </c>
      <c r="L3" s="5" t="inlineStr">
        <is>
          <t>BELTANE, LITHA</t>
        </is>
      </c>
      <c r="M3" s="5" t="inlineStr">
        <is>
          <t>For a man - male virility, manhood. For a woman - fertility, femininity, womanhood. Uruz encompasses physical strength, endurance, courage, and the raw, wild power of freedom. It includes emotional and spiritual strength, male sexual potency, and good health. It can also imply a challenge leading to a major life change.</t>
        </is>
      </c>
      <c r="N3" s="5" t="inlineStr">
        <is>
          <t>Terminations, new beginnings. An opportunity disguised as a threat. Mental agility. Physical development, mental and bodily health. Power.</t>
        </is>
      </c>
      <c r="O3" s="5" t="inlineStr">
        <is>
          <t>You have the strength within you to fulfill all your dreams, but with strength comes responsibility. Strength is not a force to wield over others, but a force to stop others exerting power over you. Use your strength to keep focused on your path and to stop yourself being outmaneuvered. There will always be negative people, but don't let them upset you. Master your own ego and you will succeed.</t>
        </is>
      </c>
      <c r="P3" s="4" t="inlineStr">
        <is>
          <t>2</t>
        </is>
      </c>
      <c r="Q3" s="4" t="inlineStr">
        <is>
          <t>Dark Green</t>
        </is>
      </c>
      <c r="R3" s="4" t="inlineStr">
        <is>
          <t>Birch</t>
        </is>
      </c>
      <c r="S3" s="5" t="inlineStr">
        <is>
          <t>Comfrey, Calamus Root, Blackberry Leaves, Cedarwood, Chive</t>
        </is>
      </c>
      <c r="T3" s="5" t="inlineStr">
        <is>
          <t>Bloodstone, Garnet, Carnelian, Ametrine, Apache Tears</t>
        </is>
      </c>
      <c r="U3" s="42" t="inlineStr">
        <is>
          <t>The dark green of the birch in spring — the aurochs rune of raw physical strength and the primal force of untamed nature. For men, the rune of virility; for women, the rune of fertility. An opportunity disguised as a threat. The power that comes when what was wild is faced without flinching.</t>
        </is>
      </c>
      <c r="V3" t="inlineStr">
        <is>
          <t>Fertility and new beginnings drawn — uruz where what must be born requires primal force.</t>
        </is>
      </c>
      <c r="W3" t="inlineStr">
        <is>
          <t>Strength, healing, confidence and protection — the rune held in workings of power and physical endurance.</t>
        </is>
      </c>
      <c r="X3" t="inlineStr">
        <is>
          <t>None specified.</t>
        </is>
      </c>
      <c r="Y3" t="inlineStr">
        <is>
          <t>Opens the deeper strength — where the opportunity inside the apparent threat must be seen.</t>
        </is>
      </c>
      <c r="Z3" t="inlineStr">
        <is>
          <t>Turns through the building of strength and the healing that primal force enables.</t>
        </is>
      </c>
      <c r="AA3" t="inlineStr">
        <is>
          <t>The aurochs rune of raw physical vitality — where virility and fertility are the working in their most direct sense, uruz carries the primal strength of the body's generative force.</t>
        </is>
      </c>
    </row>
    <row r="4" ht="74.25" customHeight="1" s="56">
      <c r="A4" s="2" t="inlineStr">
        <is>
          <t>THURISAZ</t>
        </is>
      </c>
      <c r="B4" s="2" t="inlineStr">
        <is>
          <t>Thurs, Thuith, Thurisa, Thurisar, Thorunisaz, Thyth</t>
        </is>
      </c>
      <c r="C4" s="2" t="inlineStr">
        <is>
          <t>TH</t>
        </is>
      </c>
      <c r="D4" s="2" t="inlineStr">
        <is>
          <t>Thor-ee-sawz</t>
        </is>
      </c>
      <c r="E4" s="3" t="inlineStr">
        <is>
          <t>Protection, Protection (hexes/evil), Banishing, Warding, Exorcism, Magical power, Strength,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Increasing magical power, Increasing spell power, Power amplification, Bolstering spells, Bolstering incense, Strengthening spells, Potency, Power, Magic, WISDOM IN MAGICK, defensive magic, Physical Strength, Fortitude, Vitality, Inner power, and strength</t>
        </is>
      </c>
      <c r="F4" s="3" t="inlineStr">
        <is>
          <t>Thor, Chaos, Protection through strength</t>
        </is>
      </c>
      <c r="G4" s="2" t="inlineStr">
        <is>
          <t>Mars</t>
        </is>
      </c>
      <c r="H4" s="2" t="inlineStr">
        <is>
          <t>Fire</t>
        </is>
      </c>
      <c r="I4" s="2" t="inlineStr">
        <is>
          <t>Male</t>
        </is>
      </c>
      <c r="J4" s="2" t="inlineStr">
        <is>
          <t>Thursday</t>
        </is>
      </c>
      <c r="K4" s="2" t="inlineStr">
        <is>
          <t>Thor</t>
        </is>
      </c>
      <c r="L4" s="3" t="inlineStr">
        <is>
          <t>BELTANE</t>
        </is>
      </c>
      <c r="M4" s="3" t="inlineStr">
        <is>
          <t>Threats from persons of power or position. Resist temptations which offer reward through dishonesty or trickery. Heed the omen of dishonour or physical harm. The energy of Thurisaz can be used for good or for chaos. It represents the forces of the human psyche, including anger and lust. The thorn is a symbolic weapon. It can pierce, stab or tear. But it can also be protective, like a thorny hedge.</t>
        </is>
      </c>
      <c r="N4" s="3" t="inlineStr">
        <is>
          <t>Magical power, the forces of chaos or of evil. Temptation. A Warning. Protective barrier.</t>
        </is>
      </c>
      <c r="O4" s="3" t="inlineStr">
        <is>
          <t>You have the power within you to face anything. Fear nothing, for you have the authority to claim your destiny. Let no one deter you from your search for the truth. Spiritual authority brings power and it is up to you to use that power in an unselfish and loving way. Power can corrupt if you do not have a true and honest heart.</t>
        </is>
      </c>
      <c r="P4" s="2" t="inlineStr">
        <is>
          <t>3</t>
        </is>
      </c>
      <c r="Q4" s="2" t="inlineStr">
        <is>
          <t>Bright Red</t>
        </is>
      </c>
      <c r="R4" s="2" t="inlineStr">
        <is>
          <t>Blackthorn (sloe)</t>
        </is>
      </c>
      <c r="S4" s="3" t="inlineStr">
        <is>
          <t>Cedarwood, Cloves, Bay Laurel, Camph, Cinnamon</t>
        </is>
      </c>
      <c r="T4" s="3" t="inlineStr">
        <is>
          <t>Apache Tears, Flu, ite, Clear Quartz, Garnet, Bloodstone</t>
        </is>
      </c>
      <c r="U4" s="42" t="inlineStr">
        <is>
          <t>The bright red thorn rune — Blackthorn in flower, the chaos force that guards what it surrounds. Named for the Norse giant-forces that both challenge and protect. The rune that creates a protective barrier of such force that what approaches must reconsider. Used against hexes and evil with the directness of a thorn.</t>
        </is>
      </c>
      <c r="V4" t="inlineStr">
        <is>
          <t>None specified — thurisaz works primarily in protection and release.</t>
        </is>
      </c>
      <c r="W4" t="inlineStr">
        <is>
          <t>Protection, warding and magical power — the thorn rune held firm.</t>
        </is>
      </c>
      <c r="X4" t="inlineStr">
        <is>
          <t>Banishing and exorcism — the thorn-force driving what must leave.</t>
        </is>
      </c>
      <c r="Y4" t="inlineStr">
        <is>
          <t>Opens the hidden protection — where what is threatening must be seen before the thorn can do its work.</t>
        </is>
      </c>
      <c r="Z4" t="inlineStr">
        <is>
          <t>Turns through banishing — the thorn-rune clearing what the working cannot carry forward.</t>
        </is>
      </c>
      <c r="AA4" t="inlineStr">
        <is>
          <t>The thorn rune in its most protective Over 18 function — where the working requires a barrier that will genuinely stop what is approaching, thurisaz creates a protection of such force that what intends harm must reconsider before it gets close enough to attempt it.</t>
        </is>
      </c>
    </row>
    <row r="5" ht="74.25" customHeight="1" s="56">
      <c r="A5" s="4" t="inlineStr">
        <is>
          <t>ANSUZ</t>
        </is>
      </c>
      <c r="B5" s="4" t="inlineStr">
        <is>
          <t>Ass, Aesir, Ansur, Ansus, As, Aza, Easc, Oss</t>
        </is>
      </c>
      <c r="C5" s="4" t="inlineStr">
        <is>
          <t>A</t>
        </is>
      </c>
      <c r="D5" s="4" t="inlineStr">
        <is>
          <t>Awn-sooze</t>
        </is>
      </c>
      <c r="E5" s="5" t="inlineStr">
        <is>
          <t>Divination, Prophetic dreams, Communication, Wisdom, Clairvoyance, Star magick, Truth, Enhancing divination, Divinatory incense, Foretelling the future, Future divination, Scrying, Dowsing, Prophecy, Invoking dreams, Dream work, Dreams, Visions, Seeing the unseen, Seeing manifestations, Honesty, Removing deception, Subconscious work, Digging into the subconscious, Uprooting what is hidden, Treasure seeking, Lost object finding,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F5" s="5" t="inlineStr">
        <is>
          <t>Odin, Loki, Eostre, Divine communication</t>
        </is>
      </c>
      <c r="G5" s="4" t="inlineStr">
        <is>
          <t>Venus</t>
        </is>
      </c>
      <c r="H5" s="4" t="inlineStr">
        <is>
          <t>Air</t>
        </is>
      </c>
      <c r="I5" s="4" t="inlineStr">
        <is>
          <t>Male</t>
        </is>
      </c>
      <c r="J5" s="4" t="inlineStr">
        <is>
          <t>Wednesday</t>
        </is>
      </c>
      <c r="K5" s="4" t="inlineStr">
        <is>
          <t>Odin, Loki, Eostre</t>
        </is>
      </c>
      <c r="L5" s="5" t="inlineStr">
        <is>
          <t>OSTARA</t>
        </is>
      </c>
      <c r="M5" s="5" t="inlineStr">
        <is>
          <t>Ansuz is primarily Odin's rune and represents communication, creativity, controlled and divine power. Spiritually, it is the rune of prophecy and revelation. It also encompasses the ideas of wisdom, knowledge, reason, and therefore of instruction and good advice. It might also refer to a test, examination, or perhaps an interview. It can mean a letter, book, paper, message or other information.</t>
        </is>
      </c>
      <c r="N5" s="5" t="inlineStr">
        <is>
          <t>Knowledge. Wisdom. Communication. The mouth. A message. Divine power and revelation.</t>
        </is>
      </c>
      <c r="O5" s="5" t="inlineStr">
        <is>
          <t>The answers to questions are available but not yet recognized. Look for signs and confirmations which are all around. Everything has significance and appreciation of this will lead to understanding. Ensure you don't ignore the message because you don't like the content. All experience is a lesson that teaches by acknowledging the truth knowledge and wisdom will increase.</t>
        </is>
      </c>
      <c r="P5" s="4" t="inlineStr">
        <is>
          <t>4</t>
        </is>
      </c>
      <c r="Q5" s="4" t="inlineStr">
        <is>
          <t>Dark Blue</t>
        </is>
      </c>
      <c r="R5" s="4" t="inlineStr">
        <is>
          <t>Ash</t>
        </is>
      </c>
      <c r="S5" s="5" t="inlineStr">
        <is>
          <t>Anise, Bay Laurel, Camph, Coltsfoot, Cinnamon</t>
        </is>
      </c>
      <c r="T5" s="5" t="inlineStr">
        <is>
          <t>Amethyst, Flu, ite, Clear Quartz, Ametrine, Emerald</t>
        </is>
      </c>
      <c r="U5" s="42" t="inlineStr">
        <is>
          <t>The dark blue ash rune — primarily Odin's own mark, the rune of communication and the mouth. Associated with the gift of poetry, of eloquence and the breath that carries words with power. Where divine communication must come through clearly, ansuz is the channel. The rune of the inspired message.</t>
        </is>
      </c>
      <c r="V5" t="inlineStr">
        <is>
          <t>None specified — ansuz works primarily in opening and wisdom.</t>
        </is>
      </c>
      <c r="W5" t="inlineStr">
        <is>
          <t>Wisdom, truth and the knowledge that comes through divine communication.</t>
        </is>
      </c>
      <c r="X5" t="inlineStr">
        <is>
          <t>None specified.</t>
        </is>
      </c>
      <c r="Y5" t="inlineStr">
        <is>
          <t>Opens divination and prophetic dreams — ansuz the primary divination rune, the channel through which the message comes.</t>
        </is>
      </c>
      <c r="Z5" t="inlineStr">
        <is>
          <t>Turns through the movement of divine communication into worldly action — what was spoken must now be lived.</t>
        </is>
      </c>
      <c r="AA5" t="inlineStr">
        <is>
          <t>The mouth rune in its most Over 18 honest function — where what must be communicated is the thing that has never been said, ansuz opens the channel for the divine inspiration that allows the unspeakable to be spoken without damage.</t>
        </is>
      </c>
    </row>
    <row r="6" ht="74.25" customHeight="1" s="56">
      <c r="A6" s="2" t="inlineStr">
        <is>
          <t>RAIDO</t>
        </is>
      </c>
      <c r="B6" s="2" t="inlineStr">
        <is>
          <t>Reid, Radh, Raidha, Raidho, Raidu, Reda, Reidr, Reidh, Reidthr</t>
        </is>
      </c>
      <c r="C6" s="2" t="inlineStr">
        <is>
          <t>R</t>
        </is>
      </c>
      <c r="D6" s="2" t="inlineStr">
        <is>
          <t>Rye-doh</t>
        </is>
      </c>
      <c r="E6" s="3" t="inlineStr">
        <is>
          <t>Journey spells, New beginnings, Movement, Cycles, Luck, Progress,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F6" s="3" t="inlineStr">
        <is>
          <t>Ing, Nerthus, Travel, Cycles</t>
        </is>
      </c>
      <c r="G6" s="2" t="inlineStr">
        <is>
          <t>Sagittarius</t>
        </is>
      </c>
      <c r="H6" s="2" t="inlineStr">
        <is>
          <t>Air</t>
        </is>
      </c>
      <c r="I6" s="2" t="inlineStr">
        <is>
          <t>Male</t>
        </is>
      </c>
      <c r="J6" s="2" t="inlineStr">
        <is>
          <t>Thursday</t>
        </is>
      </c>
      <c r="K6" s="2" t="inlineStr">
        <is>
          <t>Ing, Nerthus</t>
        </is>
      </c>
      <c r="L6" s="3" t="inlineStr">
        <is>
          <t>SAMHAIN, YULE</t>
        </is>
      </c>
      <c r="M6" s="3" t="inlineStr">
        <is>
          <t>Raido can mean wheel, ride, or travel, but it also has a deeper meaning. Riding a horse includes both movement and direction. A journey can be long and arduous, requiring planning, foresight, determination, and fortitude. Raido can therefore refer to the journey of life (the wheel of life), or to a spiritual quest. Raido might also mean transport or communication, such as delivering or receiving a message.</t>
        </is>
      </c>
      <c r="N6" s="3" t="inlineStr">
        <is>
          <t>Travel is indicated. New friends or old friends return. Jobs connected with transport or overseas locations.</t>
        </is>
      </c>
      <c r="O6" s="3" t="inlineStr">
        <is>
          <t>Recognize that everything comes in cycles and that by following them you will progress quickly and efficiently. Align your lifestyle to the seasons and honor the turning of the year. Embrace hard times knowing that the harder it is now, the easier it will get in the future. Everything has its opposite, and challenges bring equal and opposite rewards.</t>
        </is>
      </c>
      <c r="P6" s="2" t="inlineStr">
        <is>
          <t>5</t>
        </is>
      </c>
      <c r="Q6" s="2" t="inlineStr">
        <is>
          <t>Bright Red</t>
        </is>
      </c>
      <c r="R6" s="2" t="inlineStr">
        <is>
          <t>Oak</t>
        </is>
      </c>
      <c r="S6" s="3" t="inlineStr">
        <is>
          <t>Comfrey, Cedarwood, Blackberry Leaves, Chamomile, Cinnamon</t>
        </is>
      </c>
      <c r="T6" s="3" t="inlineStr">
        <is>
          <t>Amazonite, Aventurine, Clear Quartz, Carnelian, Bloodstone</t>
        </is>
      </c>
      <c r="U6" s="42" t="inlineStr">
        <is>
          <t>The bright red oak rune of the wheel and the journey — the road as a cyclical reality, the travel that is also a turning. Movement, progress and the understanding that the wheel always returns to where it began. The rune of those who are on their way toward something and who need the luck of the road.</t>
        </is>
      </c>
      <c r="V6" t="inlineStr">
        <is>
          <t>New beginnings, luck and harmony drawn — raido for those setting out.</t>
        </is>
      </c>
      <c r="W6" t="inlineStr">
        <is>
          <t>None specified.</t>
        </is>
      </c>
      <c r="X6" t="inlineStr">
        <is>
          <t>None specified.</t>
        </is>
      </c>
      <c r="Y6" t="inlineStr">
        <is>
          <t>Opens the deeper meaning of the journey — where what the road is teaching must be understood.</t>
        </is>
      </c>
      <c r="Z6" t="inlineStr">
        <is>
          <t>Turns through new beginnings and the movement from one chapter into the next.</t>
        </is>
      </c>
      <c r="AA6" t="inlineStr">
        <is>
          <t>The journey rune in its deepest function — where the journey being undertaken is not physical but the movement through a significant transition that changes what one is on the other side of it, raido provides the momentum and the road.</t>
        </is>
      </c>
    </row>
    <row r="7" ht="110.25" customHeight="1" s="56">
      <c r="A7" s="4" t="inlineStr">
        <is>
          <t>KAUNO</t>
        </is>
      </c>
      <c r="B7" s="4" t="inlineStr">
        <is>
          <t>Kaunaz, Kaun, Chozma, Kano, Kauna, Kaunan, Kaunaz, Kenaz, Kusmas</t>
        </is>
      </c>
      <c r="C7" s="4" t="inlineStr">
        <is>
          <t>K/C</t>
        </is>
      </c>
      <c r="D7" s="4" t="inlineStr">
        <is>
          <t>Cow-noh</t>
        </is>
      </c>
      <c r="E7" s="5" t="inlineStr">
        <is>
          <t>Fire magick, Enlightenment, Illumination, Clarity, Healing, Dispelling sickness, Inspiration, Wisdom, Knowledge, Intelligence, Intuition, Mental clarity, Sharpening the wits, Sharpening the brain, Mental powers, MEM, Memory, Concentration, Focus, Healing magic, Healing spells, Healing sachets, Healing incenses, Healing mixtures, Healing rituals, Healing incense, Healing vibrations, healing after surgery, Aiding recovery, Aiding the ill, Improving health, Speeding recovery, Good health, health,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t>
        </is>
      </c>
      <c r="F7" s="5" t="inlineStr">
        <is>
          <t>Heimdall, Freyja, Frey, Fire, Enlightenment</t>
        </is>
      </c>
      <c r="G7" s="4" t="inlineStr">
        <is>
          <t>Venus</t>
        </is>
      </c>
      <c r="H7" s="4" t="inlineStr">
        <is>
          <t>Fire</t>
        </is>
      </c>
      <c r="I7" s="4" t="inlineStr">
        <is>
          <t>Female</t>
        </is>
      </c>
      <c r="J7" s="4" t="inlineStr">
        <is>
          <t>Friday</t>
        </is>
      </c>
      <c r="K7" s="4" t="inlineStr">
        <is>
          <t>Heimdall, Freyja, Frey</t>
        </is>
      </c>
      <c r="L7" s="5" t="inlineStr">
        <is>
          <t>BELTANE</t>
        </is>
      </c>
      <c r="M7" s="5" t="inlineStr">
        <is>
          <t>In its rather suspect "ulcer" translation it can represent a doorway or portal leading from darkness to light. It could also be taken as a warning to beware sources of heat or light, or of physical danger. Kauno's main significance is related to fire, light, warmth, enlightenment and knowledge. It sheds light on the path, dispels the dark shadows of ignorance, and helps us to see with true discernment. It suggests that understanding must lead to action, and light in the darkness implies spiritual illumination. Kauno also represents the natural warmth and companionship of the home fire and thus, good health.</t>
        </is>
      </c>
      <c r="N7" s="5" t="inlineStr">
        <is>
          <t>Light, warmth, enlightenment and knowledge. Understanding must lead to action.</t>
        </is>
      </c>
      <c r="O7" s="5" t="inlineStr">
        <is>
          <t>You are coming into a new understanding of life and its meaning. New insights await, but don't be complacent. Use this new understanding or it will be worthless. Look for ways to use your insights for the good of yourself and others. Enlightenment is replenishable. The more you use, the more knowledge you gain. Enlightenment itself is not the goal, it is just the starting point of a great adventure that will show you great wisdom and understanding if you proceed with truth and honesty.</t>
        </is>
      </c>
      <c r="P7" s="4" t="inlineStr">
        <is>
          <t>6</t>
        </is>
      </c>
      <c r="Q7" s="4" t="inlineStr">
        <is>
          <t>Light Red</t>
        </is>
      </c>
      <c r="R7" s="4" t="inlineStr">
        <is>
          <t>Pine</t>
        </is>
      </c>
      <c r="S7" s="5" t="inlineStr">
        <is>
          <t>Cinnamon, Bay Laurel, Chamomile, Camph, Cloves</t>
        </is>
      </c>
      <c r="T7" s="5" t="inlineStr">
        <is>
          <t>Carnelian, Citrine, Ametrine, Clear Quartz, Chrysocolla</t>
        </is>
      </c>
      <c r="U7" s="42" t="inlineStr">
        <is>
          <t>The light red pine rune of fire, enlightenment and the torch held in the dark. The ulcer rune that can be dangerous — in its reversed sense it speaks of what has been hidden and now festers. In its bright sense it is the illumination that heals: the understanding that leads to action, the clarity that dispels sickness.</t>
        </is>
      </c>
      <c r="V7" t="inlineStr">
        <is>
          <t>None specified — kauno works primarily in illumination and healing.</t>
        </is>
      </c>
      <c r="W7" t="inlineStr">
        <is>
          <t>Clarity and healing — the torch held steady in the dark of the working.</t>
        </is>
      </c>
      <c r="X7" t="inlineStr">
        <is>
          <t>Dispelling sickness — where what was hidden in the dark must be brought into the light.</t>
        </is>
      </c>
      <c r="Y7" t="inlineStr">
        <is>
          <t>Opens enlightenment and the knowledge that understanding must lead to action — the rune that shows the way.</t>
        </is>
      </c>
      <c r="Z7" t="inlineStr">
        <is>
          <t>Turns through healing and the dispelling of what sickness had obscured.</t>
        </is>
      </c>
      <c r="AA7" t="inlineStr">
        <is>
          <t>The torch rune in its most illuminating Over 18 function — where what must be lit up is not comfortable to look at, the kenaz torch is the one held steady while the examination happens regardless of what it finds.</t>
        </is>
      </c>
    </row>
    <row r="8" ht="98.25" customHeight="1" s="56">
      <c r="A8" s="2" t="inlineStr">
        <is>
          <t>GEBO</t>
        </is>
      </c>
      <c r="B8" s="2" t="inlineStr">
        <is>
          <t>Gyfu, Gebu, Geuua, Geofu, Giba, Gifu, Gipt, Giof, Gjof</t>
        </is>
      </c>
      <c r="C8" s="2" t="inlineStr">
        <is>
          <t>G</t>
        </is>
      </c>
      <c r="D8" s="2" t="inlineStr">
        <is>
          <t>Ghay-bow</t>
        </is>
      </c>
      <c r="E8" s="3" t="inlineStr">
        <is>
          <t>Love spells, Love rituals, Love, Gift-giving, Anti-theft, Harmony, Attraction, Peace,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Preventing theft, Protection against theft, Attracting a mate, Attracting a soulmate, Conjuring a lover, HELP ATTRACT OPPOSITE SEX, Finding future love</t>
        </is>
      </c>
      <c r="F8" s="3" t="inlineStr">
        <is>
          <t>Odin, Gefn, Generosity, Exchange</t>
        </is>
      </c>
      <c r="G8" s="2" t="inlineStr">
        <is>
          <t>Pisces</t>
        </is>
      </c>
      <c r="H8" s="2" t="inlineStr">
        <is>
          <t>Air</t>
        </is>
      </c>
      <c r="I8" s="2" t="inlineStr">
        <is>
          <t>Male &amp; Female</t>
        </is>
      </c>
      <c r="J8" s="2" t="inlineStr">
        <is>
          <t>Friday</t>
        </is>
      </c>
      <c r="K8" s="2" t="inlineStr">
        <is>
          <t>Odin, Gefn</t>
        </is>
      </c>
      <c r="L8" s="3" t="inlineStr">
        <is>
          <t>IMBOLC, OSTARA</t>
        </is>
      </c>
      <c r="M8" s="3" t="inlineStr">
        <is>
          <t>Gebo - rune number 7 - is the origin of our "lucky seven" superstition. It represents a gift, whether it is a present, an attribute, a certain skill or ability. To the ancients, a gift always called for another in return. So accepting a gift places you under an obligation to the giver - the gods, destiny, another person. Gebo can also mean a partnership or union, in business or in love. Or it can mean forgiveness - perhaps the greatest gift of all - to give or to receive. Gebo is commonly used as the sign of a kiss -the symbol of affection.</t>
        </is>
      </c>
      <c r="N8" s="3" t="inlineStr">
        <is>
          <t>Generosity in men is to honour and praise and dignity a prop.</t>
        </is>
      </c>
      <c r="O8" s="3" t="inlineStr">
        <is>
          <t>A gift presents you with the choice of acceptance or rejection. If you accept you must be prepared to give in return. Everything has its price, but with spiritual gifts the cost is always worth it in the end. You must find the balance between giving and receiving and learn to give responsibly. This means deciding when to give and who to give to as it is not appropriate to give to everyone indiscriminately.</t>
        </is>
      </c>
      <c r="P8" s="2" t="inlineStr">
        <is>
          <t>7</t>
        </is>
      </c>
      <c r="Q8" s="2" t="inlineStr">
        <is>
          <t>Dark Blue</t>
        </is>
      </c>
      <c r="R8" s="2" t="inlineStr">
        <is>
          <t>Elm</t>
        </is>
      </c>
      <c r="S8" s="3" t="inlineStr">
        <is>
          <t>Apple Blossom, Basil, Clover, Red Clover, Chamomile</t>
        </is>
      </c>
      <c r="T8" s="3" t="inlineStr">
        <is>
          <t>Chrysocolla, Emerald, Amazonite, Aventurine, Amethyst</t>
        </is>
      </c>
      <c r="U8" s="42" t="inlineStr">
        <is>
          <t>The dark blue elm rune of the gift — Gebo is the origin of lucky seven, the rune of exchange and balance between people. Love magic, gift-giving and the sacred exchange between those who work together. Where a gift must be given in love magic or where balance between two people must be restored, gebo is the rune that holds the shape of genuine exchange.</t>
        </is>
      </c>
      <c r="V8" t="inlineStr">
        <is>
          <t>Love spells, love rituals, love and attraction drawn — gebo the love rune.</t>
        </is>
      </c>
      <c r="W8" t="inlineStr">
        <is>
          <t>None specified.</t>
        </is>
      </c>
      <c r="X8" t="inlineStr">
        <is>
          <t>None specified.</t>
        </is>
      </c>
      <c r="Y8" t="inlineStr">
        <is>
          <t>Opens the deeper meaning of gift-giving — where love must be given, not compelled, and the exchange must be genuine.</t>
        </is>
      </c>
      <c r="Z8" t="inlineStr">
        <is>
          <t>Turns through love — the gift given freely, the relationship moving toward something balanced and true.</t>
        </is>
      </c>
      <c r="AA8" t="inlineStr">
        <is>
          <t>The gift rune in its most complete sacred exchange function — where what is being exchanged in the working is the genuine gift of the self in love, gebo holds the shape of that exchange with the seriousness it deserves.</t>
        </is>
      </c>
    </row>
    <row r="9" ht="86.25" customHeight="1" s="56">
      <c r="A9" s="4" t="inlineStr">
        <is>
          <t>WUNJO</t>
        </is>
      </c>
      <c r="B9" s="4" t="inlineStr">
        <is>
          <t>Wyn, Vend, Vin, Uinne, Winja, Wungo, Wunja, Wunju</t>
        </is>
      </c>
      <c r="C9" s="4" t="inlineStr">
        <is>
          <t>W/V</t>
        </is>
      </c>
      <c r="D9" s="4" t="inlineStr">
        <is>
          <t>Vun-yoh</t>
        </is>
      </c>
      <c r="E9" s="5" t="inlineStr">
        <is>
          <t>Happiness, Prosperity, Harmony, Love, Celebration, Confidence, Luck, Joy, Joyous celebrations, Contentment, Serenity, Ensuring joy in the home, PEACE &amp; HAPPINESS,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Self-confidence, Courage,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t>
        </is>
      </c>
      <c r="F9" s="5" t="inlineStr">
        <is>
          <t>Odin, Frigg, Delight, Satisfaction</t>
        </is>
      </c>
      <c r="G9" s="4" t="inlineStr">
        <is>
          <t>Leo</t>
        </is>
      </c>
      <c r="H9" s="4" t="inlineStr">
        <is>
          <t>Ice (Water)</t>
        </is>
      </c>
      <c r="I9" s="4" t="inlineStr">
        <is>
          <t>Male</t>
        </is>
      </c>
      <c r="J9" s="4" t="inlineStr">
        <is>
          <t>Sunday</t>
        </is>
      </c>
      <c r="K9" s="4" t="inlineStr">
        <is>
          <t>Odin, Frigg</t>
        </is>
      </c>
      <c r="L9" s="5" t="inlineStr">
        <is>
          <t>LITHA, LAMMAS</t>
        </is>
      </c>
      <c r="M9" s="5" t="inlineStr">
        <is>
          <t>Wunjo is linked to a reward, a feeling of goodness and satisfaction, peaceful winning, and ultimate achievement. It contains the idea of everything going well because you are in total harmony with life. Wunjo also implies close co-operation and companionship with other people, because joy is not usually a solitary emotion. When so much of life can be negative, it is important to allow Wunjo's joy to reach into every part of your life.</t>
        </is>
      </c>
      <c r="N9" s="5" t="inlineStr">
        <is>
          <t>Understanding, realisation of ambition, success in romance and good health. Partnerships flourish. New beginnings are blessed with joyfulness. Your eyes are opened to the truth.</t>
        </is>
      </c>
      <c r="O9" s="5" t="inlineStr">
        <is>
          <t>Happiness is yours if you are willing to work for it. You must strive for balance and harmony in your life. Always look for solutions rather than dwell on problems. For happiness to last, it must be founded on truth and honesty. Hide from the truth and you hide from true happiness. Seek only what is good and right, and good fortune cannot fail to follow.</t>
        </is>
      </c>
      <c r="P9" s="4" t="inlineStr">
        <is>
          <t>8</t>
        </is>
      </c>
      <c r="Q9" s="4" t="inlineStr">
        <is>
          <t>Light Blue</t>
        </is>
      </c>
      <c r="R9" s="4" t="inlineStr">
        <is>
          <t>Ash</t>
        </is>
      </c>
      <c r="S9" s="5" t="inlineStr">
        <is>
          <t>Chamomile, Cinnamon, Apple Blossom, Black Tea, Clover</t>
        </is>
      </c>
      <c r="T9" s="5" t="inlineStr">
        <is>
          <t>Citrine, Aventurine, Amazonite, Clear Quartz, Amethyst</t>
        </is>
      </c>
      <c r="U9" s="42" t="inlineStr">
        <is>
          <t>The light blue ash rune of joy and reward — linked to Leo's golden summer warmth, the feeling that comes when what was worked for arrives. New beginnings blessed with joyfulness. Eyes opened to truth. The rune that carries the energy of satisfaction, the deserved reward, the partnership that flourishes because it was built on something real.</t>
        </is>
      </c>
      <c r="V9" t="inlineStr">
        <is>
          <t>Happiness, prosperity, harmony, love and luck drawn — wunjo the joy rune.</t>
        </is>
      </c>
      <c r="W9" t="inlineStr">
        <is>
          <t>Confidence and the knowing that success is genuinely possible.</t>
        </is>
      </c>
      <c r="X9" t="inlineStr">
        <is>
          <t>None specified.</t>
        </is>
      </c>
      <c r="Y9" t="inlineStr">
        <is>
          <t>Opens the deeper happiness — where joy must be allowed in rather than kept at a distance.</t>
        </is>
      </c>
      <c r="Z9" t="inlineStr">
        <is>
          <t>Turns through success in romance and good health — the new beginning blessed with what joy feels like.</t>
        </is>
      </c>
      <c r="AA9" t="inlineStr">
        <is>
          <t>The joy rune in its most complete function — where the working is about the genuine experience of joy in the body as much as the heart, wunjo carries the energy of what satisfaction actually feels like when it is deserved and fully received.</t>
        </is>
      </c>
    </row>
    <row r="10" ht="86.25" customHeight="1" s="56">
      <c r="A10" s="2" t="inlineStr">
        <is>
          <t>HAGALAZ</t>
        </is>
      </c>
      <c r="B10" s="2" t="inlineStr">
        <is>
          <t>Hagall, Haal, Hagalar, Hagl, Hagalz, Haglaz</t>
        </is>
      </c>
      <c r="C10" s="2" t="inlineStr">
        <is>
          <t>H</t>
        </is>
      </c>
      <c r="D10" s="2" t="inlineStr">
        <is>
          <t>Har-ghawl-arz</t>
        </is>
      </c>
      <c r="E10" s="3" t="inlineStr">
        <is>
          <t>Protection, Banishing, Warding, Exorcism, Strength, Challenges, Disruption,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Physical Strength, Fortitude, Vitality, Inner power, and strength</t>
        </is>
      </c>
      <c r="F10" s="3" t="inlineStr">
        <is>
          <t>Urd, Heimdall, Elemental disruption</t>
        </is>
      </c>
      <c r="G10" s="2" t="inlineStr">
        <is>
          <t>Aquarius</t>
        </is>
      </c>
      <c r="H10" s="2" t="inlineStr">
        <is>
          <t>Ice (Water)</t>
        </is>
      </c>
      <c r="I10" s="2" t="inlineStr">
        <is>
          <t>Female</t>
        </is>
      </c>
      <c r="J10" s="2" t="inlineStr">
        <is>
          <t>Saturday</t>
        </is>
      </c>
      <c r="K10" s="2" t="inlineStr">
        <is>
          <t>Urd, Heimdall</t>
        </is>
      </c>
      <c r="L10" s="3" t="inlineStr">
        <is>
          <t>IMBOLC</t>
        </is>
      </c>
      <c r="M10" s="3" t="inlineStr">
        <is>
          <t>Hagalaz represents hail and it is portent may be likened to an unexpected hailstorm, an elemental disruption of your life. When Hagalaz is linked with other runes, it can suggest limitation, interruption, or delay, and imply a complete change in direction. Hagalaz can also mean suffering, hardship, illness, or injury. The weather is a significan't factor. Insure against damage from storm, flood or lightning. Prepare for disruptive influences. A third party interferes with relationships.</t>
        </is>
      </c>
      <c r="N10" s="3" t="inlineStr">
        <is>
          <t>Challenge, disruption, interference, hardship, elemental forces.</t>
        </is>
      </c>
      <c r="O10" s="3" t="inlineStr">
        <is>
          <t>Challenges are occurring in your life. These are not to be feared, but faced. A hailstorm is daunting, but if you catch a hailstone you will see that it is only water, nothing to be feared. So it is with challenges. Fire up your determination, and face the challenges head-on knowing they are just stepping stones on the way to your goal. The greater the challenge, the more you gain by overcoming it.</t>
        </is>
      </c>
      <c r="P10" s="2" t="inlineStr">
        <is>
          <t>9</t>
        </is>
      </c>
      <c r="Q10" s="2" t="inlineStr">
        <is>
          <t>Light Blue</t>
        </is>
      </c>
      <c r="R10" s="2" t="inlineStr">
        <is>
          <t>Ash</t>
        </is>
      </c>
      <c r="S10" s="3" t="inlineStr">
        <is>
          <t>Blackberry Leaves, Cedarwood, Cloves, Camph, Chive</t>
        </is>
      </c>
      <c r="T10" s="3" t="inlineStr">
        <is>
          <t>Apache Tears, Garnet, Bloodstone, Clear Quartz, Flu, ite</t>
        </is>
      </c>
      <c r="U10" s="42" t="inlineStr">
        <is>
          <t>The light blue ash rune of hail — the disruption that clears the way. Hagalaz represents hail's truth: destructive in the moment, necessary in the long arc. Used in protection and banishing with the understanding that what protects sometimes first disrupts. The storm that makes the shelter necessary and the shelter stronger.</t>
        </is>
      </c>
      <c r="V10" t="inlineStr">
        <is>
          <t>None specified — hagalaz works primarily in protection and disruption.</t>
        </is>
      </c>
      <c r="W10" t="inlineStr">
        <is>
          <t>Protection, warding and strength — hagalaz in protective workings that require force.</t>
        </is>
      </c>
      <c r="X10" t="inlineStr">
        <is>
          <t>Banishing and exorcism — the hailstone force that drives out what must leave.</t>
        </is>
      </c>
      <c r="Y10" t="inlineStr">
        <is>
          <t>Opens the deeper protection — where the disruption is itself protective, clearing what would have caused worse harm if left.</t>
        </is>
      </c>
      <c r="Z10" t="inlineStr">
        <is>
          <t>Turns through banishing and the clearing that hail leaves behind — the landscape clean, the working ready to begin again.</t>
        </is>
      </c>
      <c r="AA10" t="inlineStr">
        <is>
          <t>The hail rune in its Over 18 disruptive-but-necessary function — where what is being disrupted by the working is a pattern that has been holding desire or vitality captive, hagalaz breaks it with the same impersonal force that hail has always used.</t>
        </is>
      </c>
    </row>
    <row r="11" ht="74.25" customHeight="1" s="56">
      <c r="A11" s="4" t="inlineStr">
        <is>
          <t>NAUDIZ</t>
        </is>
      </c>
      <c r="B11" s="4" t="inlineStr">
        <is>
          <t>Naudr, Nauthiz, Naud, Naudhr, Naudir, Naudth, Nauths, Nied, Noicz</t>
        </is>
      </c>
      <c r="C11" s="4" t="inlineStr">
        <is>
          <t>N</t>
        </is>
      </c>
      <c r="D11" s="4" t="inlineStr">
        <is>
          <t>Now-dthiz</t>
        </is>
      </c>
      <c r="E11" s="5" t="inlineStr">
        <is>
          <t>Strength, Perseverance, Inner power, Confidence, Healing, Necessity, Physical Strength, Fortitude, Vitality, and strength, Self-confidence, Courage, Bravery, Determination, Will Power, Leadership, Leadership skills, Commanding, Personal power, Healing magic, Healing spells, Healing sachets, Healing incenses, Healing mixtures, Healing rituals, Healing incense, Healing vibrations, healing after surgery, Aiding recovery, Aiding the ill, Improving health, Speeding recovery, Good health, health</t>
        </is>
      </c>
      <c r="F11" s="5" t="inlineStr">
        <is>
          <t>Skuld, Hardship, Learning through adversity</t>
        </is>
      </c>
      <c r="G11" s="4" t="inlineStr">
        <is>
          <t>Capricorn</t>
        </is>
      </c>
      <c r="H11" s="4" t="inlineStr">
        <is>
          <t>Fire</t>
        </is>
      </c>
      <c r="I11" s="4" t="inlineStr">
        <is>
          <t>Female</t>
        </is>
      </c>
      <c r="J11" s="4" t="inlineStr">
        <is>
          <t>Saturday</t>
        </is>
      </c>
      <c r="K11" s="4" t="inlineStr">
        <is>
          <t>Skuld</t>
        </is>
      </c>
      <c r="L11" s="5" t="inlineStr">
        <is>
          <t>IMBOLC, YULE</t>
        </is>
      </c>
      <c r="M11" s="5" t="inlineStr">
        <is>
          <t>Naudiz represents need, hardship, or adversity. Luckily, it includes the perseverance to endure, and reserves of inner strength. It counsels patience. However unpleasant the hardship it is a learning experience that will ultimately benefit you. Naudiz can also warn against taking a risky path. In conjunction with other runes, Naudiz tends to have a delaying influence.</t>
        </is>
      </c>
      <c r="N11" s="5" t="inlineStr">
        <is>
          <t>Control your emotions. Do not give in to cravings. Your health is at risk especially from dietary aberrations. Ensure your love is not misplaced. Beware extraordinary demands on your time or generosity.</t>
        </is>
      </c>
      <c r="O11" s="5" t="inlineStr">
        <is>
          <t>You are getting exactly what you need right now to make the best progress on your spiritual path. It may appear to be the very opposite of what you want, but this state is not permanent, it is merely a series of lessons that must be learnt so that you can make the transition from negative to positive. Accept your past, keep your mind fixed on your goal, and learn from your present situation.</t>
        </is>
      </c>
      <c r="P11" s="4" t="inlineStr">
        <is>
          <t>10</t>
        </is>
      </c>
      <c r="Q11" s="4" t="inlineStr">
        <is>
          <t>Black</t>
        </is>
      </c>
      <c r="R11" s="4" t="inlineStr">
        <is>
          <t>Rowan (mountain ash)</t>
        </is>
      </c>
      <c r="S11" s="5" t="inlineStr">
        <is>
          <t>Calamus Root, Comfrey, Black Tea, Cedarwood, Coltsfoot</t>
        </is>
      </c>
      <c r="T11" s="5" t="inlineStr">
        <is>
          <t>Bloodstone, Garnet, Ametrine, Clear Quartz, Flu, ite</t>
        </is>
      </c>
      <c r="U11" s="42" t="inlineStr">
        <is>
          <t>The black rowan rune of necessity — Naudiz represents the hardship that creates resilience. Control your emotions. Do not give in to cravings. Health at risk. The rune that asks you to look at what you are doing before the consequence arrives. Used in workings of perseverance, inner power and the building of genuine confidence through what has been endured.</t>
        </is>
      </c>
      <c r="V11" t="inlineStr">
        <is>
          <t>None specified — naudiz works primarily in holding and perseverance.</t>
        </is>
      </c>
      <c r="W11" t="inlineStr">
        <is>
          <t>Strength, inner power, confidence and healing — naudiz in workings where the will must be fortified.</t>
        </is>
      </c>
      <c r="X11" t="inlineStr">
        <is>
          <t>Perseverance — the rune held when what must be endured must simply be endured.</t>
        </is>
      </c>
      <c r="Y11" t="inlineStr">
        <is>
          <t>Opens the deeper necessity — where what is truly needed must be seen clearly before it can be worked toward.</t>
        </is>
      </c>
      <c r="Z11" t="inlineStr">
        <is>
          <t>Turns through strength and healing — the necessity survived, the endurance now becoming resilience.</t>
        </is>
      </c>
      <c r="AA11" t="inlineStr">
        <is>
          <t>The necessity rune in its most demanding Over 18 function — where what is necessary includes the acknowledgement of what has been denied or suppressed, naudiz holds the working steady through the discomfort of meeting genuine need.</t>
        </is>
      </c>
    </row>
    <row r="12" ht="74.25" customHeight="1" s="56">
      <c r="A12" s="2" t="inlineStr">
        <is>
          <t>ISA</t>
        </is>
      </c>
      <c r="B12" s="2" t="inlineStr">
        <is>
          <t>Is, Eis, Icz, Isar, Isaz, Iss</t>
        </is>
      </c>
      <c r="C12" s="2" t="inlineStr">
        <is>
          <t>I</t>
        </is>
      </c>
      <c r="D12" s="2" t="inlineStr">
        <is>
          <t>Ee-saw</t>
        </is>
      </c>
      <c r="E12" s="3" t="inlineStr">
        <is>
          <t>Binding spells, Stillness, Stagnation breaking, Freezing (hexes), Protection, Patience, Protective charm, Protective charms, Protective sachets, Protective wreaths, Protective incense, PROTECT AGAINST NEGATIVITY, Protection from negativity, Circle protection</t>
        </is>
      </c>
      <c r="F12" s="3" t="inlineStr">
        <is>
          <t>Verdandi, Winter, Preservation</t>
        </is>
      </c>
      <c r="G12" s="2" t="inlineStr">
        <is>
          <t>The Moon</t>
        </is>
      </c>
      <c r="H12" s="2" t="inlineStr">
        <is>
          <t>Ice (Water)</t>
        </is>
      </c>
      <c r="I12" s="2" t="inlineStr">
        <is>
          <t>Female</t>
        </is>
      </c>
      <c r="J12" s="2" t="inlineStr">
        <is>
          <t>Monday</t>
        </is>
      </c>
      <c r="K12" s="2" t="inlineStr">
        <is>
          <t>Verdandi</t>
        </is>
      </c>
      <c r="L12" s="3" t="inlineStr">
        <is>
          <t>IMBOLC, SAMHAIN</t>
        </is>
      </c>
      <c r="M12" s="3" t="inlineStr">
        <is>
          <t>Isa means ice. Although ice can be beautiful, it is also dangerous. It can be slippery or treacherously thin, or block your progress. Emotionally, Isa implies a cooling of affection, or frigidity. It has a freezing, delaying, or preserving effect on other runes around it. Isa means that you may have to delay your plans until a more favourable season. But it can take the heat out of a confrontation, or protect against magical attack.</t>
        </is>
      </c>
      <c r="N12" s="3" t="inlineStr">
        <is>
          <t>Ice, cold, freezing. Lack of change. Stagnation. Preservation and binding.</t>
        </is>
      </c>
      <c r="O12" s="3" t="inlineStr">
        <is>
          <t>A period of non-action is indicated. Do not let yourself get into a rut. Do not take anyone for granted. Be not afraid to show your feelings. Crossing water will be beneficial. Things appear to be at a standstill and this is not a time to try to force movement. Patience and wisdom are called for. This is not the time to abandon goals, but an opportunity to reaffirm them. This is a time for contemplation and preparation, not despondency or regrets. Things will change as surely as winter changes to spring and then summer.</t>
        </is>
      </c>
      <c r="P12" s="2" t="inlineStr">
        <is>
          <t>11</t>
        </is>
      </c>
      <c r="Q12" s="2" t="inlineStr">
        <is>
          <t>Black</t>
        </is>
      </c>
      <c r="R12" s="2" t="inlineStr">
        <is>
          <t>Alder</t>
        </is>
      </c>
      <c r="S12" s="3" t="inlineStr">
        <is>
          <t>Chamomile, Cedarwood, Coltsfoot, Chive, Black Tea</t>
        </is>
      </c>
      <c r="T12" s="3" t="inlineStr">
        <is>
          <t>Clear Quartz, Flu, ite, Calcite (Icel, Spar), Amethyst, Aquamarine</t>
        </is>
      </c>
      <c r="U12" s="42" t="inlineStr">
        <is>
          <t>The black alder rune of ice — beautiful, dangerous, and entirely about preservation and binding. Isa means stillness: the frozen surface where nothing moves, where time seems suspended. Used in binding spells to freeze what must not move. Also used to break stagnation — recognising that what is frozen must eventually melt.</t>
        </is>
      </c>
      <c r="V12" t="inlineStr">
        <is>
          <t>None specified — isa works primarily in binding and preservation.</t>
        </is>
      </c>
      <c r="W12" t="inlineStr">
        <is>
          <t>Binding spells and protection — the ice that holds what must not move.</t>
        </is>
      </c>
      <c r="X12" t="inlineStr">
        <is>
          <t>Breaking stagnation and freezing hexes — where what has been frozen must now be broken.</t>
        </is>
      </c>
      <c r="Y12" t="inlineStr">
        <is>
          <t>Opens the deeper truth of what is frozen — where the stagnation must be seen for what it is before the thaw can begin.</t>
        </is>
      </c>
      <c r="Z12" t="inlineStr">
        <is>
          <t>Turns through the movement from freezing to releasing — the ice that has done its work now melting.</t>
        </is>
      </c>
      <c r="AA12" t="inlineStr">
        <is>
          <t>The ice rune in its most complete binding function — where what must be frozen is a pattern of behaviour or a situation that has been causing harm, isa stops it completely until it is safe to allow movement again.</t>
        </is>
      </c>
    </row>
    <row r="13" ht="74.25" customHeight="1" s="56">
      <c r="A13" s="4" t="inlineStr">
        <is>
          <t>JERA</t>
        </is>
      </c>
      <c r="B13" s="4" t="inlineStr">
        <is>
          <t>Ar, Gaar, Jara, Jer, Jeran, Yer</t>
        </is>
      </c>
      <c r="C13" s="4" t="inlineStr">
        <is>
          <t>J/Y</t>
        </is>
      </c>
      <c r="D13" s="4" t="inlineStr">
        <is>
          <t>Year-ah</t>
        </is>
      </c>
      <c r="E13" s="5" t="inlineStr">
        <is>
          <t>Harvest spells, Fertility, Fruitfulness, Prosperity, Cycles, Justice, Reward, Female fertility, Fertility magic, Fertility charms, Aiding fertility, Increasing fertility,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Success, Victory, victory in battle, Conquest, Overcoming opposition, Courtroom success, Legal matters</t>
        </is>
      </c>
      <c r="F13" s="5" t="inlineStr">
        <is>
          <t>Frey, Freyja, Natural cycles, Harvest</t>
        </is>
      </c>
      <c r="G13" s="4" t="inlineStr">
        <is>
          <t>The Sun</t>
        </is>
      </c>
      <c r="H13" s="4" t="inlineStr">
        <is>
          <t>Earth</t>
        </is>
      </c>
      <c r="I13" s="4" t="inlineStr">
        <is>
          <t>Male and Female</t>
        </is>
      </c>
      <c r="J13" s="4" t="inlineStr">
        <is>
          <t>Thursday</t>
        </is>
      </c>
      <c r="K13" s="4" t="inlineStr">
        <is>
          <t>Frey, Freyja</t>
        </is>
      </c>
      <c r="L13" s="5" t="inlineStr">
        <is>
          <t>Lughnasadh, Mabon</t>
        </is>
      </c>
      <c r="M13" s="5" t="inlineStr">
        <is>
          <t>Jera as Rune No. 12 represents the 12 months of the year. It implies fruitfulness, profit or achievement of a goal. It also means the cycle of seasons implying movement, change, natural development. It is usually very positive, but as a symbol of cause-and-effect it may portend the end-result of past actions. Jera may therefore represent justice, which can be positive or negative, a reward or a punishment.</t>
        </is>
      </c>
      <c r="N13" s="5" t="inlineStr">
        <is>
          <t>Success in endeavours, fruition of plans. Good spirits. Just rewards for past efforts. Inventiveness, talent or skill. Great reward to those who work with their hands or on the land.</t>
        </is>
      </c>
      <c r="O13" s="5" t="inlineStr">
        <is>
          <t>This is a time of reaping rewards from seeds sown in the past. It is a time of plenty, of joy and celebration. But it is also a time to work with no time for complacency. The harvest is followed by winter so you should make sure you have stored enough wisdom to face your next challenge. This is another turning point in life, not a goal. There are greater harvests ahead, but like the farmer, you must prepare the land, sow the seed, tend the seedlings and feed the fruit.</t>
        </is>
      </c>
      <c r="P13" s="4" t="inlineStr">
        <is>
          <t>12</t>
        </is>
      </c>
      <c r="Q13" s="4" t="inlineStr">
        <is>
          <t>Light Blue</t>
        </is>
      </c>
      <c r="R13" s="4" t="inlineStr">
        <is>
          <t>Oak</t>
        </is>
      </c>
      <c r="S13" s="5" t="inlineStr">
        <is>
          <t>Chamomile, Clover, Red Clover, Apple Blossom, Cinnamon</t>
        </is>
      </c>
      <c r="T13" s="5" t="inlineStr">
        <is>
          <t>Carnelian, Citrine, Aventurine, Amazonite, Clear Quartz</t>
        </is>
      </c>
      <c r="U13" s="42" t="inlineStr">
        <is>
          <t>The light blue oak rune of the harvest — Jera as number 12 represents the 12 months of the year, the patient turning of the wheel. The rune of just reward and the fruition of plans. What you have planted is coming up. Good spirits. Great reward to those who work with their hands or on the land. The rune of deserved abundance.</t>
        </is>
      </c>
      <c r="V13" t="inlineStr">
        <is>
          <t>Fertility and prosperity drawn — jera the harvest rune, where what was planted is now being gathered.</t>
        </is>
      </c>
      <c r="W13" t="inlineStr">
        <is>
          <t>The reward of past efforts and inventiveness — jera holding the fruition of what was worked for.</t>
        </is>
      </c>
      <c r="X13" t="inlineStr">
        <is>
          <t>None specified.</t>
        </is>
      </c>
      <c r="Y13" t="inlineStr">
        <is>
          <t>Opens the good spirits of the harvest — where what was sown is now ready to be seen.</t>
        </is>
      </c>
      <c r="Z13" t="inlineStr">
        <is>
          <t>Turns through the successful completion of plans — what was begun at planting time now coming to full maturity.</t>
        </is>
      </c>
      <c r="AA13" t="inlineStr">
        <is>
          <t>The harvest rune in its most complete Over 18 function — where the reward being claimed includes what the body and the desire have worked toward through the full cycle, jera holds the energy of what is genuinely deserved after the full year's turning.</t>
        </is>
      </c>
    </row>
    <row r="14" ht="86.25" customHeight="1" s="56">
      <c r="A14" s="2" t="inlineStr">
        <is>
          <t>IHWAZ</t>
        </is>
      </c>
      <c r="B14" s="2" t="inlineStr">
        <is>
          <t>Eihwaz, Eihwas, Eihwaz, Eo, Erwaz, Ezck, Ihwar, Ihwas, Iwar, Iwaz, Yr</t>
        </is>
      </c>
      <c r="C14" s="2" t="inlineStr">
        <is>
          <t>Y/I</t>
        </is>
      </c>
      <c r="D14" s="2" t="inlineStr">
        <is>
          <t>Eye-warz</t>
        </is>
      </c>
      <c r="E14" s="3" t="inlineStr">
        <is>
          <t>Transformation, Protection, Banishing, Healing, Strength, Change, New beginnings, Breaking habits, Breaking bad habits, Ending negative self-talk, Letting go of relationships, Ending guilt, Release, Renewal, New beginning spells, Fresh starts, rebirth, Breakthrough, Awakening, Growth, New ideas, Assisting transformation, Transformation/Evolution,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Physical Strength, Fortitude, Vitality, Inner power, and strength</t>
        </is>
      </c>
      <c r="F14" s="3" t="inlineStr">
        <is>
          <t>Ullr, Yew tree, Defense, Magic</t>
        </is>
      </c>
      <c r="G14" s="2" t="inlineStr">
        <is>
          <t>Scorpio</t>
        </is>
      </c>
      <c r="H14" s="2" t="inlineStr">
        <is>
          <t>Earth, Air, Fire &amp; Water</t>
        </is>
      </c>
      <c r="I14" s="2" t="inlineStr">
        <is>
          <t>Male</t>
        </is>
      </c>
      <c r="J14" s="2" t="inlineStr">
        <is>
          <t>Friday</t>
        </is>
      </c>
      <c r="K14" s="2" t="inlineStr">
        <is>
          <t>Ullr</t>
        </is>
      </c>
      <c r="L14" s="3" t="inlineStr">
        <is>
          <t>SAMHAIN, YULE</t>
        </is>
      </c>
      <c r="M14" s="3" t="inlineStr">
        <is>
          <t>Ihwaz should not be feared, because it also means continuity and endurance. The best longbows were always made from yew trees. As well as being strong, long-lasting, and flexible, they contained protective magic. Thus, Ihwaz also represents safety from attack and a weapon of defence. Ihwaz is the symbol of rune magic. Avertive, defective or defensive power is yours. Patience, perseverance, foresight and protection against unexpected attack. Wisdom in adversity.</t>
        </is>
      </c>
      <c r="N14" s="3" t="inlineStr">
        <is>
          <t>Transformation, defense, protection, magical power, continuity, endurance.</t>
        </is>
      </c>
      <c r="O14" s="3" t="inlineStr">
        <is>
          <t>This is a time of transformation, a time to let go of the old and embrace the new, new beginnings, new life and new dreams. The only constant is change, and quick progress requires an acceptance of change, not resistance to it. Don't be afraid. Change is scary, but if you remain true to yourself and stick to your path, you will soon achieve your goal.</t>
        </is>
      </c>
      <c r="P14" s="2" t="inlineStr">
        <is>
          <t>13</t>
        </is>
      </c>
      <c r="Q14" s="2" t="inlineStr">
        <is>
          <t>Magenta</t>
        </is>
      </c>
      <c r="R14" s="2" t="inlineStr">
        <is>
          <t>Yew</t>
        </is>
      </c>
      <c r="S14" s="3" t="inlineStr">
        <is>
          <t>Cedarwood, Comfrey, Cloves, Calamus Root, Camph</t>
        </is>
      </c>
      <c r="T14" s="3" t="inlineStr">
        <is>
          <t>Garnet, Bloodstone, Ametrine, Apache Tears, Clear Quartz</t>
        </is>
      </c>
      <c r="U14" s="42" t="inlineStr">
        <is>
          <t>The magenta yew rune of all four elements — ihwaz should not be feared, because it means continuity, not ending. The yew tree lives for thousands of years, survives everything, regenerates from its own decay. Where transformation, protection, banishing and healing are all needed at once, ihwaz holds all four. The rune of those who pass through what others do not survive.</t>
        </is>
      </c>
      <c r="V14" t="inlineStr">
        <is>
          <t>New beginnings drawn through ihwaz's continuity energy.</t>
        </is>
      </c>
      <c r="W14" t="inlineStr">
        <is>
          <t>Protection, healing and strength — held through any transformation where what matters must not be lost.</t>
        </is>
      </c>
      <c r="X14" t="inlineStr">
        <is>
          <t>Banishing and transformation — ihwaz the rune of what must change radically.</t>
        </is>
      </c>
      <c r="Y14" t="inlineStr">
        <is>
          <t>Opens the deeper transformation — where what is being transformed is the fundamental nature of the situation.</t>
        </is>
      </c>
      <c r="Z14" t="inlineStr">
        <is>
          <t>Turns through banishing and the healing that follows — the yew tree regenerating from what seemed final.</t>
        </is>
      </c>
      <c r="AA14" t="inlineStr">
        <is>
          <t>The yew rune in its most transformative Over 18 function — where the transformation required goes to the level of what the self most fundamentally is, ihwaz carries the authority of the tree that survives everything and regenerates from its own darkness.</t>
        </is>
      </c>
    </row>
    <row r="15" ht="74.25" customHeight="1" s="56">
      <c r="A15" s="4" t="inlineStr">
        <is>
          <t>PERTH</t>
        </is>
      </c>
      <c r="B15" s="4" t="inlineStr">
        <is>
          <t>Pertho, Peorth, Pairthra, Perb, Perthu, Peordh, Perthro, Perthrold, Pertra</t>
        </is>
      </c>
      <c r="C15" s="4" t="inlineStr">
        <is>
          <t>P</t>
        </is>
      </c>
      <c r="D15" s="4" t="inlineStr">
        <is>
          <t>Pair-dth</t>
        </is>
      </c>
      <c r="E15" s="5" t="inlineStr">
        <is>
          <t>Divination, Mystery, Clairvoyance, Secrets, Star magick, Chance, Hidden knowledge, Truth,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Prophetic dreams, Invoking dreams, Dream work, Dreams, Visions, Seeing the unseen, Seeing manifestations, Honesty, Removing deception, Subconscious work, Digging into the subconscious, Uprooting what is hidden, Treasure seeking, Lost object finding</t>
        </is>
      </c>
      <c r="F15" s="5" t="inlineStr">
        <is>
          <t>Frigg, Mystery, Hidden things</t>
        </is>
      </c>
      <c r="G15" s="4" t="inlineStr">
        <is>
          <t>Saturn</t>
        </is>
      </c>
      <c r="H15" s="4" t="inlineStr">
        <is>
          <t>Water</t>
        </is>
      </c>
      <c r="I15" s="4" t="inlineStr">
        <is>
          <t>Female</t>
        </is>
      </c>
      <c r="J15" s="4" t="inlineStr">
        <is>
          <t>Saturday</t>
        </is>
      </c>
      <c r="K15" s="4" t="inlineStr">
        <is>
          <t>Frigg</t>
        </is>
      </c>
      <c r="L15" s="5" t="inlineStr">
        <is>
          <t>SAMHAIN</t>
        </is>
      </c>
      <c r="M15" s="5" t="inlineStr">
        <is>
          <t>Perth suggests the disclosure of a secret. It could also refer to pregnancy and birth. Perth is linked with the sensible and moderate enjoyment of sexuality. Because of the mystery surrounding it, common sense and prudence are called for in the interpretation of Perth. A gamble, a mystery, an unknown outcome. Mathematical odds. Make the best of your lot. Employ common sense and moderation to succeed.</t>
        </is>
      </c>
      <c r="N15" s="5" t="inlineStr">
        <is>
          <t>Mystery, chance, secrets, hidden knowledge, disclosure, science.</t>
        </is>
      </c>
      <c r="O15" s="5" t="inlineStr">
        <is>
          <t>You always have a choice in everything. No-one can upset you, you can only choose to be upset. No-one can exert power over you unless you choose to subject yourself to it. Claim your right to choice. Don't allow others to compromise your truth or prevent you from doing what you need to do. The only danger here is not to make a choice, to leave things to fate and have no say in your own future.</t>
        </is>
      </c>
      <c r="P15" s="4" t="inlineStr">
        <is>
          <t>14</t>
        </is>
      </c>
      <c r="Q15" s="4" t="inlineStr">
        <is>
          <t>Black</t>
        </is>
      </c>
      <c r="R15" s="4" t="inlineStr">
        <is>
          <t>Aspen</t>
        </is>
      </c>
      <c r="S15" s="5" t="inlineStr">
        <is>
          <t>Camph, Anise, Coltsfoot, Cinnamon, Bay Laurel</t>
        </is>
      </c>
      <c r="T15" s="5" t="inlineStr">
        <is>
          <t>Amethyst, Ametrine, Flu, ite, Clear Quartz, Chrysocolla</t>
        </is>
      </c>
      <c r="U15" s="42" t="inlineStr">
        <is>
          <t>The black aspen rune of mystery — Perth suggests the disclosure of a secret. The hidden thing surfacing. Also refers to the womb and the lottery of birth. Used in divination for its capacity to open what was concealed, to reveal what chance conceals and what fate has arranged.</t>
        </is>
      </c>
      <c r="V15" t="inlineStr">
        <is>
          <t>None specified — perth works primarily in opening and revelation.</t>
        </is>
      </c>
      <c r="W15" t="inlineStr">
        <is>
          <t>Hidden knowledge and truth — the mystery held in its sealed form.</t>
        </is>
      </c>
      <c r="X15" t="inlineStr">
        <is>
          <t>Disclosure — where what was secret must be allowed to surface.</t>
        </is>
      </c>
      <c r="Y15" t="inlineStr">
        <is>
          <t>Opens divination and clairvoyance — perth the divination rune par excellence, where the hidden must come to light.</t>
        </is>
      </c>
      <c r="Z15" t="inlineStr">
        <is>
          <t>Turns through the disclosure of what was hidden — the secret revealed, the chance taken, the mystery entering the working.</t>
        </is>
      </c>
      <c r="AA15" t="inlineStr">
        <is>
          <t>The mystery rune in its most complete disclosure function — where what is being revealed is the thing that has been most carefully hidden, perth opens the locked room with the patient certainty that what is inside must eventually be seen.</t>
        </is>
      </c>
    </row>
    <row r="16" ht="98.25" customHeight="1" s="56">
      <c r="A16" s="2" t="inlineStr">
        <is>
          <t>ALGIZ</t>
        </is>
      </c>
      <c r="B16" s="2" t="inlineStr">
        <is>
          <t>Yr, Elhaz, Algir, Algis, Algs, Elgr</t>
        </is>
      </c>
      <c r="C16" s="2" t="inlineStr">
        <is>
          <t>Z/S</t>
        </is>
      </c>
      <c r="D16" s="2" t="inlineStr">
        <is>
          <t>Awl-gh-eeze</t>
        </is>
      </c>
      <c r="E16" s="3" t="inlineStr">
        <is>
          <t>Protection, Warding, Protection (hexes/evil), Banishing, Alertness, Strength, Success,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Victory, victory in battle, Conquest, Overcoming opposition, Courtroom success, Legal matters, Justice</t>
        </is>
      </c>
      <c r="F16" s="3" t="inlineStr">
        <is>
          <t>Heimdall, Protection, Defense</t>
        </is>
      </c>
      <c r="G16" s="2" t="inlineStr">
        <is>
          <t>Cancer</t>
        </is>
      </c>
      <c r="H16" s="2" t="inlineStr">
        <is>
          <t>Air</t>
        </is>
      </c>
      <c r="I16" s="2" t="inlineStr">
        <is>
          <t>Male</t>
        </is>
      </c>
      <c r="J16" s="2" t="inlineStr">
        <is>
          <t>Sunday</t>
        </is>
      </c>
      <c r="K16" s="2" t="inlineStr">
        <is>
          <t>Heimdall</t>
        </is>
      </c>
      <c r="L16" s="3" t="inlineStr">
        <is>
          <t>LITHA, LAMMAS</t>
        </is>
      </c>
      <c r="M16" s="3" t="inlineStr">
        <is>
          <t>Algiz also represents success through endeavour in a search, quest, or other enterprise. Like the fast-growing pine tree, schemes will develop quickly. Like sharp sedge, you are protected from attack. Alertness and awareness will be your guide. Wisdom, vision and clarity of mind will aid your cause. Algiz illustrates both the antlers of the elk, and the shape of the sedge-grass herb. To some it suggests the spread fingers of a hand raised in a protective gesture. It is a powerful rune of protection and, spiritually, it symbolizes reaching up to the divine.</t>
        </is>
      </c>
      <c r="N16" s="3" t="inlineStr">
        <is>
          <t>Protection, safe refuge, opportunity, alertness, rapid growth, success.</t>
        </is>
      </c>
      <c r="O16" s="3" t="inlineStr">
        <is>
          <t>Although the path ahead is fraught with danger, you need have no fear, for you have the power of protection within you. You will be safe as long as you are not reckless. Algiz indicates a favourable time for risky ventures, although all things must be built on firm foundations. Do not become complacent.</t>
        </is>
      </c>
      <c r="P16" s="2" t="inlineStr">
        <is>
          <t>15</t>
        </is>
      </c>
      <c r="Q16" s="2" t="inlineStr">
        <is>
          <t>Gold</t>
        </is>
      </c>
      <c r="R16" s="2" t="inlineStr">
        <is>
          <t>Oak</t>
        </is>
      </c>
      <c r="S16" s="3" t="inlineStr">
        <is>
          <t>Cedarwood, Cloves, Blackberry Leaves, Camph, Chive</t>
        </is>
      </c>
      <c r="T16" s="3" t="inlineStr">
        <is>
          <t>Apache Tears, Garnet, Clear Quartz, Flu, ite, Bloodstone</t>
        </is>
      </c>
      <c r="U16" s="42" t="inlineStr">
        <is>
          <t>The gold oak rune of rapid growth and protection — algiz also represents success through endeavour in a search, a quest or an exploration. The protective rune used in any working where the boundary must be held. Drawn in the air at each corner of the working space it creates a protective field of considerable force.</t>
        </is>
      </c>
      <c r="V16" t="inlineStr">
        <is>
          <t>Rapid growth drawn — algiz where something must grow quickly and be protected as it grows.</t>
        </is>
      </c>
      <c r="W16" t="inlineStr">
        <is>
          <t>Protection, warding and strength — the primary functions of this defensive rune.</t>
        </is>
      </c>
      <c r="X16" t="inlineStr">
        <is>
          <t>Banishing — algiz driving out what has no place within the protected boundary.</t>
        </is>
      </c>
      <c r="Y16" t="inlineStr">
        <is>
          <t>Opens the deeper protection — where what is inside the boundary must be seen and what is outside must be identified.</t>
        </is>
      </c>
      <c r="Z16" t="inlineStr">
        <is>
          <t>Turns through banishing and the protection of what must now grow without interference.</t>
        </is>
      </c>
      <c r="AA16" t="inlineStr">
        <is>
          <t>The protection rune in its most complete Over 18 function — where what is being protected is the most vulnerable aspect of the self including the capacity for genuine desire, algiz maintains the boundary that allows that vulnerability to exist safely.</t>
        </is>
      </c>
    </row>
    <row r="17" ht="86.25" customHeight="1" s="56">
      <c r="A17" s="4" t="inlineStr">
        <is>
          <t>SOWILO</t>
        </is>
      </c>
      <c r="B17" s="4" t="inlineStr">
        <is>
          <t>Sol, Sowulo, Sunna, Saugil, Sighel, Sigo, Sil, Sowela, Sowilu, Sowelu, Solwulo, Sugil, Sulhil, Sulu, Sygel</t>
        </is>
      </c>
      <c r="C17" s="4" t="inlineStr">
        <is>
          <t>S/C</t>
        </is>
      </c>
      <c r="D17" s="4" t="inlineStr">
        <is>
          <t>Soh-veal-oh</t>
        </is>
      </c>
      <c r="E17" s="5" t="inlineStr">
        <is>
          <t>Success, Clairvoyance, Truth, Light, Energy, Prosperity, Healing, Sun God offerings, Clarity, Victory, victory in battle, Conquest, Overcoming opposition, Courtroom success, Legal matters, Justice, Enhancing clairvoyance, Psychic development, Psychic powers, INCREASE PSYCHIC ABILITIES, Psychic awareness, Stimulating psychic senses, Disabling psychic phenomena, Psychic communication, communication and psychic abilities, Prophetic dreams, Invoking dreams, Dream work, Dreams, Visions, Seeing the unseen, Seeing manifestations, Honesty, Removing deception, Subconscious work, Digging into the subconscious, Uprooting what is hidden, Scrying, Dowsing, Treasure seeking, Lost object finding,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t>
        </is>
      </c>
      <c r="F17" s="5" t="inlineStr">
        <is>
          <t>Baldur, Sun, Light, Victory</t>
        </is>
      </c>
      <c r="G17" s="4" t="inlineStr">
        <is>
          <t>The Sun</t>
        </is>
      </c>
      <c r="H17" s="4" t="inlineStr">
        <is>
          <t>Air</t>
        </is>
      </c>
      <c r="I17" s="4" t="inlineStr">
        <is>
          <t>Male</t>
        </is>
      </c>
      <c r="J17" s="4" t="inlineStr">
        <is>
          <t>Sunday</t>
        </is>
      </c>
      <c r="K17" s="4" t="inlineStr">
        <is>
          <t>Baldur</t>
        </is>
      </c>
      <c r="L17" s="5" t="inlineStr">
        <is>
          <t>Midsummer, Summer solstice</t>
        </is>
      </c>
      <c r="M17" s="5" t="inlineStr">
        <is>
          <t>Sowilo is well known as a victory symbol, it can also be used as a force of attack. It is a positive force, because it is the natural power of the sun. Spiritually, Sowilo symbolizes clear vision, and the victories of light over darkness, good over evil. It admonishes one to use the powers of good to vanquish evil. The spirit of life, the energy of the sun. Completeness. Spiritual awareness. Boundless energy, strength of character. The capacity to learn, the gift of understanding. Good health and fitness.</t>
        </is>
      </c>
      <c r="N17" s="5" t="inlineStr">
        <is>
          <t>Victory, light, energy, wholeness, completeness, clarity, good health.</t>
        </is>
      </c>
      <c r="O17" s="5" t="inlineStr">
        <is>
          <t>You have the power to bring things to fruition. Good fortune awaits you and there is a positive feel to everything. This is not a time to rest and relax, but to examine the darker aspects of your nature. The power of the sun will enable you to face them without fear and to overcome them. Seek solutions to problems, they are all within your grasp.</t>
        </is>
      </c>
      <c r="P17" s="4" t="inlineStr">
        <is>
          <t>16</t>
        </is>
      </c>
      <c r="Q17" s="4" t="inlineStr">
        <is>
          <t>White</t>
        </is>
      </c>
      <c r="R17" s="4" t="inlineStr">
        <is>
          <t>Juniper</t>
        </is>
      </c>
      <c r="S17" s="5" t="inlineStr">
        <is>
          <t>Cinnamon, Chamomile, Bay Laurel, Black Tea, Apple Blossom</t>
        </is>
      </c>
      <c r="T17" s="5" t="inlineStr">
        <is>
          <t>Carnelian, Citrine, Aventurine, Clear Quartz, Ametrine</t>
        </is>
      </c>
      <c r="U17" s="42" t="inlineStr">
        <is>
          <t>The white juniper rune of victory and the Sun — well known as a victory symbol, also used for healing and the strengthening of the will. Carries the light of the full sun at midsummer into any working it enters. The rune of clarity, good health and the prosperous outcome that comes when the will is aligned with the solar force.</t>
        </is>
      </c>
      <c r="V17" t="inlineStr">
        <is>
          <t>Prosperity drawn through sowilo's solar abundance.</t>
        </is>
      </c>
      <c r="W17" t="inlineStr">
        <is>
          <t>Truth, healing and clarity — the sun rune held in any working where what is true must be known.</t>
        </is>
      </c>
      <c r="X17" t="inlineStr">
        <is>
          <t>None specified.</t>
        </is>
      </c>
      <c r="Y17" t="inlineStr">
        <is>
          <t>Opens clairvoyance and truth — sowilo the sun-rune that makes visible what the dark concealed.</t>
        </is>
      </c>
      <c r="Z17" t="inlineStr">
        <is>
          <t>Turns through healing and the new beginning that comes when the sun is fully present — what was obscured now illuminated.</t>
        </is>
      </c>
      <c r="AA17" t="inlineStr">
        <is>
          <t>The sun rune in its most victorious function — where the victory being claimed includes the full vindication of what was doubted or dismissed, sowilo burns away what stood in the way with the impersonal thoroughness of high summer light.</t>
        </is>
      </c>
    </row>
    <row r="18" ht="86.25" customHeight="1" s="56">
      <c r="A18" s="2" t="inlineStr">
        <is>
          <t>TIWAZ</t>
        </is>
      </c>
      <c r="B18" s="2" t="inlineStr">
        <is>
          <t>Tiw, Tyr, Teiws, Teiwaz, Tiwar, Ty, Tys</t>
        </is>
      </c>
      <c r="C18" s="2" t="inlineStr">
        <is>
          <t>T</t>
        </is>
      </c>
      <c r="D18" s="2" t="inlineStr">
        <is>
          <t>Tee-wahz</t>
        </is>
      </c>
      <c r="E18" s="3" t="inlineStr">
        <is>
          <t>Confidence, Justice, Strength, Protection, Dedication, Success, Clairvoyance, Strength, Star magick, Self-confidence, Courage, Bravery, Determination, Will Power, Leadership, Leadership skills, Commanding, Personal power, Victory, victory in battle, Conquest, Overcoming opposition, Courtroom success, Legal matters, Physical Strength, Fortitude, Vitality, Inner power, and strength, Protective charm, Protective charms, Protective sachets, Protective wreaths, Protective incense, PROTECT AGAINST NEGATIVITY, Protection from negativity, Circle protection,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F18" s="3" t="inlineStr">
        <is>
          <t>Tiw, Justice, Courage, Truth</t>
        </is>
      </c>
      <c r="G18" s="2" t="inlineStr">
        <is>
          <t>Libra</t>
        </is>
      </c>
      <c r="H18" s="2" t="inlineStr">
        <is>
          <t>Air</t>
        </is>
      </c>
      <c r="I18" s="2" t="inlineStr">
        <is>
          <t>Male</t>
        </is>
      </c>
      <c r="J18" s="2" t="inlineStr">
        <is>
          <t>Tuesday</t>
        </is>
      </c>
      <c r="K18" s="2" t="inlineStr">
        <is>
          <t>Tiw</t>
        </is>
      </c>
      <c r="L18" s="3" t="inlineStr">
        <is>
          <t>MABON, SAMHAIN</t>
        </is>
      </c>
      <c r="M18" s="3" t="inlineStr">
        <is>
          <t>Tiwaz is named for the Norse god Tiw, after whom Tuesday is named. Tiw is the Norse equivalent of Zeus or Jupiter. He was the god of war and justice, fair law and regulation, and success through sacrifice. He was courageous, fearless, the master tactician and a consummate diplomat. He allowed a wolf to bite off his right hand in order to bind the wolf's chaotic force and thus protects warriors (both physical &amp; spiritual), the disabled and the left-handed.</t>
        </is>
      </c>
      <c r="N18" s="3" t="inlineStr">
        <is>
          <t>Tactical genius, courage, bravery, dedication, daring. Protection on sea voyages. Negotiating and legislative ability.</t>
        </is>
      </c>
      <c r="O18" s="3" t="inlineStr">
        <is>
          <t>There is a need for courage now, as your victory is already assured if your heart remains true. Make use of all the skill and wisdom you have acquired so far. Protect your faith, as it will be challenged. But truth, honesty and justice will always win through.</t>
        </is>
      </c>
      <c r="P18" s="2" t="inlineStr">
        <is>
          <t>17</t>
        </is>
      </c>
      <c r="Q18" s="2" t="inlineStr">
        <is>
          <t>Bright Red</t>
        </is>
      </c>
      <c r="R18" s="2" t="inlineStr">
        <is>
          <t>Oak</t>
        </is>
      </c>
      <c r="S18" s="3" t="inlineStr">
        <is>
          <t>Basil, Black Tea, Cinnamon, Cedarwood, Calamus Root</t>
        </is>
      </c>
      <c r="T18" s="3" t="inlineStr">
        <is>
          <t>Garnet, Carnelian, Bloodstone, Clear Quartz, Ametrine</t>
        </is>
      </c>
      <c r="U18" s="42" t="inlineStr">
        <is>
          <t>The bright red oak rune of Tyr — named for the Norse god of justice who sacrificed his hand to bind the Fenris Wolf. The Tuesday rune, the warrior's rune, the rune of courage and the daring that service requires. Used in any working where confidence must be found, justice must be served, or something important must be dedicated to.</t>
        </is>
      </c>
      <c r="V18" t="inlineStr">
        <is>
          <t>None specified — tiwaz works primarily in confidence and holding.</t>
        </is>
      </c>
      <c r="W18" t="inlineStr">
        <is>
          <t>Confidence, strength and protection — tiwaz in any working where courage is required.</t>
        </is>
      </c>
      <c r="X18" t="inlineStr">
        <is>
          <t>None specified.</t>
        </is>
      </c>
      <c r="Y18" t="inlineStr">
        <is>
          <t>Opens clairvoyance and the clear sight of what justice requires — where the right action must be seen before it can be taken.</t>
        </is>
      </c>
      <c r="Z18" t="inlineStr">
        <is>
          <t>Turns through strength and the courage that Tyr's sacrifice demonstrated — where the cost must be paid willingly.</t>
        </is>
      </c>
      <c r="AA18" t="inlineStr">
        <is>
          <t>The warrior's rune in its most sacrificial Over 18 function — where the working requires giving up what has been held onto at the cost of what is genuinely wanted, tiwaz carries the authority of Tyr who gave his hand because what he protected was worth more than the hand.</t>
        </is>
      </c>
    </row>
    <row r="19" ht="86.25" customHeight="1" s="56">
      <c r="A19" s="4" t="inlineStr">
        <is>
          <t>BERKANAN</t>
        </is>
      </c>
      <c r="B19" s="4" t="inlineStr">
        <is>
          <t>Bjarkan, Bairkan, Bercna, Berkana, Berkano, Beroc</t>
        </is>
      </c>
      <c r="C19" s="4" t="inlineStr">
        <is>
          <t>B</t>
        </is>
      </c>
      <c r="D19" s="4" t="inlineStr">
        <is>
          <t>Bear-khan-awn</t>
        </is>
      </c>
      <c r="E19" s="5" t="inlineStr">
        <is>
          <t>Fertility, Growth, New beginnings, Healing, Beauty, Birth, Fresh starts,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Breaking habits, Breaking bad habits, Ending negative self-talk, Letting go of relationships, Ending guilt, Release, Renewal, New beginning spells, Transformation, Change, rebirth, Breakthrough, Awakening, New ideas, Assisting transformation, Transformation/Evolution, Healing magic, Healing spells, Healing sachets, Healing incenses, Healing mixtures, Healing rituals, Healing incense, Healing vibrations, healing after surgery, Aiding recovery, Aiding the ill, Improving health, Speeding recovery, Good health, health</t>
        </is>
      </c>
      <c r="F19" s="5" t="inlineStr">
        <is>
          <t>Nerthus, Holda, Birth, Growth</t>
        </is>
      </c>
      <c r="G19" s="4" t="inlineStr">
        <is>
          <t>Virgo</t>
        </is>
      </c>
      <c r="H19" s="4" t="inlineStr">
        <is>
          <t>Earth</t>
        </is>
      </c>
      <c r="I19" s="4" t="inlineStr">
        <is>
          <t>Female</t>
        </is>
      </c>
      <c r="J19" s="4" t="inlineStr">
        <is>
          <t>Friday</t>
        </is>
      </c>
      <c r="K19" s="4" t="inlineStr">
        <is>
          <t>Nerthus, Holda</t>
        </is>
      </c>
      <c r="L19" s="5" t="inlineStr">
        <is>
          <t>Spring equinox, Imbolc</t>
        </is>
      </c>
      <c r="M19" s="5" t="inlineStr">
        <is>
          <t>Berkanan refers to renewal, regeneration, purification, healing, and recovery. It is the rune of the family and the home, and represents the enjoyment of sexual relations, fertility, and birth. Birth in this context can be literal or symbolic, such as the successful start of any new idea or enterprise. Physical or mental growth. Increased business, investment or profit. Bumper crops. Lost causes may be redeemed. New beginnings will flourish.</t>
        </is>
      </c>
      <c r="N19" s="5" t="inlineStr">
        <is>
          <t>Growth, fertility, rebirth, new life, renewal, purification, beauty.</t>
        </is>
      </c>
      <c r="O19" s="5" t="inlineStr">
        <is>
          <t>An exciting time for new beginnings, fresh adventures. Activity and energy. Sow seeds, but the harvest is yet to come so don't expect immediate reward for your effort. Put the past in its place, learn from experience. A good time for spiritual renewal - clear away misconceptions and accept new ideas.</t>
        </is>
      </c>
      <c r="P19" s="4" t="inlineStr">
        <is>
          <t>18</t>
        </is>
      </c>
      <c r="Q19" s="4" t="inlineStr">
        <is>
          <t>Dark Green</t>
        </is>
      </c>
      <c r="R19" s="4" t="inlineStr">
        <is>
          <t>Birch</t>
        </is>
      </c>
      <c r="S19" s="5" t="inlineStr">
        <is>
          <t>Apple Blossom, Clover, Red Clover, Chamomile, Cinnamon</t>
        </is>
      </c>
      <c r="T19" s="5" t="inlineStr">
        <is>
          <t>Chrysocolla, Aventurine, Amazonite, Emerald, Clear Quartz</t>
        </is>
      </c>
      <c r="U19" s="42" t="inlineStr">
        <is>
          <t>The dark green birch rune — the first tree to leaf in spring, the birch that grows on disturbed and cleared ground, the regenerator. Berkanan refers to renewal, regeneration and purification through the sacred feminine principle. Where fertility, growth, new beginnings and beauty are being worked for, this rune holds the shape of what spring always brings.</t>
        </is>
      </c>
      <c r="V19" t="inlineStr">
        <is>
          <t>Fertility, growth, new beginnings and beauty drawn — berkanan the spring rune.</t>
        </is>
      </c>
      <c r="W19" t="inlineStr">
        <is>
          <t>Healing — the regenerative healing of the birch.</t>
        </is>
      </c>
      <c r="X19" t="inlineStr">
        <is>
          <t>Purification — berkanan's clearing function, preparing what must be renewed.</t>
        </is>
      </c>
      <c r="Y19" t="inlineStr">
        <is>
          <t>Opens the deeper fertility — where what must grow requires first the clearing of what was there before.</t>
        </is>
      </c>
      <c r="Z19" t="inlineStr">
        <is>
          <t>Turns through growth and new beginnings — the birch-rune carrying the spring energy into the working.</t>
        </is>
      </c>
      <c r="AA19" t="inlineStr">
        <is>
          <t>The birch rune in its most intimate fertility aspect — where the working is about conception, physical union and the body's capacity to create new life, berkanan is the rune that holds the feminine generative force.</t>
        </is>
      </c>
    </row>
    <row r="20" ht="74.25" customHeight="1" s="56">
      <c r="A20" s="2" t="inlineStr">
        <is>
          <t>EHWAZ</t>
        </is>
      </c>
      <c r="B20" s="2" t="inlineStr">
        <is>
          <t>Eoh, Aihws, Ehol, Ehwar, Eol, Eow, Eykur, Eys, Ior</t>
        </is>
      </c>
      <c r="C20" s="2" t="inlineStr">
        <is>
          <t>E</t>
        </is>
      </c>
      <c r="D20" s="2" t="inlineStr">
        <is>
          <t>Ay-wahz</t>
        </is>
      </c>
      <c r="E20" s="3" t="inlineStr">
        <is>
          <t>Movement, Progress, Love, Loyalty, Trust, Momentum, Journey, Harmony,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Fidelity, Faithfulness, Promoting fidelity, Ensuring a lover returns love</t>
        </is>
      </c>
      <c r="F20" s="3" t="inlineStr">
        <is>
          <t>Frey, Freyja, Partnership, Movement</t>
        </is>
      </c>
      <c r="G20" s="2" t="inlineStr">
        <is>
          <t>Gemini</t>
        </is>
      </c>
      <c r="H20" s="2" t="inlineStr">
        <is>
          <t>Earth</t>
        </is>
      </c>
      <c r="I20" s="2" t="inlineStr">
        <is>
          <t>Male and Female</t>
        </is>
      </c>
      <c r="J20" s="2" t="inlineStr">
        <is>
          <t>Wednesday</t>
        </is>
      </c>
      <c r="K20" s="2" t="inlineStr">
        <is>
          <t>Frey, Freyja</t>
        </is>
      </c>
      <c r="L20" s="3" t="inlineStr">
        <is>
          <t>LITHA, LAMMAS</t>
        </is>
      </c>
      <c r="M20" s="3" t="inlineStr">
        <is>
          <t>Ehwaz represents the horse. The speed, strength, and beauty of a horse makes it much more than a means of transport. It is a sacred animal, a vehicle for material and spiritual advancement. Ehwaz implies controlled change, progress, and sometimes a journey. It also represents partnership, trust, loyalty, and faithfulness, such as that between horse and rider, brother and sister, two halves of the whole.</t>
        </is>
      </c>
      <c r="N20" s="3" t="inlineStr">
        <is>
          <t>Speed of thought or deed. Quick-wittedness. Forward progress, purposeful motion. Willingness. Sure-footed, confident, loyal.</t>
        </is>
      </c>
      <c r="O20" s="3" t="inlineStr">
        <is>
          <t>You have the support you need to make swift progress towards your goal. But you must be loyal and supportive to those around you, as they are to you. The horse is proud, but that does not impede its purpose. So while you can be proud of your achievements, you must remain humble to ensure your journey reaches a successful conclusion.</t>
        </is>
      </c>
      <c r="P20" s="2" t="inlineStr">
        <is>
          <t>19</t>
        </is>
      </c>
      <c r="Q20" s="2" t="inlineStr">
        <is>
          <t>White</t>
        </is>
      </c>
      <c r="R20" s="2" t="inlineStr">
        <is>
          <t>Ash</t>
        </is>
      </c>
      <c r="S20" s="3" t="inlineStr">
        <is>
          <t>Comfrey, Clover, Apple Blossom, Chamomile, Cedarwood</t>
        </is>
      </c>
      <c r="T20" s="3" t="inlineStr">
        <is>
          <t>Amazonite, Aventurine, Clear Quartz, Carnelian, Amethyst</t>
        </is>
      </c>
      <c r="U20" s="42" t="inlineStr">
        <is>
          <t>The white ash rune of the horse — Ehwaz represents the speed, strength and beauty of the horse but also the relationship between horse and rider: two intelligences working together. The rune of movement and progress, of loyalty and trust between partners. Where a working needs to move forward, ehwaz provides the momentum.</t>
        </is>
      </c>
      <c r="V20" t="inlineStr">
        <is>
          <t>Love and harmony drawn — ehwaz where partnership and mutual loyalty are being strengthened.</t>
        </is>
      </c>
      <c r="W20" t="inlineStr">
        <is>
          <t>Speed of thought and forward progress — the rune held in any working that must move.</t>
        </is>
      </c>
      <c r="X20" t="inlineStr">
        <is>
          <t>None specified.</t>
        </is>
      </c>
      <c r="Y20" t="inlineStr">
        <is>
          <t>Opens the momentum of the working — where what has been prepared must now begin to move.</t>
        </is>
      </c>
      <c r="Z20" t="inlineStr">
        <is>
          <t>Turns through movement itself — the rune of the horse carrying the working toward its destination.</t>
        </is>
      </c>
      <c r="AA20" t="inlineStr">
        <is>
          <t>The horse rune in its most intimate partnership function — where the trust being built in the working is between two people who must learn to move together without either one carrying all the weight, ehwaz holds the balance of genuine partnership.</t>
        </is>
      </c>
    </row>
    <row r="21" ht="98.25" customHeight="1" s="56">
      <c r="A21" s="4" t="inlineStr">
        <is>
          <t>MANNAZ</t>
        </is>
      </c>
      <c r="B21" s="4" t="inlineStr">
        <is>
          <t>Madr, Madhr, Madthr, Madthur, Mann, Manna, Mannar, Mannazold</t>
        </is>
      </c>
      <c r="C21" s="4" t="inlineStr">
        <is>
          <t>M</t>
        </is>
      </c>
      <c r="D21" s="4" t="inlineStr">
        <is>
          <t>Mah-nawz</t>
        </is>
      </c>
      <c r="E21" s="5" t="inlineStr">
        <is>
          <t>Wisdom, Breaking habits, Wisdom, Intelligence, Communication, Humanity, Truth, Clarity of thought, Knowledge, Intuition, Mental clarity, Sharpening the wits, Sharpening the brain, Mental powers, MEM, Memory, Concentration, Focus, Illumination, Enlightenment, Breaking bad habits, Ending negative self-talk, Letting go of relationships, Ending guilt, Release, Renewal, New beginnings, New beginning spells, Fresh starts, Transformation, Change, rebirth, Breakthrough, Awakening, Growth, New ideas, Assisting transformation, Transformation/Evolution, Prophetic dreams, Invoking dreams, Dream work, Dreams, Visions, Seeing the unseen, Seeing manifestations, Honesty, Removing deception, Subconscious work, Digging into the subconscious, Uprooting what is hidden, Scrying, Dowsing, Treasure seeking, Lost object finding</t>
        </is>
      </c>
      <c r="F21" s="5" t="inlineStr">
        <is>
          <t>Heimdall, Odin, Frigg, Humanity</t>
        </is>
      </c>
      <c r="G21" s="4" t="inlineStr">
        <is>
          <t>Jupiter</t>
        </is>
      </c>
      <c r="H21" s="4" t="inlineStr">
        <is>
          <t>Air</t>
        </is>
      </c>
      <c r="I21" s="4" t="inlineStr">
        <is>
          <t>Male and Female</t>
        </is>
      </c>
      <c r="J21" s="4" t="inlineStr">
        <is>
          <t>Thursday</t>
        </is>
      </c>
      <c r="K21" s="4" t="inlineStr">
        <is>
          <t>Heimdall, Odin, Frigg</t>
        </is>
      </c>
      <c r="L21" s="5" t="inlineStr">
        <is>
          <t>LAMMAS, MABON</t>
        </is>
      </c>
      <c r="M21" s="5" t="inlineStr">
        <is>
          <t>Mannaz represents the human race, humanity, the shared human nature within each individual. We are all members of the human family, yet alone in life and in the final journey into death. Mannaz symbolizes creativity, intelligence, forward planning, and speech and implies co-operation between individuals for the common good. Yourself, your mind and ego, your body. People in general, the world. Friends or family or associates. Clarity of thought. Tolerance, broad-mindedness. Devotion, kindness, consideration and charity. Willingness to change.</t>
        </is>
      </c>
      <c r="N21" s="5" t="inlineStr">
        <is>
          <t>Humanity, self, mind, intelligence, speech, cooperation, creativity.</t>
        </is>
      </c>
      <c r="O21" s="5" t="inlineStr">
        <is>
          <t>Destiny awaits you, so claim it. But to be a spiritual being, you must balance body, mind and spirit. Embrace everything, good and bad alike, with total acceptance, knowing that each new experience will teach more of life. By learning each lesson you will go onwards and upwards.</t>
        </is>
      </c>
      <c r="P21" s="4" t="inlineStr">
        <is>
          <t>20</t>
        </is>
      </c>
      <c r="Q21" s="4" t="inlineStr">
        <is>
          <t>Deep Red</t>
        </is>
      </c>
      <c r="R21" s="4" t="inlineStr">
        <is>
          <t>Holly</t>
        </is>
      </c>
      <c r="S21" s="5" t="inlineStr">
        <is>
          <t>Anise, Bay Laurel, Cinnamon, Chamomile, Black Tea</t>
        </is>
      </c>
      <c r="T21" s="5" t="inlineStr">
        <is>
          <t>Flu, ite, Clear Quartz, Amethyst, Ametrine, Emerald</t>
        </is>
      </c>
      <c r="U21" s="42" t="inlineStr">
        <is>
          <t>The deep red holly rune of humanity — mannaz represents the human race, the shared human condition, the self in relation to all other selves. Used in self-knowledge workings and the breaking of habits that no longer serve. Carries the wisdom that comes from understanding that what we are is also what we share with every other being.</t>
        </is>
      </c>
      <c r="V21" t="inlineStr">
        <is>
          <t>None specified — mannaz works primarily in wisdom and self-knowledge.</t>
        </is>
      </c>
      <c r="W21" t="inlineStr">
        <is>
          <t>Wisdom, truth and clarity of thought — the rune held in deep self-examination.</t>
        </is>
      </c>
      <c r="X21" t="inlineStr">
        <is>
          <t>Breaking habits — where what has been compulsive must be released through understanding.</t>
        </is>
      </c>
      <c r="Y21" t="inlineStr">
        <is>
          <t>Opens wisdom and communication — the mannaz rune for any working where the human condition must be understood.</t>
        </is>
      </c>
      <c r="Z21" t="inlineStr">
        <is>
          <t>Turns through the breaking of habits and the movement into a more honest relationship with the self.</t>
        </is>
      </c>
      <c r="AA21" t="inlineStr">
        <is>
          <t>The humanity rune in its most complete Over 18 self-knowledge function — where the working is about the genuine reckoning with what one is including the aspects that have been most carefully kept from view, mannaz holds that reckoning without judgment.</t>
        </is>
      </c>
    </row>
    <row r="22" ht="98.25" customHeight="1" s="56">
      <c r="A22" s="2" t="inlineStr">
        <is>
          <t>LAGUZ</t>
        </is>
      </c>
      <c r="B22" s="2" t="inlineStr">
        <is>
          <t>Logr, Laukaz, Laaz, Lagur, Lagus, Laukar, Laukr, Logur</t>
        </is>
      </c>
      <c r="C22" s="2" t="inlineStr">
        <is>
          <t>L</t>
        </is>
      </c>
      <c r="D22" s="2" t="inlineStr">
        <is>
          <t>Lah-gooze</t>
        </is>
      </c>
      <c r="E22" s="3" t="inlineStr">
        <is>
          <t>Divination, Water magick, Cleansing, Healing, Clairvoyance, Breaking habits, Clairvoyance, Negating dreams, Emotion, Enhancing divination, Divinatory incense, Foretelling the future, Future divination, Scrying, Dowsing, Prophecy,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Stimulating psychic senses, Disabling psychic phenomena, Psychic communication, communication and psychic abilities, Breaking bad habits, Ending negative self-talk, Letting go of relationships, Ending guilt, Release, Renewal, New beginnings, New beginning spells, Fresh starts, Transformation, Change, rebirth, Breakthrough, Awakening, Growth, New ideas, Assisting transformation, Transformation/Evolution, Nightmare prevention, Preventing nightmares, RID OF BAD DREAMS, Nightmares, Sleep, Rest, Encouraging sound sleep, Relaxation, Serenity, Calm</t>
        </is>
      </c>
      <c r="F22" s="3" t="inlineStr">
        <is>
          <t>Njord, Nerthus, Water, Intuition</t>
        </is>
      </c>
      <c r="G22" s="2" t="inlineStr">
        <is>
          <t>The Moon</t>
        </is>
      </c>
      <c r="H22" s="2" t="inlineStr">
        <is>
          <t>Water</t>
        </is>
      </c>
      <c r="I22" s="2" t="inlineStr">
        <is>
          <t>Female</t>
        </is>
      </c>
      <c r="J22" s="2" t="inlineStr">
        <is>
          <t>Monday</t>
        </is>
      </c>
      <c r="K22" s="2" t="inlineStr">
        <is>
          <t>Njord, Nerthus</t>
        </is>
      </c>
      <c r="L22" s="3" t="inlineStr">
        <is>
          <t>SAMHAIN</t>
        </is>
      </c>
      <c r="M22" s="3" t="inlineStr">
        <is>
          <t>Laguz means water, a vital part of life, but a constant danger, just as our journey through life encounters risks. Laguz contains elements of fluidity, changeability, and a lack of control. It represents the sensual madness of sexuality, the unconscious, intuitive, and psychic abilities. It's deceptive elements come from its variety, rather than from any menace. Traditionally, Laguz is the ultimate female rune. Associations with water in all its forms. Cleansing action. Tidal movement - ebb and flow. Fortuitous omen for overseas travel, fishing or other aquatic activities.</t>
        </is>
      </c>
      <c r="N22" s="3" t="inlineStr">
        <is>
          <t>Water, intuition, emotion, fluidity, psychic ability, unconscious mind.</t>
        </is>
      </c>
      <c r="O22" s="3" t="inlineStr">
        <is>
          <t>Only by attunement to creation will your life truly flow as it is meant to. Emotional balance comes from harmony with creation around you. For example, natural foods lead to natural flow, whereas unnatural foods lead to disharmony and stagnation. The sea is always fluid and moving, so it should be with your life. Embrace change itself, for it is the only true constant in life.</t>
        </is>
      </c>
      <c r="P22" s="2" t="inlineStr">
        <is>
          <t>21</t>
        </is>
      </c>
      <c r="Q22" s="2" t="inlineStr">
        <is>
          <t>Dark Green</t>
        </is>
      </c>
      <c r="R22" s="2" t="inlineStr">
        <is>
          <t>Osier willow</t>
        </is>
      </c>
      <c r="S22" s="3" t="inlineStr">
        <is>
          <t>Anise, Coltsfoot, Camph, Chamomile, Clover</t>
        </is>
      </c>
      <c r="T22" s="3" t="inlineStr">
        <is>
          <t>Aquamarine, Amethyst, Chrysocolla, Clear Quartz, Flu, ite</t>
        </is>
      </c>
      <c r="U22" s="42" t="inlineStr">
        <is>
          <t>The dark green osier willow rune of water — the river moving through the deep wood, finding its way regardless of what stands in it. Laguz means water and carries all water's properties: fluidity, changeability, the unconscious, the psychic, the emotional truth that surfaces when the surface is still enough to look into. The ultimate feminine rune.</t>
        </is>
      </c>
      <c r="V22" t="inlineStr">
        <is>
          <t>None specified — laguz works primarily in psychic opening and emotional healing.</t>
        </is>
      </c>
      <c r="W22" t="inlineStr">
        <is>
          <t>Healing and psychic ability — the water rune in healing and sight-opening work.</t>
        </is>
      </c>
      <c r="X22" t="inlineStr">
        <is>
          <t>Breaking habits — where the water's flow must dissolve what has been dammed.</t>
        </is>
      </c>
      <c r="Y22" t="inlineStr">
        <is>
          <t>Opens divination and the clairvoyance that comes through water — laguz the primary psychic rune.</t>
        </is>
      </c>
      <c r="Z22" t="inlineStr">
        <is>
          <t>Turns through cleansing and healing — the river carrying away what must go, leaving what must stay.</t>
        </is>
      </c>
      <c r="AA22" t="inlineStr">
        <is>
          <t>The water rune in its most completely fluid Over 18 function — where the working must flow around every obstacle without forcing, where what is being released has been dammed for too long and must now be allowed to move as water always eventually moves.</t>
        </is>
      </c>
    </row>
    <row r="23" ht="98.25" customHeight="1" s="56">
      <c r="A23" s="4" t="inlineStr">
        <is>
          <t>INGWAZ</t>
        </is>
      </c>
      <c r="B23" s="4" t="inlineStr">
        <is>
          <t>Inguz, Enguz, Iggus, Ingvarr, Ingwar</t>
        </is>
      </c>
      <c r="C23" s="4" t="inlineStr">
        <is>
          <t>NG</t>
        </is>
      </c>
      <c r="D23" s="4" t="inlineStr">
        <is>
          <t>Ing-wahz</t>
        </is>
      </c>
      <c r="E23" s="5" t="inlineStr">
        <is>
          <t>Fertility, Peace, Harmony, Completion, Love, Unity, Wholeness, Happiness,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Joy, Joyous celebrations, Contentment</t>
        </is>
      </c>
      <c r="F23" s="5" t="inlineStr">
        <is>
          <t>Ing, Frey, Peace, Harmony</t>
        </is>
      </c>
      <c r="G23" s="4" t="inlineStr">
        <is>
          <t>Cancer, The New Moon</t>
        </is>
      </c>
      <c r="H23" s="4" t="inlineStr">
        <is>
          <t>Earth and Water</t>
        </is>
      </c>
      <c r="I23" s="4" t="inlineStr">
        <is>
          <t>Male</t>
        </is>
      </c>
      <c r="J23" s="4" t="inlineStr">
        <is>
          <t>Friday</t>
        </is>
      </c>
      <c r="K23" s="4" t="inlineStr">
        <is>
          <t>Ing, Frey</t>
        </is>
      </c>
      <c r="L23" s="5" t="inlineStr">
        <is>
          <t>Lughnasadh</t>
        </is>
      </c>
      <c r="M23" s="5" t="inlineStr">
        <is>
          <t>Ingwaz representing Ing therefore symbolises peace, unity, harmony, agreement, togetherness and undying love between romantic partners. It portends completion, the certainty of a conclusion. This could include the male orgasmic force, or birth as the conclusion to pregnancy. Ingwaz is associated with healthy, wholesome sexuality, a strong, affectionate family, and a safe, secure hearth and home. It also symbolizes protection, and contains the idea of a beacon, a light shining in the darkness, and therefore, spiritual inspiration.</t>
        </is>
      </c>
      <c r="N23" s="5" t="inlineStr">
        <is>
          <t>Harmony, unity, love, peace, completion, fertility, wholesome sexuality.</t>
        </is>
      </c>
      <c r="O23" s="5" t="inlineStr">
        <is>
          <t>On your spiritual path you may feel isolated, but within you burns the fire of inspiration urging you onward and upward. Feed the fire by perseverance. Seek answers but don't get encumbered with irrelevant questions. Live one day at a time, knowing that the past is just a memory, the future just a dream, and the here and now is what matters.</t>
        </is>
      </c>
      <c r="P23" s="4" t="inlineStr">
        <is>
          <t>22</t>
        </is>
      </c>
      <c r="Q23" s="4" t="inlineStr">
        <is>
          <t>Yellow</t>
        </is>
      </c>
      <c r="R23" s="4" t="inlineStr">
        <is>
          <t>Apple</t>
        </is>
      </c>
      <c r="S23" s="5" t="inlineStr">
        <is>
          <t>Clover, Red Clover, Apple Blossom, Chamomile, Cinnamon</t>
        </is>
      </c>
      <c r="T23" s="5" t="inlineStr">
        <is>
          <t>Aventurine, Carnelian, Chrysocolla, Amazonite, Emerald</t>
        </is>
      </c>
      <c r="U23" s="42" t="inlineStr">
        <is>
          <t>The yellow apple rune of Ing — representing peace, unity and the completion of a cycle. Ingwaz symbolises the new seed planted and the fertility that follows. The rune of wholeness: where what was fragmented is now complete, where what was separate is now united. The new moon rune of the internal harvest.</t>
        </is>
      </c>
      <c r="V23" t="inlineStr">
        <is>
          <t>Fertility, peace, harmony, love and happiness drawn — ingwaz the completion rune.</t>
        </is>
      </c>
      <c r="W23" t="inlineStr">
        <is>
          <t>None specified.</t>
        </is>
      </c>
      <c r="X23" t="inlineStr">
        <is>
          <t>None specified.</t>
        </is>
      </c>
      <c r="Y23" t="inlineStr">
        <is>
          <t>Opens the path of the spiritual journey — where isolation on the path must be accepted as part of the process.</t>
        </is>
      </c>
      <c r="Z23" t="inlineStr">
        <is>
          <t>Turns through fertility and the completion of cycles — the seed that was planted now yielding what it was always going to become.</t>
        </is>
      </c>
      <c r="AA23" t="inlineStr">
        <is>
          <t>The rune of Ing — unity, wholeness and the peace that follows the full joining of two people. The new moon rune of completion. Where sacred union is the working, ingwaz holds the shape of what it means for two to become genuinely one, in every sense of the word.</t>
        </is>
      </c>
    </row>
    <row r="24" ht="110.25" customHeight="1" s="56">
      <c r="A24" s="2" t="inlineStr">
        <is>
          <t>OTHILA</t>
        </is>
      </c>
      <c r="B24" s="2" t="inlineStr">
        <is>
          <t>Odal, Odhal, Odthal, Ogthala, Otael, Othal, Othala, Othalan, Othilia, Utal</t>
        </is>
      </c>
      <c r="C24" s="2" t="inlineStr">
        <is>
          <t>O</t>
        </is>
      </c>
      <c r="D24" s="2" t="inlineStr">
        <is>
          <t>Oh-thee-law</t>
        </is>
      </c>
      <c r="E24" s="3" t="inlineStr">
        <is>
          <t>Family, Heritage, Home blessing, Inheritance, Legacy, Protection, Prosperity, Increasing wealth,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t>
        </is>
      </c>
      <c r="F24" s="3" t="inlineStr">
        <is>
          <t>Odin, Home, Heritage</t>
        </is>
      </c>
      <c r="G24" s="2" t="inlineStr">
        <is>
          <t>Full Moon</t>
        </is>
      </c>
      <c r="H24" s="2" t="inlineStr">
        <is>
          <t>Earth</t>
        </is>
      </c>
      <c r="I24" s="2" t="inlineStr">
        <is>
          <t>Male</t>
        </is>
      </c>
      <c r="J24" s="2" t="inlineStr">
        <is>
          <t>Monday</t>
        </is>
      </c>
      <c r="K24" s="2" t="inlineStr">
        <is>
          <t>Odin</t>
        </is>
      </c>
      <c r="L24" s="3" t="inlineStr">
        <is>
          <t>IMBOLC</t>
        </is>
      </c>
      <c r="M24" s="3" t="inlineStr">
        <is>
          <t>Othila means the ancestral country or home, property, and fixed wealth or inheritance. This can include your inherited characteristics from past generations that you will also pass on to your children – or it can represent a united family's strength. Othila can be seen as everything that you have accumulated during your lifetime, and can also represent your spiritual home. Acquisition. Benefit through inheritance or birthright. Fair play. Great mental capacity. Adventurous nature. Cultural maturity. Personal skill, adaptability. Love of family, home and homeland, patriotism. The honest and just are destined for great wealth.</t>
        </is>
      </c>
      <c r="N24" s="3" t="inlineStr">
        <is>
          <t>Home, heritage, family, inheritance, property, legacy, prosperity.</t>
        </is>
      </c>
      <c r="O24" s="3" t="inlineStr">
        <is>
          <t>At this time of re-focusing, fix your goal firmly in your mind and let your thoughts attract the energy you need to reach it. You must concentrate to read all the signs, but don't try to force the issues. Your objective is like a wild bird in the palm of your hand. If you grip too tightly, you risk killing it.</t>
        </is>
      </c>
      <c r="P24" s="2" t="inlineStr">
        <is>
          <t>23</t>
        </is>
      </c>
      <c r="Q24" s="2" t="inlineStr">
        <is>
          <t>Deep Yellow</t>
        </is>
      </c>
      <c r="R24" s="2" t="inlineStr">
        <is>
          <t>Hawthorn (mayflower)</t>
        </is>
      </c>
      <c r="S24" s="3" t="inlineStr">
        <is>
          <t>Cedarwood, Blackberry Leaves, Comfrey, Cinnamon, Bay Laurel</t>
        </is>
      </c>
      <c r="T24" s="3" t="inlineStr">
        <is>
          <t>Garnet, Bloodstone, Clear Quartz, Amethyst, Apache Tears</t>
        </is>
      </c>
      <c r="U24" s="42" t="inlineStr">
        <is>
          <t>The deep yellow hawthorn rune of ancestral land — othila means the home, property, financial affairs and the ancestral heritage. The rune of what has been inherited: land, money, wisdom, the shape of one's life determined by what came before. Used in family workings, home blessings and the claiming of what is rightfully owed.</t>
        </is>
      </c>
      <c r="V24" t="inlineStr">
        <is>
          <t>Prosperity and the inheritance of abundance drawn — othila where what was earned by ancestors is now being claimed.</t>
        </is>
      </c>
      <c r="W24" t="inlineStr">
        <is>
          <t>Protection — the protection of home and family heritage.</t>
        </is>
      </c>
      <c r="X24" t="inlineStr">
        <is>
          <t>None specified.</t>
        </is>
      </c>
      <c r="Y24" t="inlineStr">
        <is>
          <t>Opens the family thread — where what was passed down must now be understood before it can be worked with.</t>
        </is>
      </c>
      <c r="Z24" t="inlineStr">
        <is>
          <t>Turns through the claiming of ancestral inheritance — what was left must now be taken up and carried forward.</t>
        </is>
      </c>
      <c r="AA24" t="inlineStr">
        <is>
          <t>The ancestral home rune in its most complete inheritance function — where what is being claimed from the ancestral line includes the full inheritance of what the lineage has carried including what was never spoken aloud but was always passed on.</t>
        </is>
      </c>
    </row>
    <row r="25" ht="110.25" customHeight="1" s="56">
      <c r="A25" s="4" t="inlineStr">
        <is>
          <t>DAGAZ</t>
        </is>
      </c>
      <c r="B25" s="4" t="inlineStr">
        <is>
          <t>Dag, Daeg, Daaz, Dagr, Dagar, Dagur, Dags, Daguz</t>
        </is>
      </c>
      <c r="C25" s="4" t="inlineStr">
        <is>
          <t>D</t>
        </is>
      </c>
      <c r="D25" s="4" t="inlineStr">
        <is>
          <t>Daw-ghawz</t>
        </is>
      </c>
      <c r="E25" s="5" t="inlineStr">
        <is>
          <t>Transformation, Breakthrough, New beginnings, Awakening, Clarity, Illumination, Success, Clairvoyance, Prosperity, Breaking habits, Breaking bad habits, Ending negative self-talk, Letting go of relationships, Ending guilt, Release, Renewal, New beginning spells, Fresh starts, Change, rebirth, Growth, New ideas, Assisting transformation, Transformation/Evolution, Wisdom, Knowledge, Intelligence, Intuition, Mental clarity, Sharpening the wits, Sharpening the brain, Mental powers, MEM, Memory, Concentration, Focus, Enlightenment, Victory, victory in battle, Conquest, Overcoming opposition, Courtroom success, Legal matters, Justice, Enhancing clairvoyance, Psychic development, Psychic powers, INCREASE PSYCHIC ABILITIES, Psychic awareness, Stimulating psychic senses, Disabling psychic phenomena, Psychic communication, communication and psychic abilities,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F25" s="5" t="inlineStr">
        <is>
          <t>Heimdall, Day, Light, Breakthrough</t>
        </is>
      </c>
      <c r="G25" s="4" t="inlineStr">
        <is>
          <t>Full Moon</t>
        </is>
      </c>
      <c r="H25" s="4" t="inlineStr">
        <is>
          <t>Fire and Air</t>
        </is>
      </c>
      <c r="I25" s="4" t="inlineStr">
        <is>
          <t>Male</t>
        </is>
      </c>
      <c r="J25" s="4" t="inlineStr">
        <is>
          <t>Sunday</t>
        </is>
      </c>
      <c r="K25" s="4" t="inlineStr">
        <is>
          <t>Heimdall</t>
        </is>
      </c>
      <c r="L25" s="5" t="inlineStr">
        <is>
          <t>Summer and Winter solstice</t>
        </is>
      </c>
      <c r="M25" s="5" t="inlineStr">
        <is>
          <t>Dagaz means day, and in the Nordic lands of long nights and winters, the day is strongly associated with light and life. Dagaz is the essence of natural daylight, the new light of dawn, and the strength of the sun. Spiritually, it is the divine light, the high point of the natural cycle of darkness-light-darkness. It signifies brightness, growth, progress, development, and sometimes fundamental change. A breakthrough. A new dawn or a major change of direction. Achievement and prosperity, a successful conclusion to a passage. Darkness is behind you because a new day has begun.</t>
        </is>
      </c>
      <c r="N25" s="5" t="inlineStr">
        <is>
          <t>Day, light, dawn, breakthrough, transformation, growth, progress.</t>
        </is>
      </c>
      <c r="O25" s="5" t="inlineStr">
        <is>
          <t>The divine light is guiding you towards your goal. Remain true, and good fortune will be with you. You are well protected by the power of the light. It will give you clear vision to avoid dangers, but don't be blinded by your ego. Remain humble and thankful for all the good things that come to you.</t>
        </is>
      </c>
      <c r="P25" s="4" t="inlineStr">
        <is>
          <t>24</t>
        </is>
      </c>
      <c r="Q25" s="4" t="inlineStr">
        <is>
          <t>Light Blue</t>
        </is>
      </c>
      <c r="R25" s="4" t="inlineStr">
        <is>
          <t>Spruce</t>
        </is>
      </c>
      <c r="S25" s="5" t="inlineStr">
        <is>
          <t>Cinnamon, Camph, Chamomile, Bay Laurel, Anise</t>
        </is>
      </c>
      <c r="T25" s="5" t="inlineStr">
        <is>
          <t>Citrine, Ametrine, Clear Quartz, Flu, ite, Carnelian</t>
        </is>
      </c>
      <c r="U25" s="42" t="inlineStr">
        <is>
          <t>The light blue spruce rune of the breakthrough day — dagaz means daylight in the Nordic lands of long nights, which means it means the extraordinary, the merciful, the moment when what was dark becomes light. The transformation and breakthrough rune: awakening, clarity, illumination, the victory that comes at dawn after the longest night.</t>
        </is>
      </c>
      <c r="V25" t="inlineStr">
        <is>
          <t>New beginnings, prosperity and growth drawn — dagaz the dawn rune.</t>
        </is>
      </c>
      <c r="W25" t="inlineStr">
        <is>
          <t>Clarity — the daylight held steady.</t>
        </is>
      </c>
      <c r="X25" t="inlineStr">
        <is>
          <t>Breakthrough and transformation — dagaz's releasing function, where what was holding must now break.</t>
        </is>
      </c>
      <c r="Y25" t="inlineStr">
        <is>
          <t>Opens clairvoyance and the dawn vision — where what was too dark to see is suddenly illuminated.</t>
        </is>
      </c>
      <c r="Z25" t="inlineStr">
        <is>
          <t>Turns through new beginnings fed by old energy — the night's long darkness having done its work, the day now free to begin.</t>
        </is>
      </c>
      <c r="AA25" t="inlineStr">
        <is>
          <t>The breakthrough day rune in its most complete Over 18 function — where the breakthrough being worked is through the most resistant layer of what has been held, dagaz is the rune for the dawn that comes after the longest and most difficult night.</t>
        </is>
      </c>
    </row>
  </sheetData>
  <autoFilter ref="A1:T1"/>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Q106"/>
  <sheetViews>
    <sheetView zoomScaleNormal="100" workbookViewId="0">
      <pane xSplit="1" ySplit="1" topLeftCell="B2" activePane="bottomRight" state="frozen"/>
      <selection pane="bottomLeft" activeCell="A2" sqref="A2"/>
      <selection pane="topRight" activeCell="B1" sqref="B1"/>
      <selection pane="bottomRight" activeCell="A1" sqref="A1"/>
    </sheetView>
  </sheetViews>
  <sheetFormatPr baseColWidth="8" defaultColWidth="8.7421875" defaultRowHeight="15"/>
  <cols>
    <col width="22.05859375" customWidth="1" style="56" min="1" max="1"/>
    <col width="13.98828125" customWidth="1" style="56" min="2" max="2"/>
    <col width="11.97265625" customWidth="1" style="56" min="3" max="3"/>
    <col width="13.98828125" customWidth="1" style="56" min="4" max="5"/>
    <col width="11.97265625" customWidth="1" style="56" min="6" max="6"/>
    <col width="13.98828125" customWidth="1" style="56" min="7" max="7"/>
    <col width="55.01953125" customWidth="1" style="56" min="8" max="8"/>
    <col width="34.97265625" customWidth="1" style="56" min="9" max="9"/>
    <col width="69.94921875" customWidth="1" style="56" min="10" max="11"/>
    <col width="55.01953125" customWidth="1" style="56" min="12" max="12"/>
    <col width="34.97265625" customWidth="1" style="56" min="13" max="14"/>
  </cols>
  <sheetData>
    <row r="1" ht="31.5" customHeight="1" s="56">
      <c r="A1" s="1" t="inlineStr">
        <is>
          <t>Name/Entity</t>
        </is>
      </c>
      <c r="B1" s="1" t="inlineStr">
        <is>
          <t>Type</t>
        </is>
      </c>
      <c r="C1" s="1" t="inlineStr">
        <is>
          <t>Polarity</t>
        </is>
      </c>
      <c r="D1" s="1" t="inlineStr">
        <is>
          <t>Element</t>
        </is>
      </c>
      <c r="E1" s="1" t="inlineStr">
        <is>
          <t>Planet</t>
        </is>
      </c>
      <c r="F1" s="1" t="inlineStr">
        <is>
          <t>Sacred Day</t>
        </is>
      </c>
      <c r="G1" s="1" t="inlineStr">
        <is>
          <t>Season</t>
        </is>
      </c>
      <c r="H1" s="1" t="inlineStr">
        <is>
          <t>Magical Uses</t>
        </is>
      </c>
      <c r="I1" s="1" t="inlineStr">
        <is>
          <t>Associated Herbs</t>
        </is>
      </c>
      <c r="J1" s="1" t="inlineStr">
        <is>
          <t>Description</t>
        </is>
      </c>
      <c r="K1" s="1" t="inlineStr">
        <is>
          <t>Famous Magic</t>
        </is>
      </c>
      <c r="L1" s="1" t="inlineStr">
        <is>
          <t>Greenman Energy</t>
        </is>
      </c>
      <c r="M1" s="33" t="inlineStr">
        <is>
          <t>Associated Crystals</t>
        </is>
      </c>
      <c r="N1" s="34" t="inlineStr">
        <is>
          <t>Associated Oils</t>
        </is>
      </c>
      <c r="O1" t="inlineStr">
        <is>
          <t>Greenman Energy — Open / Reveal</t>
        </is>
      </c>
      <c r="P1" t="inlineStr">
        <is>
          <t>Greenman Energy — Transform / Turn</t>
        </is>
      </c>
      <c r="Q1" t="inlineStr">
        <is>
          <t>Deity Gender</t>
        </is>
      </c>
    </row>
    <row r="2" ht="74.25" customHeight="1" s="56">
      <c r="A2" s="2" t="inlineStr">
        <is>
          <t>AESCULAPUS</t>
        </is>
      </c>
      <c r="B2" s="2" t="inlineStr">
        <is>
          <t>Deity</t>
        </is>
      </c>
      <c r="C2" s="2" t="inlineStr">
        <is>
          <t>Masculine</t>
        </is>
      </c>
      <c r="D2" s="2" t="inlineStr">
        <is>
          <t>Air/Water</t>
        </is>
      </c>
      <c r="E2" s="2" t="inlineStr">
        <is>
          <t>Sun/Mercury</t>
        </is>
      </c>
      <c r="F2" s="2" t="inlineStr">
        <is>
          <t>Sunday</t>
        </is>
      </c>
      <c r="G2" s="2" t="inlineStr">
        <is>
          <t>All Seasons</t>
        </is>
      </c>
      <c r="H2" s="3" t="inlineStr">
        <is>
          <t>New beginnings, Love rituals, Love, Aphrodisiac, Dispelling sickness, Harmony, Attraction, Healing,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t>
        </is>
      </c>
      <c r="I2" s="3" t="inlineStr">
        <is>
          <t>Bay Laurel, Yarrow, Mint</t>
        </is>
      </c>
      <c r="J2" s="3" t="inlineStr">
        <is>
          <t>Greek goddess of love, beauty, and passion.</t>
        </is>
      </c>
      <c r="K2" s="3" t="inlineStr">
        <is>
          <t>Master healer and god of medicine who could resurrect the dead. Trained by the centaur Chiron in herbalism and surgery, and gifted by Athena with a vial of Gorgon blood — the blood from the right side could raise the dead. His Rod of Asclepius, a serpent-entwined staff, remains the universal symbol of medicine. Zeus struck him down with a thunderbolt for disrupting the natural order of life and death, fearing mortals might achieve immortality through his power.</t>
        </is>
      </c>
      <c r="L2" s="3" t="inlineStr">
        <is>
          <t>He is found in the green magic of the shedding serpent, winding its way through patches of wild mint, yarrow, and medicinal herbs, representing the shedding of sickness and the earth's endless capacity for renewal.</t>
        </is>
      </c>
      <c r="M2" s="35" t="n"/>
      <c r="N2" s="36" t="n"/>
      <c r="O2" t="inlineStr">
        <is>
          <t>River hush with wind in high branches, where sun-strength gathers around AESCULAPUS. Opens the deeper thread of New beginnings, letting what is buried inside the working show its true face. A presence for spells that need the unseen made speakable.</t>
        </is>
      </c>
      <c r="P2" t="inlineStr">
        <is>
          <t>River hush with wind in high branches, with sun-strength turning through AESCULAPUS. Turns New beginnings, feeding Dispelling sickness back into the soil of the spell. A guiding presence when the spell must shift, heal, end or begin.</t>
        </is>
      </c>
      <c r="Q2" t="inlineStr">
        <is>
          <t>God</t>
        </is>
      </c>
    </row>
    <row r="3" ht="61.5" customHeight="1" s="56">
      <c r="A3" s="4" t="inlineStr">
        <is>
          <t>ALL</t>
        </is>
      </c>
      <c r="B3" s="4" t="inlineStr">
        <is>
          <t>Deity</t>
        </is>
      </c>
      <c r="C3" s="4" t="inlineStr">
        <is>
          <t>All</t>
        </is>
      </c>
      <c r="D3" s="4" t="inlineStr">
        <is>
          <t>All</t>
        </is>
      </c>
      <c r="E3" s="4" t="inlineStr">
        <is>
          <t>All</t>
        </is>
      </c>
      <c r="F3" s="4" t="inlineStr">
        <is>
          <t>Any</t>
        </is>
      </c>
      <c r="G3" s="4" t="inlineStr">
        <is>
          <t>All Seasons</t>
        </is>
      </c>
      <c r="H3" s="5" t="inlineStr">
        <is>
          <t>Confidence, Spirit offerings, Mabon/Samhain, Samhain/ancestral altars, Contacting planes, Strength,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Physical Strength, Fortitude, Vitality, Inner power, and strength</t>
        </is>
      </c>
      <c r="I3" s="5" t="inlineStr">
        <is>
          <t>All herbs (Universal connection)</t>
        </is>
      </c>
      <c r="J3" s="5" t="inlineStr">
        <is>
          <t>Greek god of war and physical valor.</t>
        </is>
      </c>
      <c r="K3" s="5" t="inlineStr">
        <is>
          <t>The totality of divine presence and power across all traditions — the web of connection between every deity, spirit, and force. In magic and ritual, calling upon 'All' invokes the complete field of universal energy: every element, every direction, every pantheon simultaneously present. A reminder that all gods and goddesses are facets of a single, infinite creative source.</t>
        </is>
      </c>
      <c r="L3" s="5" t="inlineStr">
        <is>
          <t>The collective hum of the ancient forest, where every mycelial thread, rustling leaf, and flowing stream connects into a single, breathing organism.</t>
        </is>
      </c>
      <c r="M3" s="35" t="inlineStr">
        <is>
          <t>Aragonite, Citrine, Kyanite, quartz Rose, Tourmalinee Black, Turquoise, Emerald</t>
        </is>
      </c>
      <c r="N3" s="36" t="inlineStr">
        <is>
          <t>Bergamot, Tea Tree</t>
        </is>
      </c>
      <c r="O3" t="inlineStr">
        <is>
          <t>Green shade, root-breath and the old speech of the wildwood, where wildwood force gathers around ALL. Opens Spirit offerings without forcing it, letting spirit rise from the green dark. A presence for spells that need the unseen made speakable.</t>
        </is>
      </c>
      <c r="P3" t="inlineStr">
        <is>
          <t>Green shade, root-breath and the old speech of the wildwood, with wildwood force turning through ALL. Turns Strength, feeding old energy into new growth back into the soil of the spell. A guiding presence when the spell must shift, heal, end or begin.</t>
        </is>
      </c>
      <c r="Q3" t="inlineStr">
        <is>
          <t>Both</t>
        </is>
      </c>
    </row>
    <row r="4" ht="61.5" customHeight="1" s="56">
      <c r="A4" s="2" t="inlineStr">
        <is>
          <t>ALL GODDESSES</t>
        </is>
      </c>
      <c r="B4" s="2" t="inlineStr">
        <is>
          <t>Deity</t>
        </is>
      </c>
      <c r="C4" s="2" t="inlineStr">
        <is>
          <t>Feminine</t>
        </is>
      </c>
      <c r="D4" s="2" t="inlineStr">
        <is>
          <t>All</t>
        </is>
      </c>
      <c r="E4" s="2" t="inlineStr">
        <is>
          <t>Moon/Venus</t>
        </is>
      </c>
      <c r="F4" s="2" t="inlineStr">
        <is>
          <t>Any</t>
        </is>
      </c>
      <c r="G4" s="2" t="inlineStr">
        <is>
          <t>All Seasons</t>
        </is>
      </c>
      <c r="H4" s="3" t="inlineStr">
        <is>
          <t>Divination, Fruitfulness, Love, Increasing wealth, Attraction, Love spells, Prophetic dreams, Sun God offerings, Luck, Love rituals, Aphrodisiac, Prosperity, New beginnings, Confidence, Star magick, Strength, Fertility, Harmony, Happiness, Clairvoyance, Enhancing divination, Divinatory incense, Foretelling the future, Future divination, Scrying, Dowsing, Prophecy,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Attracting a mate, Attracting a soulmate, Conjuring a lover, HELP ATTRACT OPPOSITE SEX, Finding future love, Invoking dreams, Dream work, Dreams, Visions, Seeing the unseen, Seeing manifestations, Truth, Honesty, Removing deception, Subconscious work, Digging into the subconscious, Uprooting what is hidden, Treasure seeking, Lost object finding,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t>
        </is>
      </c>
      <c r="I4" s="3" t="inlineStr">
        <is>
          <t>Rose, Mugw, Amulets/talismans, Willow</t>
        </is>
      </c>
      <c r="J4" s="3" t="inlineStr">
        <is>
          <t>Greek goddess of the hunt, wilderness, and moon.</t>
        </is>
      </c>
      <c r="K4" s="3" t="inlineStr">
        <is>
          <t>The collective magical force of every goddess across every culture and age — from the primordial earth mothers to the celestial queens of the stars. Their combined power governs birth, death, rebirth, fertility, magic, wisdom, war, love, and sovereignty. Together they represent the full spectrum of feminine divine power: creating, nurturing, protecting, transforming, and destroying in an eternal cycle.</t>
        </is>
      </c>
      <c r="L4" s="3" t="inlineStr">
        <is>
          <t>The fertile soil itself, holding the seeds of all wildflowers in a dormant, protective embrace before coaxing them to burst into bloom under the spring sun.</t>
        </is>
      </c>
      <c r="M4" s="35" t="n"/>
      <c r="N4" s="36" t="n"/>
      <c r="O4" t="inlineStr">
        <is>
          <t>Green shade, root-breath and the old speech of the wildwood, where moon-sight gathers around ALL GODDESSES. Opens Divination without forcing it, letting Prophetic dreams rise from the green dark. A presence for spells that need the unseen made speakable.</t>
        </is>
      </c>
      <c r="P4" t="inlineStr">
        <is>
          <t>Green shade, root-breath and the old speech of the wildwood, with moon-sight turning through ALL GODDESSES. Turns the spell through Divination, moving its energy from what was into what must grow next. A guiding presence when the spell must shift, heal, end or begin.</t>
        </is>
      </c>
      <c r="Q4" t="inlineStr">
        <is>
          <t>Goddess</t>
        </is>
      </c>
    </row>
    <row r="5" ht="61.5" customHeight="1" s="56">
      <c r="A5" s="4" t="inlineStr">
        <is>
          <t>ALL LUNAR GODDESSES</t>
        </is>
      </c>
      <c r="B5" s="4" t="inlineStr">
        <is>
          <t>Deity</t>
        </is>
      </c>
      <c r="C5" s="4" t="inlineStr">
        <is>
          <t>Feminine</t>
        </is>
      </c>
      <c r="D5" s="4" t="inlineStr">
        <is>
          <t>Water</t>
        </is>
      </c>
      <c r="E5" s="4" t="inlineStr">
        <is>
          <t>Moon</t>
        </is>
      </c>
      <c r="F5" s="4" t="inlineStr">
        <is>
          <t>Monday</t>
        </is>
      </c>
      <c r="G5" s="4" t="inlineStr">
        <is>
          <t>All Seasons</t>
        </is>
      </c>
      <c r="H5" s="5" t="inlineStr">
        <is>
          <t>Divination, New beginnings, Fruitfulness, Confidence, Prophetic dreams, Sun God offerings, Luck, Happiness, Star magick, Increasing wealth, Strength,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I5" s="5" t="inlineStr">
        <is>
          <t>Jasmine, Moonflower, Willow</t>
        </is>
      </c>
      <c r="J5" s="5" t="inlineStr">
        <is>
          <t>Ancient Semitic goddess of fertility and war.</t>
        </is>
      </c>
      <c r="K5" s="5" t="inlineStr">
        <is>
          <t>The united magical power of every moon deity — Selene, Artemis, Hecate, Arianrhod, Chang'e, Tsukuyomi and all others. They govern the tides, the menstrual cycle, dreams, illusions, the psychic arts, and the mysteries of the night. Their triple-goddess aspect (waxing, full, waning) embodies the maiden, mother, and crone, weaving together the entire arc of feminine experience and transformative magic.</t>
        </is>
      </c>
      <c r="L5" s="5" t="inlineStr">
        <is>
          <t>The night-blooming jasmine and moonflowers that open their pale petals to the silver light, drawing down the evening dew to nourish the nocturnal earth.</t>
        </is>
      </c>
      <c r="M5" s="35" t="n"/>
      <c r="N5" s="36" t="n"/>
      <c r="O5" t="inlineStr">
        <is>
          <t>River hush, moonlit pools and the soft pull of tide, where moon-sight gathers around ALL LUNAR GODDESSES. Opens Divination without forcing it, letting Prophetic dreams rise from the green dark. A presence for spells that need the unseen made speakable.</t>
        </is>
      </c>
      <c r="P5" t="inlineStr">
        <is>
          <t>River hush, moonlit pools and the soft pull of tide, with moon-sight turning through ALL LUNAR GODDESSES. Turns New beginnings, feeding Strength back into the soil of the spell. A guiding presence when the spell must shift, heal, end or begin.</t>
        </is>
      </c>
      <c r="Q5" t="inlineStr">
        <is>
          <t>Goddess</t>
        </is>
      </c>
    </row>
    <row r="6" ht="74.25" customHeight="1" s="56">
      <c r="A6" s="2" t="inlineStr">
        <is>
          <t>ALLAT</t>
        </is>
      </c>
      <c r="B6" s="2" t="inlineStr">
        <is>
          <t>Deity</t>
        </is>
      </c>
      <c r="C6" s="2" t="inlineStr">
        <is>
          <t>Feminine</t>
        </is>
      </c>
      <c r="D6" s="2" t="inlineStr">
        <is>
          <t>Earth</t>
        </is>
      </c>
      <c r="E6" s="2" t="inlineStr">
        <is>
          <t>Venus</t>
        </is>
      </c>
      <c r="F6" s="2" t="inlineStr">
        <is>
          <t>Friday</t>
        </is>
      </c>
      <c r="G6" s="2" t="inlineStr">
        <is>
          <t>Spring/Summer</t>
        </is>
      </c>
      <c r="H6" s="3"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6" s="3" t="inlineStr">
        <is>
          <t>Date Palm, Cedar</t>
        </is>
      </c>
      <c r="J6" s="3" t="inlineStr">
        <is>
          <t>Phrygian god of vegetation, consort of Cybele.</t>
        </is>
      </c>
      <c r="K6" s="3" t="inlineStr">
        <is>
          <t>One of the three great pre-Islamic Arabian goddesses — daughters of Allah — alongside Al-Uzza and Manat. She was the goddess of fertility, agriculture, and the earth, her sacred stone at Ta'if a cube of white granite venerated across Arabia. Associated with Athena in the Hellenistic period, she wielded the power of rain, crops, and the enduring covenant between the divine and the land. Her name means 'The Goddess' — the primordial feminine divine of the desert world.</t>
        </is>
      </c>
      <c r="L6" s="3" t="inlineStr">
        <is>
          <t>The profound magic of the desert oasis, where deep underground springs miraculously push through the arid sands to sustain the deep roots of ancient date palms.</t>
        </is>
      </c>
      <c r="M6" s="35" t="n"/>
      <c r="N6" s="36" t="n"/>
      <c r="O6" t="inlineStr">
        <is>
          <t>Root, stone, loam and the patient weight of the hill, where heart-drawing gathers around ALLAT. Opens the deeper thread of New beginnings, letting what is buried inside the working show its true face. A presence for spells that need the unseen made speakable.</t>
        </is>
      </c>
      <c r="P6" t="inlineStr">
        <is>
          <t>Root, stone, loam and the patient weight of the hill, with heart-drawing turning through ALLAT. Turns New beginnings, feeding old energy into new growth back into the soil of the spell. A guiding presence when the spell must shift, heal, end or begin.</t>
        </is>
      </c>
      <c r="Q6" t="inlineStr">
        <is>
          <t>Goddess</t>
        </is>
      </c>
    </row>
    <row r="7" ht="61.5" customHeight="1" s="56">
      <c r="A7" s="4" t="inlineStr">
        <is>
          <t>AMATERASU</t>
        </is>
      </c>
      <c r="B7" s="4" t="inlineStr">
        <is>
          <t>Deity</t>
        </is>
      </c>
      <c r="C7" s="4" t="inlineStr">
        <is>
          <t>Feminine</t>
        </is>
      </c>
      <c r="D7" s="4" t="inlineStr">
        <is>
          <t>Fire</t>
        </is>
      </c>
      <c r="E7" s="4" t="inlineStr">
        <is>
          <t>Sun</t>
        </is>
      </c>
      <c r="F7" s="4" t="inlineStr">
        <is>
          <t>Sunday</t>
        </is>
      </c>
      <c r="G7" s="4" t="inlineStr">
        <is>
          <t>Summer/Spring</t>
        </is>
      </c>
      <c r="H7" s="5" t="inlineStr">
        <is>
          <t>Fruitfulness, Confidence, Sun God offerings, Luck, Spirit offerings, Mabon/Samhain, Samhain/ancestral altars, Happiness, Increasing wealth, Dispelling sickness, Contacting planes, Strength, Prosperity, Fertility, Healing,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Joy, Joyous celebrations, Contentment,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Healing magic, Healing spells, Healing sachets, Healing incenses, Healing mixtures, Healing rituals, Healing incense, Healing vibrations, healing after surgery, Aiding recovery, Aiding the ill, Improving health, Speeding recovery, Good health, health</t>
        </is>
      </c>
      <c r="I7" s="5" t="inlineStr">
        <is>
          <t>Cinnamon, Eucalyptus, Lemongrass, Rosemary, Goldenrod, Jasmine</t>
        </is>
      </c>
      <c r="J7" s="5" t="inlineStr">
        <is>
          <t>Greek/Roman god of medicine and healing.</t>
        </is>
      </c>
      <c r="K7" s="5" t="inlineStr">
        <is>
          <t>Japanese goddess of the sun and ruler of the High Plain of Heaven. Her most famous magical act was withdrawing into the Ama-no-Iwato cave in grief and rage after Susanoo's destructive rampage, plunging the world into darkness and causing crops to fail. The 800 gods tricked her out with laughter, music, and a sacred mirror. Her mirror, Yata no Kagami, became one of Japan's three Imperial Treasures and is said to embody her spirit even now.</t>
        </is>
      </c>
      <c r="L7" s="5" t="inlineStr">
        <is>
          <t>The first golden ray of dawn breaking through the thick forest canopy, warming the frost-covered moss and gently awakening the morning birds to sing.</t>
        </is>
      </c>
      <c r="M7" s="35" t="inlineStr">
        <is>
          <t>Aragonite</t>
        </is>
      </c>
      <c r="N7" s="36" t="inlineStr">
        <is>
          <t>Lemon Grass</t>
        </is>
      </c>
      <c r="O7" t="inlineStr">
        <is>
          <t>Coal-bright heat, sunlit bark and the spark under leaf-mould, where sun-strength gathers around AMATERASU. Opens Spirit offerings without forcing it, letting the quiet message under the leaves rise from the green dark. A presence for spells that need the unseen made speakable.</t>
        </is>
      </c>
      <c r="P7" t="inlineStr">
        <is>
          <t>Coal-bright heat, sunlit bark and the spark under leaf-mould, with sun-strength turning through AMATERASU. Turns Dispelling sickness, feeding Strength back into the soil of the spell. A guiding presence when the spell must shift, heal, end or begin.</t>
        </is>
      </c>
      <c r="Q7" t="inlineStr">
        <is>
          <t>Goddess</t>
        </is>
      </c>
    </row>
    <row r="8" ht="61.5" customHeight="1" s="56">
      <c r="A8" s="2" t="inlineStr">
        <is>
          <t>AMBERELLA</t>
        </is>
      </c>
      <c r="B8" s="2" t="inlineStr">
        <is>
          <t>Deity</t>
        </is>
      </c>
      <c r="C8" s="2" t="inlineStr">
        <is>
          <t>Feminine</t>
        </is>
      </c>
      <c r="D8" s="2" t="inlineStr">
        <is>
          <t>Earth/Fire</t>
        </is>
      </c>
      <c r="E8" s="2" t="inlineStr">
        <is>
          <t>Sun</t>
        </is>
      </c>
      <c r="F8" s="2" t="inlineStr">
        <is>
          <t>Sunday</t>
        </is>
      </c>
      <c r="G8" s="2" t="inlineStr">
        <is>
          <t>All Seasons</t>
        </is>
      </c>
      <c r="H8" s="3" t="inlineStr">
        <is>
          <t>Protection (hexes/evil), Love, Attraction, Healing, Love spells, Sun God offerings, Luck, Love rituals, Aphrodisiac, Dispelling sickness, New beginnings, Confidence, Mabon/Samhain, Samhain/ancestral altars, Contacting planes, Strength, Protection, Spirit offerings, Banishing, Warding, Harmony, Happiness,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Physical Strength, Fortitude, Vitality, Inner power, and strength,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Joy, Joyous celebrations, Contentment</t>
        </is>
      </c>
      <c r="I8" s="3" t="inlineStr">
        <is>
          <t>Amber (Resin), Frankincense</t>
        </is>
      </c>
      <c r="J8" s="3" t="inlineStr">
        <is>
          <t>Arabian goddess associated with the earth and sky.</t>
        </is>
      </c>
      <c r="K8" s="3" t="inlineStr">
        <is>
          <t>A Baltic and Latvian folkloric spirit of amber, the golden fossilised resin of ancient forests. In legend, Amberella was a maiden stolen by the Prince of the Sea and imprisoned in a palace of amber beneath the waves. In sorrow and longing for her family, she casts lumps of amber onto the shoreline — each piece carrying her love and tears. Amber is sacred as a magical talisman of protection, healing, and the preserved light of the ancient sun.</t>
        </is>
      </c>
      <c r="L8" s="3" t="inlineStr">
        <is>
          <t>The fossilized resin of ancient pine trees, trapping the golden sunlight of millennia past and glowing with warm, protective earth energy that washes onto the shores.</t>
        </is>
      </c>
      <c r="M8" s="35" t="n"/>
      <c r="N8" s="36" t="n"/>
      <c r="O8" t="inlineStr">
        <is>
          <t>Coal-bright heat with root, where sun-strength gathers around AMBERELLA. Opens the deeper thread of Protection (hexes/evil), letting what is buried inside the working show its true face. A presence for spells that need the unseen made speakable.</t>
        </is>
      </c>
      <c r="P8" t="inlineStr">
        <is>
          <t>Coal-bright heat with root, with sun-strength turning through AMBERELLA. Turns Protection (hexes/evil), feeding Healing back into the soil of the spell. A guiding presence when the spell must shift, heal, end or begin.</t>
        </is>
      </c>
      <c r="Q8" t="inlineStr">
        <is>
          <t>Goddess</t>
        </is>
      </c>
    </row>
    <row r="9" ht="74.25" customHeight="1" s="56">
      <c r="A9" s="4" t="inlineStr">
        <is>
          <t>APHRODITE</t>
        </is>
      </c>
      <c r="B9" s="4" t="inlineStr">
        <is>
          <t>Deity</t>
        </is>
      </c>
      <c r="C9" s="4" t="inlineStr">
        <is>
          <t>Feminine</t>
        </is>
      </c>
      <c r="D9" s="4" t="inlineStr">
        <is>
          <t>Water</t>
        </is>
      </c>
      <c r="E9" s="4" t="inlineStr">
        <is>
          <t>Venus</t>
        </is>
      </c>
      <c r="F9" s="4" t="inlineStr">
        <is>
          <t>Friday</t>
        </is>
      </c>
      <c r="G9" s="4" t="inlineStr">
        <is>
          <t>Spring</t>
        </is>
      </c>
      <c r="H9" s="5" t="inlineStr">
        <is>
          <t>Confidence, Sun God offerings, Luck, Love rituals, Love, Aphrodisiac, Strength, Happiness, Attraction, Love spells,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Physical Strength, Fortitude, Vitality, Inner power, and strength, Joy, Joyous celebrations, Contentment, Attracting a mate, Attracting a soulmate, Conjuring a lover, HELP ATTRACT OPPOSITE SEX, Finding future love</t>
        </is>
      </c>
      <c r="I9" s="5" t="inlineStr">
        <is>
          <t>Rose, Apple Blossom, Myrtle, Vervain</t>
        </is>
      </c>
      <c r="J9" s="5" t="inlineStr">
        <is>
          <t>Japanese sun goddess and ruler of the heavens.</t>
        </is>
      </c>
      <c r="K9" s="5" t="inlineStr">
        <is>
          <t>Born from the sea-foam where the castrated Ouranos fell, Aphrodite embodied the irresistible magic of love, beauty, and desire. Her golden girdle (the Kestos Himas) compelled any who saw the wearer to fall irresistibly in love. She manipulated gods and mortals alike, igniting the Trojan War when she bribed Paris with Helen. Her sacred birds — the dove and the sparrow — carried her magic across the world, and her sacred myrtle and roses bloomed wherever she walked.</t>
        </is>
      </c>
      <c r="L9" s="5" t="inlineStr">
        <is>
          <t>The sweet, intoxicating scent of wild myrtle and blooming red roses that spring up wherever the salty sea-foam washes over the coastal rocks.</t>
        </is>
      </c>
      <c r="M9" s="35" t="inlineStr">
        <is>
          <t>Chrysocolla, chrysophase, Copper flakes, Emerald, Fuchsite, Goldstone, Jade (jadeite), Lapis Lazuli, Lodestone, Malachite, Moonstone, Peridot, Seraphinite, Unakite</t>
        </is>
      </c>
      <c r="N9" s="36" t="inlineStr">
        <is>
          <t>Apple, Frankincense, Geranium, Honeysuckle, Marjoram, Neroli, Rosemary, Vanilla, Ylang Ylang</t>
        </is>
      </c>
      <c r="O9" t="inlineStr">
        <is>
          <t>River hush, moonlit pools and the soft pull of tide, where heart-drawing gathers around APHRODITE. Opens the deeper thread of Confidence, letting what is buried inside the working show its true face. A presence for spells that need the unseen made speakable.</t>
        </is>
      </c>
      <c r="P9" t="inlineStr">
        <is>
          <t>River hush, moonlit pools and the soft pull of tide, with heart-drawing turning through APHRODITE. Turns Strength, feeding old energy into new growth back into the soil of the spell. A guiding presence when the spell must shift, heal, end or begin.</t>
        </is>
      </c>
      <c r="Q9" t="inlineStr">
        <is>
          <t>Goddess</t>
        </is>
      </c>
    </row>
    <row r="10" ht="61.5" customHeight="1" s="56">
      <c r="A10" s="2" t="inlineStr">
        <is>
          <t>ARADIA</t>
        </is>
      </c>
      <c r="B10" s="2" t="inlineStr">
        <is>
          <t>Deity</t>
        </is>
      </c>
      <c r="C10" s="2" t="inlineStr">
        <is>
          <t>Feminine</t>
        </is>
      </c>
      <c r="D10" s="2" t="inlineStr">
        <is>
          <t>Air/Earth</t>
        </is>
      </c>
      <c r="E10" s="2" t="inlineStr">
        <is>
          <t>Moon</t>
        </is>
      </c>
      <c r="F10" s="2" t="inlineStr">
        <is>
          <t>Monday</t>
        </is>
      </c>
      <c r="G10" s="2" t="inlineStr">
        <is>
          <t>All Seasons</t>
        </is>
      </c>
      <c r="H10" s="3" t="inlineStr">
        <is>
          <t>Divination, New beginnings, Fruitfulness, Prophetic dreams, Sun God offerings, Luck, Happiness, Love rituals, Star magick, Love, Aphrodisiac, Increasing wealth, Harmony, Prosperity, Clairvoyance, Attraction, Fertility, Love spells,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Aphrodisiac tea, Sensuality, Lust, Lust/Sex, Passionate love-making, LOVING &amp; LUSTFUL ENERGIES, SEX MAGIC, RAISE SEXUAL ENERGY, Sexual energy,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10" s="3" t="inlineStr">
        <is>
          <t>Violet, Verbena, Rue</t>
        </is>
      </c>
      <c r="J10" s="3" t="inlineStr">
        <is>
          <t>Nymph of amber, associated with light and sun.</t>
        </is>
      </c>
      <c r="K10" s="3" t="inlineStr">
        <is>
          <t>Described in Charles Leland's 1899 'Aradia, or the Gospel of the Witches' as the daughter of Diana and Lucifer, sent to earth to teach the oppressed the arts of witchcraft. She taught the poor to blight crops, make men mad, kill tyrants, and win forbidden love. She is the Queen of Witches in the Italian stregheria tradition, presiding over moonlit sabbats, herb magic, and the sacred charge to resist all those who would enslave and dominate.</t>
        </is>
      </c>
      <c r="L10" s="3" t="inlineStr">
        <is>
          <t>The quiet, rebellious magic of the hedgerows, where wild fennel, vervain, and rue are gathered by moonlight to empower those who live on the edges of the wild.</t>
        </is>
      </c>
      <c r="M10" s="35" t="n"/>
      <c r="N10" s="36" t="n"/>
      <c r="O10" t="inlineStr">
        <is>
          <t>Wind in high branches with root, where moon-sight gathers around ARADIA. Opens Divination without forcing it, letting Prophetic dreams rise from the green dark. A presence for spells that need the unseen made speakable.</t>
        </is>
      </c>
      <c r="P10" t="inlineStr">
        <is>
          <t>Wind in high branches with root, with moon-sight turning through ARADIA. Turns New beginnings, feeding old energy into new growth back into the soil of the spell. A guiding presence when the spell must shift, heal, end or begin.</t>
        </is>
      </c>
      <c r="Q10" t="inlineStr">
        <is>
          <t>Goddess</t>
        </is>
      </c>
    </row>
    <row r="11" ht="74.25" customHeight="1" s="56">
      <c r="A11" s="4" t="inlineStr">
        <is>
          <t>ARES</t>
        </is>
      </c>
      <c r="B11" s="4" t="inlineStr">
        <is>
          <t>Deity</t>
        </is>
      </c>
      <c r="C11" s="4" t="inlineStr">
        <is>
          <t>Masculine</t>
        </is>
      </c>
      <c r="D11" s="4" t="inlineStr">
        <is>
          <t>Fire</t>
        </is>
      </c>
      <c r="E11" s="4" t="inlineStr">
        <is>
          <t>Mars</t>
        </is>
      </c>
      <c r="F11" s="4" t="inlineStr">
        <is>
          <t>Tuesday</t>
        </is>
      </c>
      <c r="G11" s="4" t="inlineStr">
        <is>
          <t>Summer</t>
        </is>
      </c>
      <c r="H11" s="5" t="inlineStr">
        <is>
          <t>Divination, Prophetic dreams, Confidence, Star magick, Strength, Clairvoyance,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I11" s="5" t="inlineStr">
        <is>
          <t>Garlic, Ginger, Nettle</t>
        </is>
      </c>
      <c r="J11" s="5" t="inlineStr">
        <is>
          <t>Italian folklore witch/goddess of the moon.</t>
        </is>
      </c>
      <c r="K11" s="5" t="inlineStr">
        <is>
          <t>God of war whose magic lay not in spells but in the blood-frenzy called menos — divine battle rage that made warriors unstoppable. He could inflame entire armies with panic and bloodlust or withdraw it, leaving men trembling. Accompanied by his twin sons Deimos (Fear) and Phobos (Terror), his power transformed ordinary men into killing forces beyond reason. Even his war-wound, inflicted by Diomedes guided by Athena, simply angered him into louder, more terrifying battle cries.</t>
        </is>
      </c>
      <c r="L11" s="5" t="inlineStr">
        <is>
          <t>The harsh but entirely necessary wildfire that clears the choking underbrush, creating the intense heat needed for the seeds of lodgepole pines to finally burst open and sprout.</t>
        </is>
      </c>
      <c r="M11" s="35" t="inlineStr">
        <is>
          <t>Bloodstone, Pyrite (Fool's Gold), Red Jasper, Rhodocrosite, Rhodonite, Ruby, Yellow Aventurine</t>
        </is>
      </c>
      <c r="N11" s="36" t="inlineStr">
        <is>
          <t>Ginger</t>
        </is>
      </c>
      <c r="O11" t="inlineStr">
        <is>
          <t>Coal-bright heat, sunlit bark and the spark under leaf-mould, where thorn-fire gathers around ARES. Opens Divination without forcing it, letting Prophetic dreams rise from the green dark. A presence for spells that need the unseen made speakable.</t>
        </is>
      </c>
      <c r="P11" t="inlineStr">
        <is>
          <t>Coal-bright heat, sunlit bark and the spark under leaf-mould, with thorn-fire turning through ARES. Turns Strength, feeding old energy into new growth back into the soil of the spell. A guiding presence when the spell must shift, heal, end or begin.</t>
        </is>
      </c>
      <c r="Q11" t="inlineStr">
        <is>
          <t>God</t>
        </is>
      </c>
    </row>
    <row r="12" ht="74.25" customHeight="1" s="56">
      <c r="A12" s="2" t="inlineStr">
        <is>
          <t>ARIANRHOD</t>
        </is>
      </c>
      <c r="B12" s="2" t="inlineStr">
        <is>
          <t>Deity</t>
        </is>
      </c>
      <c r="C12" s="2" t="inlineStr">
        <is>
          <t>Feminine</t>
        </is>
      </c>
      <c r="D12" s="2" t="inlineStr">
        <is>
          <t>Air/Water</t>
        </is>
      </c>
      <c r="E12" s="2" t="inlineStr">
        <is>
          <t>Moon</t>
        </is>
      </c>
      <c r="F12" s="2" t="inlineStr">
        <is>
          <t>Monday</t>
        </is>
      </c>
      <c r="G12" s="2" t="inlineStr">
        <is>
          <t>Winter</t>
        </is>
      </c>
      <c r="H12" s="3" t="inlineStr">
        <is>
          <t>Divination, New beginnings, Fruitfulness, Prophetic dreams, Star magick, Increasing wealth,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clairvoyance, Psychic development, Psychic powers, INCREASE PSYCHIC ABILITIES, Psychic awareness, Stimulating psychic senses, Disabling psychic phenomena, Psychic communication, communication and psychic abilities</t>
        </is>
      </c>
      <c r="I12" s="3" t="inlineStr">
        <is>
          <t>Eucalyptus, Sea Holly, Dusty Miller, Jasmine</t>
        </is>
      </c>
      <c r="J12" s="3" t="inlineStr">
        <is>
          <t>Welsh goddess of the moon, fertility, and fate.</t>
        </is>
      </c>
      <c r="K12" s="3" t="inlineStr">
        <is>
          <t>Welsh goddess of the Silver Wheel — the corona borealis — who presided over fate, reincarnation, and the turning of cosmic time. Her castle Caer Arianrhod sits at the spinning star-fortress above Wales. She laid three powerful curses on her son Lleu: that he would have no name, no weapons, and no human wife. Each curse was defeated only by her brother Gwydion's trickery. She had power over destiny itself, shape-shifted into eagle and crow, and entered men's dreams.</t>
        </is>
      </c>
      <c r="L12" s="3" t="inlineStr">
        <is>
          <t>The silver birch trees swaying under a starry sky, their white bark glowing like the brilliant spiral of stars she weaves into the northern winds.</t>
        </is>
      </c>
      <c r="M12" s="35" t="n"/>
      <c r="N12" s="36" t="n"/>
      <c r="O12" t="inlineStr">
        <is>
          <t>River hush with wind in high branches, where moon-sight gathers around ARIANRHOD. Opens Divination without forcing it, letting Prophetic dreams rise from the green dark. A presence for spells that need the unseen made speakable.</t>
        </is>
      </c>
      <c r="P12" t="inlineStr">
        <is>
          <t>River hush with wind in high branches, with moon-sight turning through ARIANRHOD. Turns New beginnings, feeding old energy into new growth back into the soil of the spell. A guiding presence when the spell must shift, heal, end or begin.</t>
        </is>
      </c>
      <c r="Q12" t="inlineStr">
        <is>
          <t>Goddess</t>
        </is>
      </c>
    </row>
    <row r="13" ht="74.25" customHeight="1" s="56">
      <c r="A13" s="4" t="inlineStr">
        <is>
          <t>ARTEMIS</t>
        </is>
      </c>
      <c r="B13" s="4" t="inlineStr">
        <is>
          <t>Deity</t>
        </is>
      </c>
      <c r="C13" s="4" t="inlineStr">
        <is>
          <t>Feminine</t>
        </is>
      </c>
      <c r="D13" s="4" t="inlineStr">
        <is>
          <t>Earth/Water</t>
        </is>
      </c>
      <c r="E13" s="4" t="inlineStr">
        <is>
          <t>Moon</t>
        </is>
      </c>
      <c r="F13" s="4" t="inlineStr">
        <is>
          <t>Monday</t>
        </is>
      </c>
      <c r="G13" s="4" t="inlineStr">
        <is>
          <t>Autumn/Winter</t>
        </is>
      </c>
      <c r="H13" s="5" t="inlineStr">
        <is>
          <t>New beginnings, Protection, Protection (hexes/evil), Spirit offerings, Mabon/Samhain, Samhain/ancestral altars, Banishing, Warding, Contacting planes,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I13" s="5" t="inlineStr">
        <is>
          <t>Clover, Sweet Myrrh, Willow Bark, Increasing wealth, mwood</t>
        </is>
      </c>
      <c r="J13" s="5" t="inlineStr">
        <is>
          <t>Canaanite storm god and lord of the heavens.</t>
        </is>
      </c>
      <c r="K13" s="5" t="inlineStr">
        <is>
          <t>Virgin goddess of the hunt and the wild who wielded silver arrows that could cause sudden death or swift, painless release. She brought sudden death to women as her brother Apollo brought death to men. She turned the hunter Actaeon into a stag for accidentally seeing her bathe, and he was devoured by his own hounds. She protected and fiercely avenged her virginity, sent the Calydonian Boar as punishment when King Oeneus neglected her, and could also heal the wounds of wild animals.</t>
        </is>
      </c>
      <c r="L13" s="5" t="inlineStr">
        <is>
          <t>The untamed, trackless wilderness where red deer graze freely among the damp ferns, guarded fiercely by the spirit of the deep woods.</t>
        </is>
      </c>
      <c r="M13" s="35" t="inlineStr">
        <is>
          <t>Aquamarine, Calcite, Howlite, Jet, quartz rutilated, quartz smokey, quartz snow</t>
        </is>
      </c>
      <c r="N13" s="36" t="inlineStr">
        <is>
          <t>Cedarwood, Fir Needle, Melissa</t>
        </is>
      </c>
      <c r="O13" t="inlineStr">
        <is>
          <t>River hush with root, where moon-sight gathers around ARTEMIS. Opens Spirit offerings without forcing it, letting the quiet message under the leaves rise from the green dark. A presence for spells that need the unseen made speakable.</t>
        </is>
      </c>
      <c r="P13" t="inlineStr">
        <is>
          <t>River hush with root, with moon-sight turning through ARTEMIS. Turns New beginnings, feeding Protection (hexes/evil) back into the soil of the spell. A guiding presence when the spell must shift, heal, end or begin.</t>
        </is>
      </c>
      <c r="Q13" t="inlineStr">
        <is>
          <t>Goddess</t>
        </is>
      </c>
    </row>
    <row r="14" ht="74.25" customHeight="1" s="56">
      <c r="A14" s="2" t="inlineStr">
        <is>
          <t>ASTARTE</t>
        </is>
      </c>
      <c r="B14" s="2" t="inlineStr">
        <is>
          <t>Deity</t>
        </is>
      </c>
      <c r="C14" s="2" t="inlineStr">
        <is>
          <t>Feminine</t>
        </is>
      </c>
      <c r="D14" s="2" t="inlineStr">
        <is>
          <t>Earth/Water</t>
        </is>
      </c>
      <c r="E14" s="2" t="inlineStr">
        <is>
          <t>Venus/Moon</t>
        </is>
      </c>
      <c r="F14" s="2" t="inlineStr">
        <is>
          <t>Friday</t>
        </is>
      </c>
      <c r="G14" s="2" t="inlineStr">
        <is>
          <t>Spring</t>
        </is>
      </c>
      <c r="H14" s="3" t="inlineStr">
        <is>
          <t>New beginnings, Fruitfulness, Confidence, Love rituals, Love, Aphrodisiac, Dispelling sickness, Increasing wealth, Strength, Harmony, Prosperity, Attraction, Fertility, Healing,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t>
        </is>
      </c>
      <c r="I14" s="3" t="inlineStr">
        <is>
          <t>Rose, Frankincense, Myrrh</t>
        </is>
      </c>
      <c r="J14" s="3" t="inlineStr">
        <is>
          <t>Celtic goddess of hearth, poetry, and healing.</t>
        </is>
      </c>
      <c r="K14" s="3" t="inlineStr">
        <is>
          <t>The great goddess of the ancient Semitic world — queen of heaven, goddess of war, love, and fertility. She was worshipped across Canaan, Phoenicia, Egypt, and Mesopotamia, identified with Venus the evening star. She wore a crown of horns and drove a chariot pulled by lions. Her cult involved sacred sexual rites, war dances, and offerings of incense. The Egyptians credited her with power over the sea itself, and she was invoked to protect ships and sailors from storms.</t>
        </is>
      </c>
      <c r="L14" s="3" t="inlineStr">
        <is>
          <t>The swelling buds of the pomegranate tree, bursting with vibrant red blossoms that promise fertility and the unbroken cycle of returning life.</t>
        </is>
      </c>
      <c r="M14" s="35" t="n"/>
      <c r="N14" s="36" t="inlineStr">
        <is>
          <t>Pine</t>
        </is>
      </c>
      <c r="O14" t="inlineStr">
        <is>
          <t>River hush with root, where moon-sight gathers around ASTARTE. Opens the deeper thread of New beginnings, letting what is buried inside the working show its true face. A presence for spells that need the unseen made speakable.</t>
        </is>
      </c>
      <c r="P14" t="inlineStr">
        <is>
          <t>River hush with root, with moon-sight turning through ASTARTE. Turns New beginnings, feeding Dispelling sickness back into the soil of the spell. A guiding presence when the spell must shift, heal, end or begin.</t>
        </is>
      </c>
      <c r="Q14" t="inlineStr">
        <is>
          <t>Goddess</t>
        </is>
      </c>
    </row>
    <row r="15" ht="74.25" customHeight="1" s="56">
      <c r="A15" s="4" t="inlineStr">
        <is>
          <t>ATTIS</t>
        </is>
      </c>
      <c r="B15" s="4" t="inlineStr">
        <is>
          <t>Deity</t>
        </is>
      </c>
      <c r="C15" s="4" t="inlineStr">
        <is>
          <t>Masculine</t>
        </is>
      </c>
      <c r="D15" s="4" t="inlineStr">
        <is>
          <t>Earth</t>
        </is>
      </c>
      <c r="E15" s="4" t="inlineStr">
        <is>
          <t>Sun</t>
        </is>
      </c>
      <c r="F15" s="4" t="inlineStr">
        <is>
          <t>Sunday</t>
        </is>
      </c>
      <c r="G15" s="4" t="inlineStr">
        <is>
          <t>Spring</t>
        </is>
      </c>
      <c r="H15" s="5" t="inlineStr">
        <is>
          <t>New beginnings, Fruitfulness, Love rituals, Love, Aphrodisiac, Increasing wealth, Harmony, Prosperity, Attraction, Fertility,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Attracting a mate, Attracting a soulmate, Conjuring a lover, HELP ATTRACT OPPOSITE SEX, Finding future love</t>
        </is>
      </c>
      <c r="I15" s="5" t="inlineStr">
        <is>
          <t>Pine Nut</t>
        </is>
      </c>
      <c r="J15" s="5" t="inlineStr">
        <is>
          <t>Roman god of wine, fertility, and ecstasy.</t>
        </is>
      </c>
      <c r="K15" s="5" t="inlineStr">
        <is>
          <t>Phrygian god of vegetation who embodied the great cycle of death and resurrection. Son of Nana, who conceived him miraculously from a pomegranate, he was loved by Cybele but in a frenzy of divine madness self-castrated beneath a pine tree and died — only to be reborn, like the crops of spring. His priests, the Galli, performed ritual self-castration to embody his sacrifice. His resurrection was celebrated each spring in Rome as part of the Megalesia, with orgiastic rites, music, and ecstatic dancing.</t>
        </is>
      </c>
      <c r="L15" s="5" t="inlineStr">
        <is>
          <t>The bleeding, golden sap of the pine tree, representing the sacrifice of the seed that must die in the freezing winter soil to be reborn as spring's verdant growth.</t>
        </is>
      </c>
      <c r="M15" s="35" t="n"/>
      <c r="N15" s="36" t="inlineStr">
        <is>
          <t>Pine</t>
        </is>
      </c>
      <c r="O15" t="inlineStr">
        <is>
          <t>Root, stone, loam and the patient weight of the hill, where sun-strength gathers around ATTIS. Opens the deeper thread of New beginnings, letting what is buried inside the working show its true face. A presence for spells that need the unseen made speakable.</t>
        </is>
      </c>
      <c r="P15" t="inlineStr">
        <is>
          <t>Root, stone, loam and the patient weight of the hill, with sun-strength turning through ATTIS. Turns New beginnings, feeding old energy into new growth back into the soil of the spell. A guiding presence when the spell must shift, heal, end or begin.</t>
        </is>
      </c>
      <c r="Q15" t="inlineStr">
        <is>
          <t>God</t>
        </is>
      </c>
    </row>
    <row r="16" ht="74.25" customHeight="1" s="56">
      <c r="A16" s="2" t="inlineStr">
        <is>
          <t>BAAL</t>
        </is>
      </c>
      <c r="B16" s="2" t="inlineStr">
        <is>
          <t>Deity</t>
        </is>
      </c>
      <c r="C16" s="2" t="inlineStr">
        <is>
          <t>Masculine</t>
        </is>
      </c>
      <c r="D16" s="2" t="inlineStr">
        <is>
          <t>Fire/Water</t>
        </is>
      </c>
      <c r="E16" s="2" t="inlineStr">
        <is>
          <t>Jupiter</t>
        </is>
      </c>
      <c r="F16" s="2" t="inlineStr">
        <is>
          <t>Thursday</t>
        </is>
      </c>
      <c r="G16" s="2" t="inlineStr">
        <is>
          <t>Spring/Summer</t>
        </is>
      </c>
      <c r="H16" s="3" t="inlineStr">
        <is>
          <t>New beginnings, Fruitfulness, Sun God offerings, Luck, Happiness,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16" s="3" t="inlineStr">
        <is>
          <t>Cedar</t>
        </is>
      </c>
      <c r="J16" s="3" t="inlineStr">
        <is>
          <t>Norse god of light and purity.</t>
        </is>
      </c>
      <c r="K16" s="3" t="inlineStr">
        <is>
          <t>The great storm god of Canaan and Ugarit, lord of rain, thunder, and the fertile earth. His most famous magical feat was the construction of his palace in the clouds, won through battle with Yam (Sea). He also defeated Mot (Death) himself — though he had to be swallowed and spend time in the underworld first, marking the dry season. When Baal rises, the rains return and crops grow. His voice was the thunder; his lightning bolt was his spear. Farmers prayed to him for life-giving storms.</t>
        </is>
      </c>
      <c r="L16" s="3" t="inlineStr">
        <is>
          <t>The rolling, dark thunderclouds that bring heavy, life-giving rain to parched agricultural fields, ensuring the barley and wheat grow tall before the harvest.</t>
        </is>
      </c>
      <c r="M16" s="35" t="n"/>
      <c r="N16" s="36" t="inlineStr">
        <is>
          <t>Frankincense</t>
        </is>
      </c>
      <c r="O16" t="inlineStr">
        <is>
          <t>Coal-bright heat with river hush, where oak-wide growth gathers around BAAL. Opens the deeper thread of New beginnings, letting what is buried inside the working show its true face. A presence for spells that need the unseen made speakable.</t>
        </is>
      </c>
      <c r="P16" t="inlineStr">
        <is>
          <t>Coal-bright heat with river hush, with oak-wide growth turning through BAAL. Turns New beginnings, feeding old energy into new growth back into the soil of the spell. A guiding presence when the spell must shift, heal, end or begin.</t>
        </is>
      </c>
      <c r="Q16" t="inlineStr">
        <is>
          <t>God</t>
        </is>
      </c>
    </row>
    <row r="17" ht="74.25" customHeight="1" s="56">
      <c r="A17" s="4" t="inlineStr">
        <is>
          <t>BACCHUS</t>
        </is>
      </c>
      <c r="B17" s="4" t="inlineStr">
        <is>
          <t>Deity/Group</t>
        </is>
      </c>
      <c r="C17" s="4" t="inlineStr">
        <is>
          <t>Masculine</t>
        </is>
      </c>
      <c r="D17" s="4" t="inlineStr">
        <is>
          <t>Water/Earth</t>
        </is>
      </c>
      <c r="E17" s="4" t="inlineStr">
        <is>
          <t>Jupiter</t>
        </is>
      </c>
      <c r="F17" s="4" t="inlineStr">
        <is>
          <t>Thursday</t>
        </is>
      </c>
      <c r="G17" s="4" t="inlineStr">
        <is>
          <t>Autumn</t>
        </is>
      </c>
      <c r="H17" s="5" t="inlineStr">
        <is>
          <t>New beginnings, Sun God offerings, Luck, Harmony, Happiness,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17" s="5" t="inlineStr">
        <is>
          <t>Ivy, Grapevine</t>
        </is>
      </c>
      <c r="J17" s="5" t="inlineStr">
        <is>
          <t>Divine duo: Norse god of light and Egyptian goddess of music.</t>
        </is>
      </c>
      <c r="K17" s="5" t="inlineStr">
        <is>
          <t>Roman god of wine, ecstasy, and liberating madness, whose magic unmade the boundaries of self. His thiasos — the wild procession of Maenads, Satyrs, and Bacchants — swept through the world transforming everything in its path. He could drive mortals to divine ecstasy or murderous frenzy. He turned the pirates who kidnapped him into dolphins, vines erupted from the ship's oars, and lions and panthers appeared on deck. His wine was a gateway between the mortal and the divine.</t>
        </is>
      </c>
      <c r="L17" s="5" t="inlineStr">
        <is>
          <t>The wild, twisting vines of the grape, their roots digging aggressively deep into limestone soil to produce the intoxicating, sweet nectar of the earth's joy.</t>
        </is>
      </c>
      <c r="M17" s="35" t="n"/>
      <c r="N17" s="36" t="n"/>
      <c r="O17" t="inlineStr">
        <is>
          <t>River hush with root, where oak-wide growth gathers around BACCHUS. Opens the deeper thread of New beginnings, letting what is buried inside the working show its true face. A presence for spells that need the unseen made speakable.</t>
        </is>
      </c>
      <c r="P17" t="inlineStr">
        <is>
          <t>River hush with root, with oak-wide growth turning through BACCHUS. Turns New beginnings, feeding old energy into new growth back into the soil of the spell. A guiding presence when the spell must shift, heal, end or begin.</t>
        </is>
      </c>
      <c r="Q17" t="inlineStr">
        <is>
          <t>God</t>
        </is>
      </c>
    </row>
    <row r="18" ht="49.5" customHeight="1" s="56">
      <c r="A18" s="2" t="inlineStr">
        <is>
          <t>BALDOR</t>
        </is>
      </c>
      <c r="B18" s="2" t="inlineStr">
        <is>
          <t>Spiritual Figure</t>
        </is>
      </c>
      <c r="C18" s="2" t="inlineStr">
        <is>
          <t>Masculine</t>
        </is>
      </c>
      <c r="D18" s="2" t="inlineStr">
        <is>
          <t>Fire/Air</t>
        </is>
      </c>
      <c r="E18" s="2" t="inlineStr">
        <is>
          <t>Sun</t>
        </is>
      </c>
      <c r="F18" s="2" t="inlineStr">
        <is>
          <t>Sunday</t>
        </is>
      </c>
      <c r="G18" s="2" t="inlineStr">
        <is>
          <t>Summer</t>
        </is>
      </c>
      <c r="H18" s="3" t="inlineStr">
        <is>
          <t>Sun God offerings, Luck, Protection, Protection (hexes/evil), Banishing, Warding, Happiness,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Joy, Joyous celebrations, Contentment</t>
        </is>
      </c>
      <c r="I18" s="3" t="inlineStr">
        <is>
          <t>Mayweed (Baldr's Brow)</t>
        </is>
      </c>
      <c r="J18" s="3" t="inlineStr">
        <is>
          <t>Italian folklore figure associated with the Epiphany.</t>
        </is>
      </c>
      <c r="K18" s="3" t="inlineStr">
        <is>
          <t>A lesser-known figure, likely a variant of Baldur, the Norse god of light and purity. His name may derive from a tradition of solar or clearing light magic. His magic was one of protection and illumination — the power that keeps the darkness at bay through the long northern winters.</t>
        </is>
      </c>
      <c r="L18" s="3" t="inlineStr">
        <is>
          <t>The delicate, white chamomile and mistletoe growing in the sunlit clearings, embodying pure, unblemished light untainted by the winter's shadow.</t>
        </is>
      </c>
      <c r="M18" s="35" t="n"/>
      <c r="N18" s="36" t="n"/>
      <c r="O18" t="inlineStr">
        <is>
          <t>Coal-bright heat with wind in high branches, where sun-strength gathers around BALDOR. Opens the deeper thread of Sun God offerings, letting what is buried inside the working show its true face. A presence for spells that need the unseen made speakable.</t>
        </is>
      </c>
      <c r="P18" t="inlineStr">
        <is>
          <t>Coal-bright heat with wind in high branches, with sun-strength turning through BALDOR. Turns Protection (hexes/evil), feeding Banishing back into the soil of the spell. A guiding presence when the spell must shift, heal, end or begin.</t>
        </is>
      </c>
      <c r="Q18" t="inlineStr">
        <is>
          <t>God</t>
        </is>
      </c>
    </row>
    <row r="19" ht="86.25" customHeight="1" s="56">
      <c r="A19" s="4" t="inlineStr">
        <is>
          <t>BALDUR &amp; HATHOR</t>
        </is>
      </c>
      <c r="B19" s="4" t="inlineStr">
        <is>
          <t>Deity</t>
        </is>
      </c>
      <c r="C19" s="4" t="inlineStr">
        <is>
          <t>Both</t>
        </is>
      </c>
      <c r="D19" s="4" t="inlineStr">
        <is>
          <t>Fire/Earth</t>
        </is>
      </c>
      <c r="E19" s="4" t="inlineStr">
        <is>
          <t>Sun/Venus</t>
        </is>
      </c>
      <c r="F19" s="4" t="inlineStr">
        <is>
          <t>Sunday</t>
        </is>
      </c>
      <c r="G19" s="4" t="inlineStr">
        <is>
          <t>Spring/Summer</t>
        </is>
      </c>
      <c r="H19" s="5" t="inlineStr">
        <is>
          <t>New beginnings, Fruitfulness, Confidence, Sun God offerings, Luck, Happiness, Love rituals, Love, Aphrodisiac, Increasing wealth, Strength, Harmony, Prosperity, Attraction, Fertility,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Aphrodisiac tea, Sensuality, Lust, Lust/Sex, Passionate love-making, LOVING &amp; LUSTFUL ENERGIES, SEX MAGIC, RAISE SEXUAL ENERGY, Sexual energy, Physical Strength, Fortitude, Vitality, Inner power, and strength, Attracting a mate, Attracting a soulmate, Conjuring a lover, HELP ATTRACT OPPOSITE SEX, Finding future love</t>
        </is>
      </c>
      <c r="I19" s="5" t="inlineStr">
        <is>
          <t>Mayweed, Rose</t>
        </is>
      </c>
      <c r="J19" s="5" t="inlineStr">
        <is>
          <t>Roman goddess of fertility and women's health.</t>
        </is>
      </c>
      <c r="K19" s="5" t="inlineStr">
        <is>
          <t>A rare pairing of Norse and Egyptian divine energies. Baldur — Norse god of light and purity — was made invulnerable by his mother Frigg, who extracted oaths from every thing in creation not to harm him. Only mistletoe was overlooked; Loki used it to orchestrate his death, the first sign of Ragnarök. Hathor — Egyptian goddess of love, music, and cosmic power — was the divine mirror and the seven-fold prophetess who attended every birth. Together they represent the magic of radiant, nurturing light: Baldur's solar purity illuminating the world from above, and Hathor's warm, sustaining love rising from the earth and the river to meet it.</t>
        </is>
      </c>
      <c r="L19" s="5" t="inlineStr">
        <is>
          <t>The perfect synergy of the bright sun warming the northern pines while the nurturing magic of the southern, reed-lined riverbanks brings life to the desert dust.</t>
        </is>
      </c>
      <c r="M19" s="35" t="n"/>
      <c r="N19" s="36" t="n"/>
      <c r="O19" t="inlineStr">
        <is>
          <t>Coal-bright heat with root, where sun-strength gathers around BALDUR &amp; HATHOR. Opens the deeper thread of New beginnings, letting what is buried inside the working show its true face. A presence for spells that need the unseen made speakable.</t>
        </is>
      </c>
      <c r="P19" t="inlineStr">
        <is>
          <t>Coal-bright heat with root, with sun-strength turning through BALDUR &amp; HATHOR. Turns New beginnings, feeding Strength back into the soil of the spell. A guiding presence when the spell must shift, heal, end or begin.</t>
        </is>
      </c>
      <c r="Q19" t="inlineStr">
        <is>
          <t>Both</t>
        </is>
      </c>
    </row>
    <row r="20" ht="74.25" customHeight="1" s="56">
      <c r="A20" s="2" t="inlineStr">
        <is>
          <t>BEFANA</t>
        </is>
      </c>
      <c r="B20" s="2" t="inlineStr">
        <is>
          <t>Spiritual Figure</t>
        </is>
      </c>
      <c r="C20" s="2" t="inlineStr">
        <is>
          <t>Feminine</t>
        </is>
      </c>
      <c r="D20" s="2" t="inlineStr">
        <is>
          <t>Earth/Air</t>
        </is>
      </c>
      <c r="E20" s="2" t="inlineStr">
        <is>
          <t>Saturn</t>
        </is>
      </c>
      <c r="F20" s="2" t="inlineStr">
        <is>
          <t>Saturday</t>
        </is>
      </c>
      <c r="G20" s="2" t="inlineStr">
        <is>
          <t>Winter</t>
        </is>
      </c>
      <c r="H20" s="3" t="inlineStr">
        <is>
          <t>Divination, New beginnings, Prophetic dreams, Sun God offerings, Luck, Spirit offerings, Mabon/Samhain, Samhain/ancestral altars, Star magick, Contacting planes, Harmony, Happiness, Clairvoyance,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Joy, Joyous celebrations, Contentment, Enhancing clairvoyance, Psychic development, Psychic powers, INCREASE PSYCHIC ABILITIES, Psychic awareness, Stimulating psychic senses, Disabling psychic phenomena, Psychic communication, communication and psychic abilities</t>
        </is>
      </c>
      <c r="I20" s="3" t="inlineStr">
        <is>
          <t>Citrus, Dried Fruits, Nuts</t>
        </is>
      </c>
      <c r="J20" s="3" t="inlineStr">
        <is>
          <t>Spiritual teacher, symbol of enlightenment.</t>
        </is>
      </c>
      <c r="K20" s="3" t="inlineStr">
        <is>
          <t>The Italian folkloric witch-goddess who flies on her broomstick on the night of January 5th to fill children's stockings with gifts or coal. She was invited by the Three Magi to join them on the journey to visit the Christ child, but was too busy sweeping — her eternal regret drives her to visit every child in the world seeking the holy infant. She has knowledge of herbs and the domestic arts, and her sweeping is said to clear the old year's troubles away to make room for the new.</t>
        </is>
      </c>
      <c r="L20" s="3" t="inlineStr">
        <is>
          <t>The scent of dried soot and winter herbs, as bundles of twigs and sweet oranges are carried across the dormant, frost-bitten countryside in the dead of winter.</t>
        </is>
      </c>
      <c r="M20" s="35" t="n"/>
      <c r="N20" s="36" t="n"/>
      <c r="O20" t="inlineStr">
        <is>
          <t>Wind in high branches with root, where old-root law gathers around BEFANA. Opens Divination without forcing it, letting Prophetic dreams rise from the green dark. A presence for spells that need the unseen made speakable.</t>
        </is>
      </c>
      <c r="P20" t="inlineStr">
        <is>
          <t>Wind in high branches with root, with old-root law turning through BEFANA. Turns New beginnings, feeding old energy into new growth back into the soil of the spell. A guiding presence when the spell must shift, heal, end or begin.</t>
        </is>
      </c>
      <c r="Q20" t="inlineStr">
        <is>
          <t>Goddess</t>
        </is>
      </c>
    </row>
    <row r="21" ht="74.25" customHeight="1" s="56">
      <c r="A21" s="4" t="inlineStr">
        <is>
          <t>BONA DEA</t>
        </is>
      </c>
      <c r="B21" s="4" t="inlineStr">
        <is>
          <t>Deity</t>
        </is>
      </c>
      <c r="C21" s="4" t="inlineStr">
        <is>
          <t>Feminine</t>
        </is>
      </c>
      <c r="D21" s="4" t="inlineStr">
        <is>
          <t>Earth</t>
        </is>
      </c>
      <c r="E21" s="4" t="inlineStr">
        <is>
          <t>Venus/Earth</t>
        </is>
      </c>
      <c r="F21" s="4" t="inlineStr">
        <is>
          <t>Friday</t>
        </is>
      </c>
      <c r="G21" s="4" t="inlineStr">
        <is>
          <t>Spring</t>
        </is>
      </c>
      <c r="H21" s="5" t="inlineStr">
        <is>
          <t>New beginnings, Fruitfulness, Love rituals, Love, Aphrodisiac, Dispelling sickness, Increasing wealth, Harmony, Prosperity, Attraction, Fertility, Healing,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t>
        </is>
      </c>
      <c r="I21" s="5" t="inlineStr">
        <is>
          <t>Myrtle</t>
        </is>
      </c>
      <c r="J21" s="5" t="inlineStr">
        <is>
          <t>Roman god of erotic love and desire.</t>
        </is>
      </c>
      <c r="K21" s="5" t="inlineStr">
        <is>
          <t>Roman goddess of fertility, healing, and women's mysteries, whose rites were so sacred that no man was permitted to be present — even the image of a man was covered during her ceremonies. Her secret December rites were presided over by the Vestal Virgins and the wife of the senior magistrate. She possessed a vast knowledge of herbs and healing plants, her temple held a pharmacy of sacred medicines, and snakes lived among her offerings. The politician Clodius was prosecuted for disguising himself as a woman to spy on her rites.</t>
        </is>
      </c>
      <c r="L21" s="5" t="inlineStr">
        <is>
          <t>The secret, walled garden of medicinal herbs—sweet basil, thyme, and pennyroyal—tended in silence to heal ailments of the body and the earth.</t>
        </is>
      </c>
      <c r="M21" s="35" t="n"/>
      <c r="N21" s="36" t="n"/>
      <c r="O21" t="inlineStr">
        <is>
          <t>Root, stone, loam and the patient weight of the hill, where heart-drawing gathers around BONA DEA. Opens the deeper thread of New beginnings, letting what is buried inside the working show its true face. A presence for spells that need the unseen made speakable.</t>
        </is>
      </c>
      <c r="P21" t="inlineStr">
        <is>
          <t>Root, stone, loam and the patient weight of the hill, with heart-drawing turning through BONA DEA. Turns New beginnings, feeding Dispelling sickness back into the soil of the spell. A guiding presence when the spell must shift, heal, end or begin.</t>
        </is>
      </c>
      <c r="Q21" t="inlineStr">
        <is>
          <t>Goddess</t>
        </is>
      </c>
    </row>
    <row r="22" ht="74.25" customHeight="1" s="56">
      <c r="A22" s="2" t="inlineStr">
        <is>
          <t>BRIGID</t>
        </is>
      </c>
      <c r="B22" s="2" t="inlineStr">
        <is>
          <t>Deity</t>
        </is>
      </c>
      <c r="C22" s="2" t="inlineStr">
        <is>
          <t>Feminine</t>
        </is>
      </c>
      <c r="D22" s="2" t="inlineStr">
        <is>
          <t>Fire/Water</t>
        </is>
      </c>
      <c r="E22" s="2" t="inlineStr">
        <is>
          <t>Sun</t>
        </is>
      </c>
      <c r="F22" s="2" t="inlineStr">
        <is>
          <t>Wednesday</t>
        </is>
      </c>
      <c r="G22" s="2" t="inlineStr">
        <is>
          <t>Spring/Imbolc</t>
        </is>
      </c>
      <c r="H22" s="3" t="inlineStr">
        <is>
          <t>Dispelling sickness, New beginnings, Harmony, Healing,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t>
        </is>
      </c>
      <c r="I22" s="3" t="inlineStr">
        <is>
          <t>Blackberry, Dill, Pine Nut</t>
        </is>
      </c>
      <c r="J22" s="3" t="inlineStr">
        <is>
          <t>Anatolian mother goddess of nature and mountains.</t>
        </is>
      </c>
      <c r="K22" s="3" t="inlineStr">
        <is>
          <t>Celtic goddess of the sacred flame, healing wells, poetry, and smith-craft whose fire burns eternally at Kildare. She embodied the triple arts of healing (herb lore and the healing well), poetry (the art of prophecy and bardcraft), and smithing (the magical transformation of metal). Her sacred flame at Kildare was tended by 19 priestesses and was never allowed to extinguish — it burned for over a thousand years until Henry VIII suppressed the monasteries. She could be in three places simultaneously as her triple aspect.</t>
        </is>
      </c>
      <c r="L22" s="3" t="inlineStr">
        <is>
          <t>The very first green shoots of snowdrops pushing through the freezing February snow, protected by the sacred flame and the quiet murmur of holy healing wells.</t>
        </is>
      </c>
      <c r="M22" s="35" t="n"/>
      <c r="N22" s="36" t="inlineStr">
        <is>
          <t>Pine</t>
        </is>
      </c>
      <c r="O22" t="inlineStr">
        <is>
          <t>Coal-bright heat with river hush, where sun-strength gathers around BRIGID. Opens poetry (the art of prophecy and bardcraft) without forcing it, letting the quiet message under the leaves rise from the green dark. A presence for spells that need the unseen made speakable.</t>
        </is>
      </c>
      <c r="P22" t="inlineStr">
        <is>
          <t>Coal-bright heat with river hush, with sun-strength turning through BRIGID. Turns Dispelling sickness, feeding New beginnings back into the soil of the spell. A guiding presence when the spell must shift, heal, end or begin.</t>
        </is>
      </c>
      <c r="Q22" t="inlineStr">
        <is>
          <t>Goddess</t>
        </is>
      </c>
    </row>
    <row r="23" ht="74.25" customHeight="1" s="56">
      <c r="A23" s="4" t="inlineStr">
        <is>
          <t>BUDDHA</t>
        </is>
      </c>
      <c r="B23" s="4" t="inlineStr">
        <is>
          <t>Deity</t>
        </is>
      </c>
      <c r="C23" s="4" t="inlineStr">
        <is>
          <t>Masculine</t>
        </is>
      </c>
      <c r="D23" s="4" t="inlineStr">
        <is>
          <t>Air/Earth</t>
        </is>
      </c>
      <c r="E23" s="4" t="inlineStr">
        <is>
          <t>Mercury</t>
        </is>
      </c>
      <c r="F23" s="4" t="inlineStr">
        <is>
          <t>Wednesday</t>
        </is>
      </c>
      <c r="G23" s="4" t="inlineStr">
        <is>
          <t>All Seasons</t>
        </is>
      </c>
      <c r="H23" s="5" t="inlineStr">
        <is>
          <t>New beginnings, Confidence, Spirit offerings, Mabon/Samhain, Samhain/ancestral altars, Contacting planes, Strength,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Physical Strength, Fortitude, Vitality, Inner power, and strength</t>
        </is>
      </c>
      <c r="I23" s="5" t="inlineStr">
        <is>
          <t>Lotus, Amulets/talismans, alwood</t>
        </is>
      </c>
      <c r="J23" s="5" t="inlineStr">
        <is>
          <t>Variant of Cybele (Mother Goddess).</t>
        </is>
      </c>
      <c r="K23" s="5" t="inlineStr">
        <is>
          <t>The Awakened One whose magic was the siddhi — extraordinary powers that arose as a side effect of deep meditation. These included the ability to fly, walk on water, divide into multiple bodies, know others' thoughts, see past and future lives, and hear sounds at any distance. However, the Buddha consistently warned that attachment to these powers was a spiritual trap. His greatest magic was the transmission of dharma — the path to liberation from suffering — a feat that countless beings across 2,500 years have found transformative.</t>
        </is>
      </c>
      <c r="L23" s="5" t="inlineStr">
        <is>
          <t>The deep, grounding roots of the ancient Bodhi tree, offering a sprawling canopy of shade where the mind can settle and become as still as a forest pond.</t>
        </is>
      </c>
      <c r="M23" s="35" t="n"/>
      <c r="N23" s="36" t="n"/>
      <c r="O23" t="inlineStr">
        <is>
          <t>Wind in high branches with root, where quick wind gathers around BUDDHA. Opens Spirit offerings without forcing it, letting the quiet message under the leaves rise from the green dark. A presence for spells that need the unseen made speakable.</t>
        </is>
      </c>
      <c r="P23" t="inlineStr">
        <is>
          <t>Wind in high branches with root, with quick wind turning through BUDDHA. Turns New beginnings, feeding Strength back into the soil of the spell. A guiding presence when the spell must shift, heal, end or begin.</t>
        </is>
      </c>
      <c r="Q23" t="inlineStr">
        <is>
          <t>God</t>
        </is>
      </c>
    </row>
    <row r="24" ht="74.25" customHeight="1" s="56">
      <c r="A24" s="2" t="inlineStr">
        <is>
          <t>CEBELE</t>
        </is>
      </c>
      <c r="B24" s="2" t="inlineStr">
        <is>
          <t>Deity</t>
        </is>
      </c>
      <c r="C24" s="2" t="inlineStr">
        <is>
          <t>Feminine</t>
        </is>
      </c>
      <c r="D24" s="2" t="inlineStr">
        <is>
          <t>Earth</t>
        </is>
      </c>
      <c r="E24" s="2" t="inlineStr">
        <is>
          <t>Saturn</t>
        </is>
      </c>
      <c r="F24" s="2" t="inlineStr">
        <is>
          <t>Saturday</t>
        </is>
      </c>
      <c r="G24" s="2" t="inlineStr">
        <is>
          <t>Spring/Summer</t>
        </is>
      </c>
      <c r="H24" s="3" t="inlineStr">
        <is>
          <t>New beginnings, Love rituals, Love, Aphrodisiac,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Attracting a mate, Attracting a soulmate, Conjuring a lover, HELP ATTRACT OPPOSITE SEX, Finding future love</t>
        </is>
      </c>
      <c r="I24" s="3" t="inlineStr">
        <is>
          <t>Lemon Balm, Oak</t>
        </is>
      </c>
      <c r="J24" s="3" t="inlineStr">
        <is>
          <t>Roman goddess of agriculture and motherly love.</t>
        </is>
      </c>
      <c r="K24" s="3" t="inlineStr">
        <is>
          <t>An ancient variant of Cybele, the Phrygian Great Mother. Her magic was the raw, ecstatic power of the mountain wilderness — the untamed force of the deep earth that civilisation cannot contain. Her priests entered states of divine frenzy through drumming, wild dancing, and self-wounding, becoming vessels for her power. Lions were sacred to her as manifestations of her untameable nature. Her rites were considered so dangerously powerful that Rome initially tried to suppress them before eventually adopting her as a state goddess.</t>
        </is>
      </c>
      <c r="L24" s="3" t="inlineStr">
        <is>
          <t>The raw, untamed caves and high mountain peaks where wild lions roam and the loose rocks vibrate with the heavy, pulsing drumbeat of the deep earth.</t>
        </is>
      </c>
      <c r="M24" s="35" t="n"/>
      <c r="N24" s="36" t="n"/>
      <c r="O24" t="inlineStr">
        <is>
          <t>Root, stone, loam and the patient weight of the hill, where old-root law gathers around CEBELE. Opens the deeper thread of New beginnings, letting what is buried inside the working show its true face. A presence for spells that need the unseen made speakable.</t>
        </is>
      </c>
      <c r="P24" t="inlineStr">
        <is>
          <t>Root, stone, loam and the patient weight of the hill, with old-root law turning through CEBELE. Turns New beginnings, feeding old energy into new growth back into the soil of the spell. A guiding presence when the spell must shift, heal, end or begin.</t>
        </is>
      </c>
      <c r="Q24" t="inlineStr">
        <is>
          <t>Goddess</t>
        </is>
      </c>
    </row>
    <row r="25" ht="86.25" customHeight="1" s="56">
      <c r="A25" s="4" t="inlineStr">
        <is>
          <t>CERES</t>
        </is>
      </c>
      <c r="B25" s="4" t="inlineStr">
        <is>
          <t>Deity</t>
        </is>
      </c>
      <c r="C25" s="4" t="inlineStr">
        <is>
          <t>Feminine</t>
        </is>
      </c>
      <c r="D25" s="4" t="inlineStr">
        <is>
          <t>Earth</t>
        </is>
      </c>
      <c r="E25" s="4" t="inlineStr">
        <is>
          <t>Mercury/Moon</t>
        </is>
      </c>
      <c r="F25" s="4" t="inlineStr">
        <is>
          <t>Wednesday</t>
        </is>
      </c>
      <c r="G25" s="4" t="inlineStr">
        <is>
          <t>Summer/Autumn</t>
        </is>
      </c>
      <c r="H25" s="5"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25" s="5" t="inlineStr">
        <is>
          <t>Bay Laurel, Lemon Balm</t>
        </is>
      </c>
      <c r="J25" s="5" t="inlineStr">
        <is>
          <t>Welsh goddess of transformation and magic.</t>
        </is>
      </c>
      <c r="K25" s="5" t="inlineStr">
        <is>
          <t>Roman goddess of grain, harvest, and the sacred law of agriculture. Her most famous magical act was withdrawing her gifts from the earth when her daughter Proserpina was taken to the Underworld — creating the first winter. The earth became barren until Jupiter negotiated Proserpina's partial return. Her Eleusinian Mysteries (adapted from the Greek Demeter) were among the most powerful initiatory rites of the ancient world, promising initiates secret knowledge about life after death, experienced through ritual fasting, sacred drama, and a luminous vision.</t>
        </is>
      </c>
      <c r="L25" s="5" t="inlineStr">
        <is>
          <t>The golden fields of ripe wheat rippling in the late summer wind, representing the heavy, bountiful magic of the harvest gathered before the coming frost.</t>
        </is>
      </c>
      <c r="M25" s="35" t="inlineStr">
        <is>
          <t>Labradorite, Petrified Wood, Tanzanite</t>
        </is>
      </c>
      <c r="N25" s="36" t="n"/>
      <c r="O25" t="inlineStr">
        <is>
          <t>Root, stone, loam and the patient weight of the hill, where moon-sight gathers around CERES. Opens a luminous vision without forcing it, letting the quiet message under the leaves rise from the green dark. A presence for spells that need the unseen made speakable.</t>
        </is>
      </c>
      <c r="P25" t="inlineStr">
        <is>
          <t>Root, stone, loam and the patient weight of the hill, with moon-sight turning through CERES. Turns New beginnings, feeding old energy into new growth back into the soil of the spell. A guiding presence when the spell must shift, heal, end or begin.</t>
        </is>
      </c>
      <c r="Q25" t="inlineStr">
        <is>
          <t>Goddess</t>
        </is>
      </c>
    </row>
    <row r="26" ht="74.25" customHeight="1" s="56">
      <c r="A26" s="2" t="inlineStr">
        <is>
          <t>CERRIDWEN</t>
        </is>
      </c>
      <c r="B26" s="2" t="inlineStr">
        <is>
          <t>Deity</t>
        </is>
      </c>
      <c r="C26" s="2" t="inlineStr">
        <is>
          <t>Feminine</t>
        </is>
      </c>
      <c r="D26" s="2" t="inlineStr">
        <is>
          <t>Water/Earth</t>
        </is>
      </c>
      <c r="E26" s="2" t="inlineStr">
        <is>
          <t>Moon</t>
        </is>
      </c>
      <c r="F26" s="2" t="inlineStr">
        <is>
          <t>Monday</t>
        </is>
      </c>
      <c r="G26" s="2" t="inlineStr">
        <is>
          <t>Autumn/Winter</t>
        </is>
      </c>
      <c r="H26" s="3"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26" s="3" t="inlineStr">
        <is>
          <t>Bay Laurel, Nutmeg, Violet</t>
        </is>
      </c>
      <c r="J26" s="3" t="inlineStr">
        <is>
          <t>Greek titan of time and the harvest.</t>
        </is>
      </c>
      <c r="K26" s="3" t="inlineStr">
        <is>
          <t>Welsh goddess of the cauldron of transformation and the granter of poetic inspiration (Awen). She brewed a year-and-a-day potion in her great cauldron intended to grant her ugly son Morfran all the knowledge in the world. The servant boy Gwion Bach accidentally received the three drops and gained infinite wisdom. She pursued him as they both shapeshifted through hare, fish, otter, bird, and hawk — until she swallowed him as a grain of wheat and gave birth to him as Taliesin, the greatest bard of Wales.</t>
        </is>
      </c>
      <c r="L26" s="3" t="inlineStr">
        <is>
          <t>The bubbling cauldron of transformation simmering with dark forest roots, acorns, and the magic of the turning seasons from autumn decay to winter rest.</t>
        </is>
      </c>
      <c r="M26" s="35" t="n"/>
      <c r="N26" s="36" t="n"/>
      <c r="O26" t="inlineStr">
        <is>
          <t>River hush with root, where moon-sight gathers around CERRIDWEN. Opens the deeper thread of New beginnings, letting what is buried inside the working show its true face. A presence for spells that need the unseen made speakable.</t>
        </is>
      </c>
      <c r="P26" t="inlineStr">
        <is>
          <t>River hush with root, with moon-sight turning through CERRIDWEN. Turns New beginnings, feeding old energy into new growth back into the soil of the spell. A guiding presence when the spell must shift, heal, end or begin.</t>
        </is>
      </c>
      <c r="Q26" t="inlineStr">
        <is>
          <t>Goddess</t>
        </is>
      </c>
    </row>
    <row r="27" ht="74.25" customHeight="1" s="56">
      <c r="A27" s="4" t="inlineStr">
        <is>
          <t>CRONOS</t>
        </is>
      </c>
      <c r="B27" s="4" t="inlineStr">
        <is>
          <t>Deity</t>
        </is>
      </c>
      <c r="C27" s="4" t="inlineStr">
        <is>
          <t>Masculine</t>
        </is>
      </c>
      <c r="D27" s="4" t="inlineStr">
        <is>
          <t>Earth</t>
        </is>
      </c>
      <c r="E27" s="4" t="inlineStr">
        <is>
          <t>Saturn</t>
        </is>
      </c>
      <c r="F27" s="4" t="inlineStr">
        <is>
          <t>Saturday</t>
        </is>
      </c>
      <c r="G27" s="4" t="inlineStr">
        <is>
          <t>Winter</t>
        </is>
      </c>
      <c r="H27" s="5"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27" s="5" t="inlineStr">
        <is>
          <t>Barley, Myrrh</t>
        </is>
      </c>
      <c r="J27" s="5" t="inlineStr">
        <is>
          <t>Etruscan goddess of fertility and abundance.</t>
        </is>
      </c>
      <c r="K27" s="5" t="inlineStr">
        <is>
          <t>Titan god of time and the harvest who swallowed his own children whole to prevent the prophecy that one would overthrow him. He wielded the adamantine sickle that castrated Ouranos, separating Heaven and Earth. His magic was the inexorable turning of time itself — harvest, winter, death — and the paradox that devouring the future only ensures its arrival. When tricked by Zeus into vomiting up the other gods, the cosmic order of Olympus was born from his attempt to prevent it.</t>
        </is>
      </c>
      <c r="L27" s="5" t="inlineStr">
        <is>
          <t>The slow, inexorable turning of the agricultural wheel, the sickle cutting down the mature grain so the exhausted soil can finally rest under a blanket of winter snow.</t>
        </is>
      </c>
      <c r="M27" s="35" t="n"/>
      <c r="N27" s="36" t="n"/>
      <c r="O27" t="inlineStr">
        <is>
          <t>Root, stone, loam and the patient weight of the hill, where old-root law gathers around CRONOS. Opens the deeper thread of New beginnings, letting what is buried inside the working show its true face. A presence for spells that need the unseen made speakable.</t>
        </is>
      </c>
      <c r="P27" t="inlineStr">
        <is>
          <t>Root, stone, loam and the patient weight of the hill, with old-root law turning through CRONOS. Turns New beginnings, feeding old energy into new growth back into the soil of the spell. A guiding presence when the spell must shift, heal, end or begin.</t>
        </is>
      </c>
      <c r="Q27" t="inlineStr">
        <is>
          <t>God</t>
        </is>
      </c>
    </row>
    <row r="28" ht="74.25" customHeight="1" s="56">
      <c r="A28" s="2" t="inlineStr">
        <is>
          <t>CUPID</t>
        </is>
      </c>
      <c r="B28" s="2" t="inlineStr">
        <is>
          <t>Deity</t>
        </is>
      </c>
      <c r="C28" s="2" t="inlineStr">
        <is>
          <t>Masculine</t>
        </is>
      </c>
      <c r="D28" s="2" t="inlineStr">
        <is>
          <t>Air/Fire</t>
        </is>
      </c>
      <c r="E28" s="2" t="inlineStr">
        <is>
          <t>Venus</t>
        </is>
      </c>
      <c r="F28" s="2" t="inlineStr">
        <is>
          <t>Friday</t>
        </is>
      </c>
      <c r="G28" s="2" t="inlineStr">
        <is>
          <t>Spring</t>
        </is>
      </c>
      <c r="H28" s="3" t="inlineStr">
        <is>
          <t>New beginnings, Confidence, Sun God offerings, Luck, Love rituals, Love, Aphrodisiac, Strength, Harmony, Happiness,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Physical Strength, Fortitude, Vitality, Inner power, and strength, Joy, Joyous celebrations, Contentment, Attracting a mate, Attracting a soulmate, Conjuring a lover, HELP ATTRACT OPPOSITE SEX, Finding future love</t>
        </is>
      </c>
      <c r="I28" s="3" t="inlineStr">
        <is>
          <t>Rose, Apple Blossom</t>
        </is>
      </c>
      <c r="J28" s="3" t="inlineStr">
        <is>
          <t>Greek god of wine, ecstasy, and theater.</t>
        </is>
      </c>
      <c r="K28" s="3" t="inlineStr">
        <is>
          <t>Roman god of erotic desire whose golden arrows ignited irresistible love, and whose lead arrows caused instant revulsion. He wielded this power over gods and mortals alike, famously striking Apollo with a golden arrow and the nymph Daphne with a lead one, setting the stage for her transformation into a laurel tree. His most beloved myth is the union with Psyche — where love itself had to be concealed to survive, and only after trials, death, and resurrection could it become immortal and conscious.</t>
        </is>
      </c>
      <c r="L28" s="3" t="inlineStr">
        <is>
          <t>The sudden blossoming of the heartsease flower (wild pansy), struck by a dart of warm sunlight and blooming vibrantly in the hidden woodland undergrowth.</t>
        </is>
      </c>
      <c r="M28" s="35" t="inlineStr">
        <is>
          <t>Onyx, Opal pink</t>
        </is>
      </c>
      <c r="N28" s="36" t="inlineStr">
        <is>
          <t>Rose</t>
        </is>
      </c>
      <c r="O28" t="inlineStr">
        <is>
          <t>Coal-bright heat with wind in high branches, where heart-drawing gathers around CUPID. Opens the deeper thread of New beginnings, letting what is buried inside the working show its true face. A presence for spells that need the unseen made speakable.</t>
        </is>
      </c>
      <c r="P28" t="inlineStr">
        <is>
          <t>Coal-bright heat with wind in high branches, with heart-drawing turning through CUPID. Turns New beginnings, feeding Strength back into the soil of the spell. A guiding presence when the spell must shift, heal, end or begin.</t>
        </is>
      </c>
      <c r="Q28" t="inlineStr">
        <is>
          <t>God</t>
        </is>
      </c>
    </row>
    <row r="29" ht="74.25" customHeight="1" s="56">
      <c r="A29" s="4" t="inlineStr">
        <is>
          <t>CUPRA</t>
        </is>
      </c>
      <c r="B29" s="4" t="inlineStr">
        <is>
          <t>Deity</t>
        </is>
      </c>
      <c r="C29" s="4" t="inlineStr">
        <is>
          <t>Feminine</t>
        </is>
      </c>
      <c r="D29" s="4" t="inlineStr">
        <is>
          <t>Earth</t>
        </is>
      </c>
      <c r="E29" s="4" t="inlineStr">
        <is>
          <t>Venus</t>
        </is>
      </c>
      <c r="F29" s="4" t="inlineStr">
        <is>
          <t>Friday</t>
        </is>
      </c>
      <c r="G29" s="4" t="inlineStr">
        <is>
          <t>Spring/Summer</t>
        </is>
      </c>
      <c r="H29" s="5" t="inlineStr">
        <is>
          <t>Divination, New beginnings, Fruitfulness, Confidence, Prophetic dreams, Protection, Protection (hexes/evil), Star magick, Banishing, Increasing wealth, Warding, Strength,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Invoking dreams, Dream work, Dreams, Visions, Seeing the unseen, Seeing manifestations, Truth, Honesty, Removing deception, Subconscious work, Digging into the subconscious, Uprooting what is hidden, Treasure seeking, Lost object finding,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I29" s="5" t="inlineStr">
        <is>
          <t>Myrtle</t>
        </is>
      </c>
      <c r="J29" s="5" t="inlineStr">
        <is>
          <t>Roman goddess of the moon and hunt.</t>
        </is>
      </c>
      <c r="K29" s="5" t="inlineStr">
        <is>
          <t>Etruscan mother goddess of supreme fertility and sovereignty, one of the nine divine powers who could hurl thunderbolts. She was the Etruscan equivalent of Juno, wielding power over the sky as well as the earth. Her temples were found in every major Etruscan city, and warriors sought her protection before battle. Her sacred city on the Adriatic — Cupra Marittima — preserved her cult so faithfully that Emperor Hadrian rebuilt her temple there in 127 AD, centuries after Rome's conquest of Etruria.</t>
        </is>
      </c>
      <c r="L29" s="5" t="inlineStr">
        <is>
          <t>The deep underground springs that bubble up through limestone to carve lush, green valleys, carrying the ancient memory of the earth mother's subterranean waters.</t>
        </is>
      </c>
      <c r="M29" s="35" t="n"/>
      <c r="N29" s="36" t="n"/>
      <c r="O29" t="inlineStr">
        <is>
          <t>Root, stone, loam and the patient weight of the hill, where heart-drawing gathers around CUPRA. Opens Divination without forcing it, letting Prophetic dreams rise from the green dark. A presence for spells that need the unseen made speakable.</t>
        </is>
      </c>
      <c r="P29" t="inlineStr">
        <is>
          <t>Root, stone, loam and the patient weight of the hill, with heart-drawing turning through CUPRA. Turns New beginnings, feeding Protection (hexes/evil) back into the soil of the spell. A guiding presence when the spell must shift, heal, end or begin.</t>
        </is>
      </c>
      <c r="Q29" t="inlineStr">
        <is>
          <t>Goddess</t>
        </is>
      </c>
    </row>
    <row r="30" ht="86.25" customHeight="1" s="56">
      <c r="A30" s="2" t="inlineStr">
        <is>
          <t>CYBELE</t>
        </is>
      </c>
      <c r="B30" s="2" t="inlineStr">
        <is>
          <t>Deity</t>
        </is>
      </c>
      <c r="C30" s="2" t="inlineStr">
        <is>
          <t>Feminine</t>
        </is>
      </c>
      <c r="D30" s="2" t="inlineStr">
        <is>
          <t>Earth</t>
        </is>
      </c>
      <c r="E30" s="2" t="inlineStr">
        <is>
          <t>Saturn</t>
        </is>
      </c>
      <c r="F30" s="2" t="inlineStr">
        <is>
          <t>Saturday</t>
        </is>
      </c>
      <c r="G30" s="2" t="inlineStr">
        <is>
          <t>Spring</t>
        </is>
      </c>
      <c r="H30" s="3" t="inlineStr">
        <is>
          <t>New beginnings, Confidence, Love rituals, Love, Aphrodisiac, Strength,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Physical Strength, Fortitude, Vitality, Inner power, and strength, Attracting a mate, Attracting a soulmate, Conjuring a lover, HELP ATTRACT OPPOSITE SEX, Finding future love</t>
        </is>
      </c>
      <c r="I30" s="3" t="inlineStr">
        <is>
          <t>Lemon Balm, Oak</t>
        </is>
      </c>
      <c r="J30" s="3" t="inlineStr">
        <is>
          <t>Greek god of desire and passion.</t>
        </is>
      </c>
      <c r="K30" s="3" t="inlineStr">
        <is>
          <t>Phrygian Great Mother from whom all other mother goddesses descended. Her ecstatic mysteries involved trance drumming, wild dancing, and castration of her male priests (the Galli), who became her sacred intermediaries. She rode a chariot drawn by lions and commanded the raw, convulsive forces of nature. Brought to Rome in 204 BCE during the Punic Wars, her cult — involving ritual self-wounding and frenzied music — was so powerful it was initially restricted to her Palatine temple, since Romans found it dangerously overwhelming.</t>
        </is>
      </c>
      <c r="L30" s="3" t="inlineStr">
        <is>
          <t>The dark, rich loam of the forest floor, buzzing with the life of beetles and the fertile decay that feeds the roots of the oldest, towering pines.</t>
        </is>
      </c>
      <c r="M30" s="35" t="n"/>
      <c r="N30" s="36" t="inlineStr">
        <is>
          <t>Pine</t>
        </is>
      </c>
      <c r="O30" t="inlineStr">
        <is>
          <t>Root, stone, loam and the patient weight of the hill, where old-root law gathers around CYBELE. Opens the deeper thread of New beginnings, letting what is buried inside the working show its true face. A presence for spells that need the unseen made speakable.</t>
        </is>
      </c>
      <c r="P30" t="inlineStr">
        <is>
          <t>Root, stone, loam and the patient weight of the hill, with old-root law turning through CYBELE. Turns New beginnings, feeding Strength back into the soil of the spell. A guiding presence when the spell must shift, heal, end or begin.</t>
        </is>
      </c>
      <c r="Q30" t="inlineStr">
        <is>
          <t>Goddess</t>
        </is>
      </c>
    </row>
    <row r="31" ht="74.25" customHeight="1" s="56">
      <c r="A31" s="4" t="inlineStr">
        <is>
          <t>DIANA</t>
        </is>
      </c>
      <c r="B31" s="4" t="inlineStr">
        <is>
          <t>Deity</t>
        </is>
      </c>
      <c r="C31" s="4" t="inlineStr">
        <is>
          <t>Feminine</t>
        </is>
      </c>
      <c r="D31" s="4" t="inlineStr">
        <is>
          <t>Earth/Water</t>
        </is>
      </c>
      <c r="E31" s="4" t="inlineStr">
        <is>
          <t>Moon</t>
        </is>
      </c>
      <c r="F31" s="4" t="inlineStr">
        <is>
          <t>Monday</t>
        </is>
      </c>
      <c r="G31" s="4" t="inlineStr">
        <is>
          <t>Autumn/Winter</t>
        </is>
      </c>
      <c r="H31" s="5" t="inlineStr">
        <is>
          <t>Divination, New beginnings, Prophetic dreams, Protection, Protection (hexes/evil), Spirit offerings, Mabon/Samhain, Samhain/ancestral altars, Star magick, Banishing, Warding, Contacting planes, Harmony, Clairvoyance,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Enhancing clairvoyance, Psychic development, Psychic powers, INCREASE PSYCHIC ABILITIES, Psychic awareness, Stimulating psychic senses, Disabling psychic phenomena, Psychic communication, communication and psychic abilities</t>
        </is>
      </c>
      <c r="I31" s="5" t="inlineStr">
        <is>
          <t>Lemon Balm, Rue, Increasing wealth, mwood</t>
        </is>
      </c>
      <c r="J31" s="5" t="inlineStr">
        <is>
          <t>One of the Pleiades, daughter of Atlas.</t>
        </is>
      </c>
      <c r="K31" s="5" t="inlineStr">
        <is>
          <t>Roman goddess of the hunt, the moon, and the crossroads who protected women in childbirth and held the keys to the Underworld. The sacred grove at Nemi — the Rex Nemorensis or 'King of the Wood' — was her most powerful cult site, where her priest ruled by killing his predecessor in single combat, an unbroken chain of sacred regicide. She could cause sudden death, grant safe childbirth, and walk the triple crossroads at midnight with her torch, hounds, and the spirits of the restless dead.</t>
        </is>
      </c>
      <c r="L31" s="5" t="inlineStr">
        <is>
          <t>The dappled shade of the ancient oak grove, where hounds rest quietly and the silent footsteps of the huntress leave absolutely no trace on the green moss.</t>
        </is>
      </c>
      <c r="M31" s="35" t="inlineStr">
        <is>
          <t>Aquamarine, Calcite, Howlite, Jet, quartz rutilated, quartz smokey, quartz snow</t>
        </is>
      </c>
      <c r="N31" s="36" t="inlineStr">
        <is>
          <t>Melissa</t>
        </is>
      </c>
      <c r="O31" t="inlineStr">
        <is>
          <t>River hush with root, where moon-sight gathers around DIANA. Opens Divination without forcing it, letting Prophetic dreams rise from the green dark. A presence for spells that need the unseen made speakable.</t>
        </is>
      </c>
      <c r="P31" t="inlineStr">
        <is>
          <t>River hush with root, with moon-sight turning through DIANA. Turns New beginnings, feeding Protection (hexes/evil) back into the soil of the spell. A guiding presence when the spell must shift, heal, end or begin.</t>
        </is>
      </c>
      <c r="Q31" t="inlineStr">
        <is>
          <t>Goddess</t>
        </is>
      </c>
    </row>
    <row r="32" ht="74.25" customHeight="1" s="56">
      <c r="A32" s="2" t="inlineStr">
        <is>
          <t>DIONYSUS</t>
        </is>
      </c>
      <c r="B32" s="2" t="inlineStr">
        <is>
          <t>Deity</t>
        </is>
      </c>
      <c r="C32" s="2" t="inlineStr">
        <is>
          <t>Masculine</t>
        </is>
      </c>
      <c r="D32" s="2" t="inlineStr">
        <is>
          <t>Water/Earth</t>
        </is>
      </c>
      <c r="E32" s="2" t="inlineStr">
        <is>
          <t>Jupiter</t>
        </is>
      </c>
      <c r="F32" s="2" t="inlineStr">
        <is>
          <t>Thursday</t>
        </is>
      </c>
      <c r="G32" s="2" t="inlineStr">
        <is>
          <t>Autumn</t>
        </is>
      </c>
      <c r="H32" s="3" t="inlineStr">
        <is>
          <t>New beginnings, Sun God offerings, Luck, Dispelling sickness, Harmony, Happiness,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Joy, Joyous celebrations, Contentment, Healing magic, Healing spells, Healing sachets, Healing incenses, Healing mixtures, Healing rituals, Healing incense, Healing vibrations, healing after surgery, Aiding recovery, Aiding the ill, Improving health, Speeding recovery, Good health, health</t>
        </is>
      </c>
      <c r="I32" s="3" t="inlineStr">
        <is>
          <t>Grapevine, Ivy</t>
        </is>
      </c>
      <c r="J32" s="3" t="inlineStr">
        <is>
          <t>Mythological/symbolic figure related to healing.</t>
        </is>
      </c>
      <c r="K32" s="3" t="inlineStr">
        <is>
          <t>Greek god of wine, madness, and ecstasy who twice died and was reborn — first from the womb of his mortal mother consumed by Zeus's lightning, then rescued and sewn into Zeus's thigh. He was torn apart by the Titans as an infant and restored. He drove the women of Thebes to collective madness, causing them to tear apart King Pentheus with their bare hands when he opposed his worship. He turned pirates into dolphins, transformed ships, grew vines from nothing, and could make the impossible suddenly, wildly real.</t>
        </is>
      </c>
      <c r="L32" s="3" t="inlineStr">
        <is>
          <t>The sudden, erratic spread of wild ivy overtaking abandoned stone walls, a testament to nature's wild refusal to ever be fully tamed or controlled by stone.</t>
        </is>
      </c>
      <c r="M32" s="35" t="n"/>
      <c r="N32" s="36" t="inlineStr">
        <is>
          <t>Pine</t>
        </is>
      </c>
      <c r="O32" t="inlineStr">
        <is>
          <t>River hush with root, where oak-wide growth gathers around DIONYSUS. Opens He drove the women of Thebes to collective madness without forcing it, letting the quiet message under the leaves rise from the green dark. A presence for spells that need the unseen made speakable.</t>
        </is>
      </c>
      <c r="P32" t="inlineStr">
        <is>
          <t>River hush with root, with oak-wide growth turning through DIONYSUS. Turns New beginnings, feeding Dispelling sickness back into the soil of the spell. A guiding presence when the spell must shift, heal, end or begin.</t>
        </is>
      </c>
      <c r="Q32" t="inlineStr">
        <is>
          <t>God</t>
        </is>
      </c>
    </row>
    <row r="33" ht="74.25" customHeight="1" s="56">
      <c r="A33" s="4" t="inlineStr">
        <is>
          <t>ELECTRA</t>
        </is>
      </c>
      <c r="B33" s="4" t="inlineStr">
        <is>
          <t>Concept</t>
        </is>
      </c>
      <c r="C33" s="4" t="inlineStr">
        <is>
          <t>Feminine</t>
        </is>
      </c>
      <c r="D33" s="4" t="inlineStr">
        <is>
          <t>Air/Fire</t>
        </is>
      </c>
      <c r="E33" s="4" t="inlineStr">
        <is>
          <t>Mercury</t>
        </is>
      </c>
      <c r="F33" s="4" t="inlineStr">
        <is>
          <t>Wednesday</t>
        </is>
      </c>
      <c r="G33" s="4" t="inlineStr">
        <is>
          <t>Summer</t>
        </is>
      </c>
      <c r="H33" s="5" t="inlineStr">
        <is>
          <t>Sun God offerings, Luck, Happiness,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33" s="5" t="inlineStr">
        <is>
          <t>Amber</t>
        </is>
      </c>
      <c r="J33" s="5" t="inlineStr">
        <is>
          <t>Symbolic representation of the Divine Father.</t>
        </is>
      </c>
      <c r="K33" s="5" t="inlineStr">
        <is>
          <t>One of the Pleiades, daughter of Atlas and Pleione, whose magical significance lies in her connection to electricity, storms, and the luminous power of the star cluster. She was mother of Dardanus, founder of Troy, and her grief at Troy's fall was said to cause her star to fade or wander from the cluster — becoming a comet of mourning. In esoteric traditions she represents the charge of lightning in the air before a storm and the raw, crackling magic of elemental electricity.</t>
        </is>
      </c>
      <c r="L33" s="5" t="inlineStr">
        <is>
          <t>The crackling ozone in the air just before a massive thunderstorm strikes the sea, charging the coastal air with raw, elemental magic and static electricity.</t>
        </is>
      </c>
      <c r="M33" s="35" t="n"/>
      <c r="N33" s="36" t="n"/>
      <c r="O33" t="inlineStr">
        <is>
          <t>Coal-bright heat with wind in high branches, where quick wind gathers around ELECTRA. Opens the deeper thread of Sun God offerings, letting what is buried inside the working show its true face. A presence for spells that need the unseen made speakable.</t>
        </is>
      </c>
      <c r="P33" t="inlineStr">
        <is>
          <t>Coal-bright heat with wind in high branches, with quick wind turning through ELECTRA. Turns the spell through Sun God offerings, moving its energy from what was into what must grow next. A guiding presence when the spell must shift, heal, end or begin.</t>
        </is>
      </c>
      <c r="Q33" t="inlineStr">
        <is>
          <t>Goddess</t>
        </is>
      </c>
    </row>
    <row r="34" ht="74.25" customHeight="1" s="56">
      <c r="A34" s="2" t="inlineStr">
        <is>
          <t>EREYR</t>
        </is>
      </c>
      <c r="B34" s="2" t="inlineStr">
        <is>
          <t>Deity</t>
        </is>
      </c>
      <c r="C34" s="2" t="inlineStr">
        <is>
          <t>Masculine</t>
        </is>
      </c>
      <c r="D34" s="2" t="inlineStr">
        <is>
          <t>Air/Earth</t>
        </is>
      </c>
      <c r="E34" s="2" t="inlineStr">
        <is>
          <t>Jupiter</t>
        </is>
      </c>
      <c r="F34" s="2" t="inlineStr">
        <is>
          <t>Thursday</t>
        </is>
      </c>
      <c r="G34" s="2" t="inlineStr">
        <is>
          <t>All Seasons</t>
        </is>
      </c>
      <c r="H34" s="3" t="inlineStr">
        <is>
          <t>New beginnings, Spirit offerings, Mabon/Samhain, Samhain/ancestral altars, Contacting planes,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t>
        </is>
      </c>
      <c r="I34" s="3" t="inlineStr">
        <is>
          <t>Willow</t>
        </is>
      </c>
      <c r="J34" s="3" t="inlineStr">
        <is>
          <t>Celtic deity of the hunt and wild things.</t>
        </is>
      </c>
      <c r="K34" s="3" t="inlineStr">
        <is>
          <t>An eagle-deity figure from Celtic tradition associated with high places, the overview of the cosmos, and keen visionary sight. Eagle deities across many traditions serve as messengers between heaven and earth, capable of carrying prayers to the gods and returning with divine vision. The eagle's eye represents the ability to see what is hidden — the magical art of far-seeing and true prophecy. As a guardian of high sacred places, Ereyr held the land's boundaries against spiritual intrusion.</t>
        </is>
      </c>
      <c r="L34" s="3" t="inlineStr">
        <is>
          <t>The shadow of the great eagle soaring over the high, rocky crags, guarding the hidden, resilient alpine flora that blooms only at dizzying heights.</t>
        </is>
      </c>
      <c r="M34" s="35" t="n"/>
      <c r="N34" s="36" t="n"/>
      <c r="O34" t="inlineStr">
        <is>
          <t>Wind in high branches with root, where oak-wide growth gathers around EREYR. Opens Spirit offerings without forcing it, letting keen visionary sight rise from the green dark. A presence for spells that need the unseen made speakable.</t>
        </is>
      </c>
      <c r="P34" t="inlineStr">
        <is>
          <t>Wind in high branches with root, with oak-wide growth turning through EREYR. Turns New beginnings, feeding old energy into new growth back into the soil of the spell. A guiding presence when the spell must shift, heal, end or begin.</t>
        </is>
      </c>
      <c r="Q34" t="inlineStr">
        <is>
          <t>God</t>
        </is>
      </c>
    </row>
    <row r="35" ht="74.25" customHeight="1" s="56">
      <c r="A35" s="4" t="inlineStr">
        <is>
          <t>EROS</t>
        </is>
      </c>
      <c r="B35" s="4" t="inlineStr">
        <is>
          <t>Deity</t>
        </is>
      </c>
      <c r="C35" s="4" t="inlineStr">
        <is>
          <t>Masculine</t>
        </is>
      </c>
      <c r="D35" s="4" t="inlineStr">
        <is>
          <t>Fire/Air</t>
        </is>
      </c>
      <c r="E35" s="4" t="inlineStr">
        <is>
          <t>Venus</t>
        </is>
      </c>
      <c r="F35" s="4" t="inlineStr">
        <is>
          <t>Friday</t>
        </is>
      </c>
      <c r="G35" s="4" t="inlineStr">
        <is>
          <t>Spring</t>
        </is>
      </c>
      <c r="H35" s="5" t="inlineStr">
        <is>
          <t>Fruitfulness, Love rituals, Love, Aphrodisiac, Increasing wealth, Prosperity, Attraction, Fertility, Love spells,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Attracting a mate, Attracting a soulmate, Conjuring a lover, HELP ATTRACT OPPOSITE SEX, Finding future love</t>
        </is>
      </c>
      <c r="I35" s="5" t="inlineStr">
        <is>
          <t>Rose, Yarrow</t>
        </is>
      </c>
      <c r="J35" s="5" t="inlineStr">
        <is>
          <t>Celtic goddess of fertility and magic.</t>
        </is>
      </c>
      <c r="K35" s="5" t="inlineStr">
        <is>
          <t>The primordial Greek god of love and creative desire — in his oldest form not a cherub but one of the first forces of creation, born from Chaos alongside Gaia and Tartarus. His arrows animated the world, drawing things together in creative union. Without Eros, nothing would mate, reproduce, or grow. In his later Olympian form as son of Aphrodite, he became the mischievous archer whose golden arrows caused irresistible love and whose lead arrows caused violent aversion — making him perhaps the most powerful force in the cosmos.</t>
        </is>
      </c>
      <c r="L35" s="5" t="inlineStr">
        <is>
          <t>The symbiotic, delicate dance of the bee and the blooming orchid, drawn together by an irresistible, natural magnetism that ensures the forest's ongoing propagation.</t>
        </is>
      </c>
      <c r="M35" s="35" t="n"/>
      <c r="N35" s="36" t="inlineStr">
        <is>
          <t>Rose</t>
        </is>
      </c>
      <c r="O35" t="inlineStr">
        <is>
          <t>Coal-bright heat with wind in high branches, where heart-drawing gathers around EROS. Opens the deeper thread of Fruitfulness, letting what is buried inside the working show its true face. A presence for spells that need the unseen made speakable.</t>
        </is>
      </c>
      <c r="P35" t="inlineStr">
        <is>
          <t>Coal-bright heat with wind in high branches, with heart-drawing turning through EROS. Turns the spell through Fruitfulness, moving its energy from what was into what must grow next. A guiding presence when the spell must shift, heal, end or begin.</t>
        </is>
      </c>
      <c r="Q35" t="inlineStr">
        <is>
          <t>God</t>
        </is>
      </c>
    </row>
    <row r="36" ht="61.5" customHeight="1" s="56">
      <c r="A36" s="2" t="inlineStr">
        <is>
          <t>FATHER GOD</t>
        </is>
      </c>
      <c r="B36" s="2" t="inlineStr">
        <is>
          <t>Deity</t>
        </is>
      </c>
      <c r="C36" s="2" t="inlineStr">
        <is>
          <t>Masculine</t>
        </is>
      </c>
      <c r="D36" s="2" t="inlineStr">
        <is>
          <t>Fire/Air</t>
        </is>
      </c>
      <c r="E36" s="2" t="inlineStr">
        <is>
          <t>Sun</t>
        </is>
      </c>
      <c r="F36" s="2" t="inlineStr">
        <is>
          <t>Sunday</t>
        </is>
      </c>
      <c r="G36" s="2" t="inlineStr">
        <is>
          <t>Summer</t>
        </is>
      </c>
      <c r="H36" s="3" t="inlineStr">
        <is>
          <t>New beginnings, Sun God offerings, Luck, Harmony, Happiness,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36" s="3" t="inlineStr">
        <is>
          <t>Oak (Ac, n)</t>
        </is>
      </c>
      <c r="J36" s="3" t="inlineStr">
        <is>
          <t>Greek primordial goddess, the personification of Earth.</t>
        </is>
      </c>
      <c r="K36" s="3" t="inlineStr">
        <is>
          <t>The archetypal masculine divine principle — sky father, protector, law-giver, and source of sacred authority. Found across cultures as Zeus, Jupiter, Odin, Osiris, Brahma — the divine Father holds the structure of the cosmos in place, establishes sacred law, and provides the protective canopy beneath which all life can grow. His magic is the magic of boundaries, oaths, lightning, and the sovereign word whose utterance makes things real.</t>
        </is>
      </c>
      <c r="L36" s="3" t="inlineStr">
        <is>
          <t>The sturdy, ancient trunks of the old-growth forest, providing the massive structural canopy that protects the tender, growing understory below.</t>
        </is>
      </c>
      <c r="M36" s="35" t="n"/>
      <c r="N36" s="36" t="n"/>
      <c r="O36" t="inlineStr">
        <is>
          <t>Coal-bright heat with wind in high branches, where sun-strength gathers around FATHER GOD. Opens the deeper thread of New beginnings, letting what is buried inside the working show its true face. A presence for spells that need the unseen made speakable.</t>
        </is>
      </c>
      <c r="P36" t="inlineStr">
        <is>
          <t>Coal-bright heat with wind in high branches, with sun-strength turning through FATHER GOD. Turns New beginnings, feeding Found across cultures as Zeus back into the soil of the spell. A guiding presence when the spell must shift, heal, end or begin.</t>
        </is>
      </c>
      <c r="Q36" t="inlineStr">
        <is>
          <t>God</t>
        </is>
      </c>
    </row>
    <row r="37" ht="61.5" customHeight="1" s="56">
      <c r="A37" s="4" t="inlineStr">
        <is>
          <t>FILDIAS</t>
        </is>
      </c>
      <c r="B37" s="4" t="inlineStr">
        <is>
          <t>Concept</t>
        </is>
      </c>
      <c r="C37" s="4" t="inlineStr">
        <is>
          <t>Feminine</t>
        </is>
      </c>
      <c r="D37" s="4" t="inlineStr">
        <is>
          <t>Earth</t>
        </is>
      </c>
      <c r="E37" s="4" t="inlineStr">
        <is>
          <t>Moon</t>
        </is>
      </c>
      <c r="F37" s="4" t="inlineStr">
        <is>
          <t>Monday</t>
        </is>
      </c>
      <c r="G37" s="4" t="inlineStr">
        <is>
          <t>Summer</t>
        </is>
      </c>
      <c r="H37" s="5"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37" s="5" t="inlineStr">
        <is>
          <t>Hazel</t>
        </is>
      </c>
      <c r="J37" s="5" t="inlineStr">
        <is>
          <t>Conceptual representation of divine polarity.</t>
        </is>
      </c>
      <c r="K37" s="5" t="inlineStr">
        <is>
          <t>Irish goddess of wild cattle and the abundance of the land, whose magic was expressed through her miraculous cow — so productive that its milk could feed an entire army at once. As a figure of the Tuatha Dé Danaan, she embodied the sovereignty of the earth's fertility. Fildias represents the primal magic of animal husbandry, the covenant between humans and the animals that sustain them, and the goddess-given abundance of the natural world.</t>
        </is>
      </c>
      <c r="L37" s="5" t="inlineStr">
        <is>
          <t>The wild cattle grazing on the lush, emerald grasses of the misty moors, deeply connected to the milk, sustenance, and sheer bounty of the land.</t>
        </is>
      </c>
      <c r="M37" s="35" t="n"/>
      <c r="N37" s="36" t="n"/>
      <c r="O37" t="inlineStr">
        <is>
          <t>Root, stone, loam and the patient weight of the hill, where moon-sight gathers around FILDIAS. Opens the deeper thread of New beginnings, letting what is buried inside the working show its true face. A presence for spells that need the unseen made speakable.</t>
        </is>
      </c>
      <c r="P37" t="inlineStr">
        <is>
          <t>Root, stone, loam and the patient weight of the hill, with moon-sight turning through FILDIAS. Turns New beginnings, feeding old energy into new growth back into the soil of the spell. A guiding presence when the spell must shift, heal, end or begin.</t>
        </is>
      </c>
      <c r="Q37" t="inlineStr">
        <is>
          <t>Goddess</t>
        </is>
      </c>
    </row>
    <row r="38" ht="74.25" customHeight="1" s="56">
      <c r="A38" s="2" t="inlineStr">
        <is>
          <t>FLIDAIS</t>
        </is>
      </c>
      <c r="B38" s="2" t="inlineStr">
        <is>
          <t>Deity</t>
        </is>
      </c>
      <c r="C38" s="2" t="inlineStr">
        <is>
          <t>Feminine</t>
        </is>
      </c>
      <c r="D38" s="2" t="inlineStr">
        <is>
          <t>Earth</t>
        </is>
      </c>
      <c r="E38" s="2" t="inlineStr">
        <is>
          <t>Moon</t>
        </is>
      </c>
      <c r="F38" s="2" t="inlineStr">
        <is>
          <t>Monday</t>
        </is>
      </c>
      <c r="G38" s="2" t="inlineStr">
        <is>
          <t>Autumn</t>
        </is>
      </c>
      <c r="H38" s="3" t="inlineStr">
        <is>
          <t>New beginnings, Protection, Protection (hexes/evil), Spirit offerings, Mabon/Samhain, Samhain/ancestral altars, Banishing, Dispelling sickness, Warding, Contacting planes, Harmony,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t>
        </is>
      </c>
      <c r="I38" s="3" t="inlineStr">
        <is>
          <t>Happiness</t>
        </is>
      </c>
      <c r="J38" s="3" t="inlineStr">
        <is>
          <t>Hindu goddess associated with snakes and protection.</t>
        </is>
      </c>
      <c r="K38" s="3" t="inlineStr">
        <is>
          <t>Celtic goddess of the forest, wildlife, and shape-shifting who commanded the deer as her cattle and milked them in the wild. A member of the Tuatha Dé Danaan, she possessed a magical cloak of transformation and could traverse the boundary between the mortal world and the Otherworld at will. Her magical cow, the Maol Flidais, produced enough milk to feed 300 men each evening. She was worshipped as Lady of the Forest, protector of wild creatures, and a healing goddess capable of crossing realms.</t>
        </is>
      </c>
      <c r="L38" s="3" t="inlineStr">
        <is>
          <t>The magical herds of red deer moving like quiet spirits through the thickets, their coats blending perfectly with the russet and gold colors of the autumn woods.</t>
        </is>
      </c>
      <c r="M38" s="35" t="n"/>
      <c r="N38" s="36" t="n"/>
      <c r="O38" t="inlineStr">
        <is>
          <t>Root, stone, loam and the patient weight of the hill, where moon-sight gathers around FLIDAIS. Opens Spirit offerings without forcing it, letting the quiet message under the leaves rise from the green dark. A presence for spells that need the unseen made speakable.</t>
        </is>
      </c>
      <c r="P38" t="inlineStr">
        <is>
          <t>Root, stone, loam and the patient weight of the hill, with moon-sight turning through FLIDAIS. Turns New beginnings, feeding Protection (hexes/evil) back into the soil of the spell. A guiding presence when the spell must shift, heal, end or begin.</t>
        </is>
      </c>
      <c r="Q38" t="inlineStr">
        <is>
          <t>Goddess</t>
        </is>
      </c>
    </row>
    <row r="39" ht="86.25" customHeight="1" s="56">
      <c r="A39" s="4" t="inlineStr">
        <is>
          <t>GAIA</t>
        </is>
      </c>
      <c r="B39" s="4" t="inlineStr">
        <is>
          <t>Deity</t>
        </is>
      </c>
      <c r="C39" s="4" t="inlineStr">
        <is>
          <t>Feminine</t>
        </is>
      </c>
      <c r="D39" s="4" t="inlineStr">
        <is>
          <t>Earth</t>
        </is>
      </c>
      <c r="E39" s="4" t="inlineStr">
        <is>
          <t>Earth</t>
        </is>
      </c>
      <c r="F39" s="4" t="inlineStr">
        <is>
          <t>Saturday</t>
        </is>
      </c>
      <c r="G39" s="4" t="inlineStr">
        <is>
          <t>All Seasons</t>
        </is>
      </c>
      <c r="H39" s="5" t="inlineStr">
        <is>
          <t>New beginnings, Harmony, Fertility, Healing, Prosperity, Strength, Purification, Samhain/ancestral altars,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Physical Strength, Fortitude, Vitality, Inner power, and strength,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39" s="5" t="inlineStr">
        <is>
          <t>Mugw, Amulets/talismans, Oak, Moss</t>
        </is>
      </c>
      <c r="J39" s="5" t="inlineStr">
        <is>
          <t>Egyptian goddess of music, joy, and motherhood.</t>
        </is>
      </c>
      <c r="K39" s="5" t="inlineStr">
        <is>
          <t>The primordial earth goddess from whom all things arose. She produced the mountains, seas, and sky from herself, then mated with Ouranos (Sky) to produce the Titans, Cyclopes, and Hecatoncheires. When Ouranos imprisoned her children in her body, she forged the adamantine sickle and persuaded Cronos to use it against his father. She prophesied that Zeus too would be overthrown — a prophecy Zeus never fully escaped. She was the original oracle of Delphi before Apollo took it, and her power is the breath and tremor of the living earth itself.</t>
        </is>
      </c>
      <c r="L39" s="5" t="inlineStr">
        <is>
          <t>The beating, molten heart of the planet itself, breathing out towering mountain ranges and crying the winding rivers that carve life into every valley.</t>
        </is>
      </c>
      <c r="M39" s="35" t="inlineStr">
        <is>
          <t>Labradorite, Petrified Wood, Tanzanite</t>
        </is>
      </c>
      <c r="N39" s="36" t="n"/>
      <c r="O39" t="inlineStr">
        <is>
          <t>Root, stone, loam and the patient weight of the hill, where wildwood force gathers around GAIA. Opens the deeper thread of New beginnings, letting what is buried inside the working show its true face. A presence for spells that need the unseen made speakable.</t>
        </is>
      </c>
      <c r="P39" t="inlineStr">
        <is>
          <t>Root, stone, loam and the patient weight of the hill, with wildwood force turning through GAIA. Turns New beginnings, feeding old energy into new growth back into the soil of the spell. A guiding presence when the spell must shift, heal, end or begin.</t>
        </is>
      </c>
      <c r="Q39" t="inlineStr">
        <is>
          <t>Goddess</t>
        </is>
      </c>
    </row>
    <row r="40" ht="74.25" customHeight="1" s="56">
      <c r="A40" s="2" t="inlineStr">
        <is>
          <t>GOD AND GODDESS IN BALANCE</t>
        </is>
      </c>
      <c r="B40" s="2" t="inlineStr">
        <is>
          <t>Deity</t>
        </is>
      </c>
      <c r="C40" s="2" t="inlineStr">
        <is>
          <t>Both</t>
        </is>
      </c>
      <c r="D40" s="2" t="inlineStr">
        <is>
          <t>All</t>
        </is>
      </c>
      <c r="E40" s="2" t="inlineStr">
        <is>
          <t>Sun/Moon</t>
        </is>
      </c>
      <c r="F40" s="2" t="inlineStr">
        <is>
          <t>Wednesday</t>
        </is>
      </c>
      <c r="G40" s="2" t="inlineStr">
        <is>
          <t>Equinoxes</t>
        </is>
      </c>
      <c r="H40" s="3" t="inlineStr">
        <is>
          <t>Divination, Fruitfulness, Prophetic dreams, Sun God offerings, Luck, Happiness, Star magick, Increasing wealth, Prosperity, Clairvoyance, Fertility, Enhancing divination, Divinatory incense, Foretelling the future, Future divination, Scrying, Dowsing, Prophecy,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Enhancing clairvoyance, Psychic development, Psychic powers, INCREASE PSYCHIC ABILITIES, Psychic awareness, Stimulating psychic senses, Disabling psychic phenomena, Psychic communication, communication and psychic abilities</t>
        </is>
      </c>
      <c r="I40" s="3" t="inlineStr">
        <is>
          <t>Apple, Rose</t>
        </is>
      </c>
      <c r="J40" s="3" t="inlineStr">
        <is>
          <t>Greek goddess of witchcraft, magic, and crossroads.</t>
        </is>
      </c>
      <c r="K40" s="3" t="inlineStr">
        <is>
          <t>The sacred union of masculine and feminine divine forces — the hieros gamos — found at the heart of nearly every ancient religion. When the God and Goddess stand in perfect balance, the seasons flow harmoniously, crops grow, animals breed, and human society finds its right order. This polarity generates the creative tension from which all life emerges. The equinoxes are their sacred meetings: points of perfect balance between light and dark, action and rest, seed and soil.</t>
        </is>
      </c>
      <c r="L40" s="3" t="inlineStr">
        <is>
          <t>The perfect, crisp moment of the equinox, where day and night are equal, and the falling golden leaves feed the soil for the sleeping seeds of spring.</t>
        </is>
      </c>
      <c r="M40" s="35" t="n"/>
      <c r="N40" s="36" t="n"/>
      <c r="O40" t="inlineStr">
        <is>
          <t>Green shade, root-breath and the old speech of the wildwood, where sun-strength gathers around GOD AND GODDESS IN BALANCE. Opens Divination without forcing it, letting Prophetic dreams rise from the green dark. A presence for spells that need the unseen made speakable.</t>
        </is>
      </c>
      <c r="P40" t="inlineStr">
        <is>
          <t>Green shade, root-breath and the old speech of the wildwood, with sun-strength turning through GOD AND GODDESS IN BALANCE. Turns When the God and Goddess stand in perfect balance, feeding old energy into new growth back into the soil of the spell. A guiding presence when the spell must shift, heal, end or begin.</t>
        </is>
      </c>
      <c r="Q40" t="inlineStr">
        <is>
          <t>Both</t>
        </is>
      </c>
    </row>
    <row r="41" ht="86.25" customHeight="1" s="56">
      <c r="A41" s="4" t="inlineStr">
        <is>
          <t>GREAT GODDESS. MANASA</t>
        </is>
      </c>
      <c r="B41" s="4" t="inlineStr">
        <is>
          <t>Deity</t>
        </is>
      </c>
      <c r="C41" s="4" t="inlineStr">
        <is>
          <t>Feminine</t>
        </is>
      </c>
      <c r="D41" s="4" t="inlineStr">
        <is>
          <t>Water/Earth</t>
        </is>
      </c>
      <c r="E41" s="4" t="inlineStr">
        <is>
          <t>Moon</t>
        </is>
      </c>
      <c r="F41" s="4" t="inlineStr">
        <is>
          <t>Monday</t>
        </is>
      </c>
      <c r="G41" s="4" t="inlineStr">
        <is>
          <t>Summer</t>
        </is>
      </c>
      <c r="H41" s="5" t="inlineStr">
        <is>
          <t>New beginnings, Fruitfulness, Anti-theft, Fortune,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Preventing theft, Protection against theft, Spell-breaking, Reversing harmful spells, Breaking spells, Hex breaking, Removing hexes, Removing curses, Removing jinxes, Removing bad luck, Breaking hexes, Returning hexes, hex-breaking, Removing hexes and curses, Removing a jinx, Luck, Good luck, Good luck in family matters, Casino luck, WISHES, Wish magick,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41" s="5" t="inlineStr">
        <is>
          <t>Lotus, Neem</t>
        </is>
      </c>
      <c r="J41" s="5" t="inlineStr">
        <is>
          <t>Norse goddess of the underworld.</t>
        </is>
      </c>
      <c r="K41" s="5" t="inlineStr">
        <is>
          <t>Manasa is the Hindu serpent goddess, daughter of Shiva, whose magic is the sovereign power over all snakes and the antidote to their venom. She was instrumental in spreading snake worship across Bengal. In her most famous myth, she relentlessly tested the merchant Chand Sadagar — destroying his wealth and killing his sons — until he was broken into devotion. She controls both the poison and the cure, grants fertility to women, and protects against snakebite. Her power over life and death through venom makes her one of the most formidable goddesses in the Bengali tradition.</t>
        </is>
      </c>
      <c r="L41" s="5" t="inlineStr">
        <is>
          <t>The serpent winding through the thick, green jungle undergrowth, protecting the hidden medicinal roots and holding the dual secrets of venom and cure.</t>
        </is>
      </c>
      <c r="M41" s="35" t="n"/>
      <c r="N41" s="36" t="n"/>
      <c r="O41" t="inlineStr">
        <is>
          <t>River hush with root, where moon-sight gathers around GREAT GODDESS. MANASA. Opens the deeper thread of New beginnings, letting what is buried inside the working show its true face. A presence for spells that need the unseen made speakable.</t>
        </is>
      </c>
      <c r="P41" t="inlineStr">
        <is>
          <t>River hush with root, with moon-sight turning through GREAT GODDESS. MANASA. Turns New beginnings, feeding old energy into new growth back into the soil of the spell. A guiding presence when the spell must shift, heal, end or begin.</t>
        </is>
      </c>
      <c r="Q41" t="inlineStr">
        <is>
          <t>Goddess</t>
        </is>
      </c>
    </row>
    <row r="42" ht="74.25" customHeight="1" s="56">
      <c r="A42" s="2" t="inlineStr">
        <is>
          <t>HATHOR</t>
        </is>
      </c>
      <c r="B42" s="2" t="inlineStr">
        <is>
          <t>Deity</t>
        </is>
      </c>
      <c r="C42" s="2" t="inlineStr">
        <is>
          <t>Feminine</t>
        </is>
      </c>
      <c r="D42" s="2" t="inlineStr">
        <is>
          <t>Earth/Water</t>
        </is>
      </c>
      <c r="E42" s="2" t="inlineStr">
        <is>
          <t>Venus</t>
        </is>
      </c>
      <c r="F42" s="2" t="inlineStr">
        <is>
          <t>Friday</t>
        </is>
      </c>
      <c r="G42" s="2" t="inlineStr">
        <is>
          <t>All Seasons</t>
        </is>
      </c>
      <c r="H42" s="3" t="inlineStr">
        <is>
          <t>New beginnings, Spirit offerings, Mabon/Samhain, Samhain/ancestral altars, Love rituals, Love, Aphrodisiac, Contacting planes,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Attracting a mate, Attracting a soulmate, Conjuring a lover, HELP ATTRACT OPPOSITE SEX, Finding future love</t>
        </is>
      </c>
      <c r="I42" s="3" t="inlineStr">
        <is>
          <t>Sycam, Amulets/talismans, Rose, Myrrh</t>
        </is>
      </c>
      <c r="J42" s="3" t="inlineStr">
        <is>
          <t>Greek goddess of health and cleanliness.</t>
        </is>
      </c>
      <c r="K42" s="3" t="inlineStr">
        <is>
          <t>Egyptian goddess of love, music, beauty, and cosmic power, whose magical force was so immense that Ra sent her as Sekhmet to destroy humanity when they rebelled. She was turned back only when beer dyed red with ochre was poured across the fields — she drank it thinking it was blood and became too drunk to continue the slaughter. She was the divine mirror, the seven Hathors who attended every birth and prophesied its fate, and the lady of the sycamore who offered food and water to the souls of the dead.</t>
        </is>
      </c>
      <c r="L42" s="3" t="inlineStr">
        <is>
          <t>The magnificent sycamore tree rising stubbornly from the hot desert sands, offering sweet figs, cool shade, and life-giving sap to weary travelers.</t>
        </is>
      </c>
      <c r="M42" s="35" t="inlineStr">
        <is>
          <t>Chrysocolla, chrysophase, Copper flakes, Emerald, Fuchsite, Goldstone, Jade (jadeite), Lapis Lazuli, Lodestone, Malachite, Peridot, Seraphinite, Unakite</t>
        </is>
      </c>
      <c r="N42" s="36" t="inlineStr">
        <is>
          <t>Neroli, Rose</t>
        </is>
      </c>
      <c r="O42" t="inlineStr">
        <is>
          <t>River hush with root, where heart-drawing gathers around HATHOR. Opens Spirit offerings without forcing it, letting the quiet message under the leaves rise from the green dark. A presence for spells that need the unseen made speakable.</t>
        </is>
      </c>
      <c r="P42" t="inlineStr">
        <is>
          <t>River hush with root, with heart-drawing turning through HATHOR. Turns New beginnings, feeding old energy into new growth back into the soil of the spell. A guiding presence when the spell must shift, heal, end or begin.</t>
        </is>
      </c>
      <c r="Q42" t="inlineStr">
        <is>
          <t>Goddess</t>
        </is>
      </c>
    </row>
    <row r="43" ht="86.25" customHeight="1" s="56">
      <c r="A43" s="4" t="inlineStr">
        <is>
          <t>HECATE</t>
        </is>
      </c>
      <c r="B43" s="4" t="inlineStr">
        <is>
          <t>Deity</t>
        </is>
      </c>
      <c r="C43" s="4" t="inlineStr">
        <is>
          <t>Feminine</t>
        </is>
      </c>
      <c r="D43" s="4" t="inlineStr">
        <is>
          <t>Water/Earth</t>
        </is>
      </c>
      <c r="E43" s="4" t="inlineStr">
        <is>
          <t>Moon</t>
        </is>
      </c>
      <c r="F43" s="4" t="inlineStr">
        <is>
          <t>Saturday</t>
        </is>
      </c>
      <c r="G43" s="4" t="inlineStr">
        <is>
          <t>Autumn/Winter</t>
        </is>
      </c>
      <c r="H43" s="5" t="inlineStr">
        <is>
          <t>Divination, Protection (hexes/evil), Love, Attraction, Healing, Love spells, Prophetic dreams, Love rituals, Aphrodisiac, Dispelling sickness, New beginnings, Mabon/Samhain, Samhain/ancestral altars, Star magick, Contacting planes, Protection, Spirit offerings, Banishing, Warding, Harmony, Clairvoyance, Enhancing divination, Divinatory incense, Foretelling the future, Future divination, Scrying, Dowsing, Prophecy,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 Invoking dreams, Dream work, Dreams, Visions, Seeing the unseen, Seeing manifestations, Truth, Honesty, Removing deception, Subconscious work, Digging into the subconscious, Uprooting what is hidden, Treasure seeking, Lost object finding, Aphrodisiac tea, Sensuality, Lust, Lust/Sex, Passionate love-making, LOVING &amp; LUSTFUL ENERGIES, SEX MAGIC, RAISE SEXUAL ENERGY, Sexual energy, Breaking habits, Breaking bad habits, Ending negative self-talk, Letting go of relationships, Ending guilt, Release, Renewal, New beginning spells, Fresh starts, Transformation, Change, rebirth, Breakthrough, Awakening, Growth, New ideas, Assisting transformation, Transformation/Evolution,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Enhancing clairvoyance, Psychic development, Psychic powers, INCREASE PSYCHIC ABILITIES, Psychic awareness, Stimulating psychic senses, Disabling psychic phenomena, Psychic communication, communication and psychic abilities</t>
        </is>
      </c>
      <c r="I43" s="5" t="inlineStr">
        <is>
          <t>Increasing wealth, mwood, Mugw, Amulets/talismans, Willow</t>
        </is>
      </c>
      <c r="J43" s="5" t="inlineStr">
        <is>
          <t>Egyptian goddess of magic, motherhood, and healing.</t>
        </is>
      </c>
      <c r="K43" s="5" t="inlineStr">
        <is>
          <t>Goddess of magic, crossroads, ghosts, and the Underworld — the only Titan whom Zeus permitted to retain power after the Olympian victory. She holds the keys to Hades, accompanies Persephone between worlds, and stands at the triple crossroads at midnight with her torches, hounds, and a retinue of restless spirits. Her magic encompasses necromancy, herb lore (especially poisonous plants), sorcery, and the binding of spells. She was the supreme goddess of witchcraft and magic in the ancient world, invoked by Jason's Medea for her most powerful rites.</t>
        </is>
      </c>
      <c r="L43" s="5" t="inlineStr">
        <is>
          <t>The dark, toxic beauty of belladonna, mugwort, and yew trees growing quietly at the crossroads under a starless, moonless night sky.</t>
        </is>
      </c>
      <c r="M43" s="35" t="inlineStr">
        <is>
          <t>Apache Tears, Hematite, Obsidian, Serpentine</t>
        </is>
      </c>
      <c r="N43" s="36" t="inlineStr">
        <is>
          <t>Lavender, Peppermint, Patchouli</t>
        </is>
      </c>
      <c r="O43" t="inlineStr">
        <is>
          <t>River hush with root, where moon-sight gathers around HECATE. Opens Divination without forcing it, letting Prophetic dreams rise from the green dark. A presence for spells that need the unseen made speakable.</t>
        </is>
      </c>
      <c r="P43" t="inlineStr">
        <is>
          <t>River hush with root, with moon-sight turning through HECATE. Turns Protection (hexes/evil), feeding Healing back into the soil of the spell. A guiding presence when the spell must shift, heal, end or begin.</t>
        </is>
      </c>
      <c r="Q43" t="inlineStr">
        <is>
          <t>Goddess</t>
        </is>
      </c>
    </row>
    <row r="44" ht="74.25" customHeight="1" s="56">
      <c r="A44" s="2" t="inlineStr">
        <is>
          <t>HEL</t>
        </is>
      </c>
      <c r="B44" s="2" t="inlineStr">
        <is>
          <t>Deity</t>
        </is>
      </c>
      <c r="C44" s="2" t="inlineStr">
        <is>
          <t>Feminine</t>
        </is>
      </c>
      <c r="D44" s="2" t="inlineStr">
        <is>
          <t>Earth</t>
        </is>
      </c>
      <c r="E44" s="2" t="inlineStr">
        <is>
          <t>Saturn</t>
        </is>
      </c>
      <c r="F44" s="2" t="inlineStr">
        <is>
          <t>Saturday</t>
        </is>
      </c>
      <c r="G44" s="2" t="inlineStr">
        <is>
          <t>Winter</t>
        </is>
      </c>
      <c r="H44" s="3" t="inlineStr">
        <is>
          <t>New beginnings, Harmony, Samhain/ancestral altars, Contacting planes, Otherworld travel, Banishing, Spirit offerings,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I44" s="3" t="inlineStr">
        <is>
          <t>Yew, Elder</t>
        </is>
      </c>
      <c r="J44" s="3" t="inlineStr">
        <is>
          <t>Roman king of gods, associated with power.</t>
        </is>
      </c>
      <c r="K44" s="3" t="inlineStr">
        <is>
          <t>Norse ruler of the realm of the dead — Helheim — who received all who died of illness, old age, or accident (those not taken by Odin's Valkyries). Half her body was the colour of living flesh, half was the blue-black of decay — making her a walking embodiment of the boundary between life and death. When Baldur was slain, the gods sent Hermóðr to plead with her; Hel agreed to release Baldur only if all things in the world would weep for him — and when one giantess refused, Baldur remained in her realm until Ragnarök.</t>
        </is>
      </c>
      <c r="L44" s="3" t="inlineStr">
        <is>
          <t>The hidden world of roots, mycelium, and hibernating creatures, where the decay of autumn becomes the vital, resting compost of the underworld.</t>
        </is>
      </c>
      <c r="M44" s="35" t="n"/>
      <c r="N44" s="36" t="n"/>
      <c r="O44" t="inlineStr">
        <is>
          <t>Root, stone, loam and the patient weight of the hill, where old-root law gathers around HEL. Opens The hidden world of roots without forcing it, letting the quiet message under the leaves rise from the green dark. A presence for spells that need the unseen made speakable.</t>
        </is>
      </c>
      <c r="P44" t="inlineStr">
        <is>
          <t>Root, stone, loam and the patient weight of the hill, with old-root law turning through HEL. Turns New beginnings, feeding old energy into new growth back into the soil of the spell. A guiding presence when the spell must shift, heal, end or begin.</t>
        </is>
      </c>
      <c r="Q44" t="inlineStr">
        <is>
          <t>Goddess</t>
        </is>
      </c>
    </row>
    <row r="45" ht="74.25" customHeight="1" s="56">
      <c r="A45" s="4" t="inlineStr">
        <is>
          <t>HYGIA</t>
        </is>
      </c>
      <c r="B45" s="4" t="inlineStr">
        <is>
          <t>Deity</t>
        </is>
      </c>
      <c r="C45" s="4" t="inlineStr">
        <is>
          <t>Feminine</t>
        </is>
      </c>
      <c r="D45" s="4" t="inlineStr">
        <is>
          <t>Water</t>
        </is>
      </c>
      <c r="E45" s="4" t="inlineStr">
        <is>
          <t>Mercury</t>
        </is>
      </c>
      <c r="F45" s="4" t="inlineStr">
        <is>
          <t>Wednesday</t>
        </is>
      </c>
      <c r="G45" s="4" t="inlineStr">
        <is>
          <t>All Seasons</t>
        </is>
      </c>
      <c r="H45" s="5" t="inlineStr">
        <is>
          <t>Dispelling sickness, Healing, Purification, Cleansing, Strength, Protection,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Protective charm, Protective charms, Protective wreaths, Protective incense, PROTECT AGAINST NEGATIVITY, Protection from negativity, Circle protection</t>
        </is>
      </c>
      <c r="I45" s="5" t="inlineStr">
        <is>
          <t>Yarrow, Mint</t>
        </is>
      </c>
      <c r="J45" s="5" t="inlineStr">
        <is>
          <t>Roman goddess of the beginnings of the year.</t>
        </is>
      </c>
      <c r="K45" s="5" t="inlineStr">
        <is>
          <t>Greek and Roman goddess of health, cleanliness, and prevention of disease, whose magic was the sacred discipline of pure water, correct diet, and ritual hygiene. Daughter of Asclepius, she appears in temple art feeding a great serpent from a bowl — the Hygieia bowl that became the symbol of pharmacy worldwide. Her name gave us the word 'hygiene'. Her power was not the healing of illness but its prevention through living in right relationship with the body and its natural environment.</t>
        </is>
      </c>
      <c r="L45" s="5" t="inlineStr">
        <is>
          <t>The clear, unpolluted mountain stream filtering through rocks and sand, carrying the pure, restorative magic of clean water to the thirsty valleys below.</t>
        </is>
      </c>
      <c r="M45" s="35" t="n"/>
      <c r="N45" s="36" t="n"/>
      <c r="O45" t="inlineStr">
        <is>
          <t>River hush, moonlit pools and the soft pull of tide, where quick wind gathers around HYGIA. Opens the deeper thread of Dispelling sickness, letting what is buried inside the working show its true face. A presence for spells that need the unseen made speakable.</t>
        </is>
      </c>
      <c r="P45" t="inlineStr">
        <is>
          <t>River hush, moonlit pools and the soft pull of tide, with quick wind turning through HYGIA. Turns Dispelling sickness, feeding Healing back into the soil of the spell. A guiding presence when the spell must shift, heal, end or begin.</t>
        </is>
      </c>
      <c r="Q45" t="inlineStr">
        <is>
          <t>Goddess</t>
        </is>
      </c>
    </row>
    <row r="46" ht="74.25" customHeight="1" s="56">
      <c r="A46" s="2" t="inlineStr">
        <is>
          <t>ISIS</t>
        </is>
      </c>
      <c r="B46" s="2" t="inlineStr">
        <is>
          <t>Deity</t>
        </is>
      </c>
      <c r="C46" s="2" t="inlineStr">
        <is>
          <t>Feminine</t>
        </is>
      </c>
      <c r="D46" s="2" t="inlineStr">
        <is>
          <t>Water/Earth</t>
        </is>
      </c>
      <c r="E46" s="2" t="inlineStr">
        <is>
          <t>Moon</t>
        </is>
      </c>
      <c r="F46" s="2" t="inlineStr">
        <is>
          <t>Monday</t>
        </is>
      </c>
      <c r="G46" s="2" t="inlineStr">
        <is>
          <t>All Seasons</t>
        </is>
      </c>
      <c r="H46" s="3" t="inlineStr">
        <is>
          <t>New beginnings, Fruitfulness, Protection, Protection (hexes/evil), Spirit offerings, Mabon/Samhain, Samhain/ancestral altars, Banishing, Increasing wealth, Dispelling sickness, Warding, Contacting planes, Harmony, Prosperity, Fertility,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t>
        </is>
      </c>
      <c r="I46" s="3" t="inlineStr">
        <is>
          <t>Rose, Myrrh, Lotus</t>
        </is>
      </c>
      <c r="J46" s="3" t="inlineStr">
        <is>
          <t>Roman goddess of springs and wells.</t>
        </is>
      </c>
      <c r="K46" s="3" t="inlineStr">
        <is>
          <t>The greatest magician of the Egyptian pantheon, whose power surpassed even that of Ra. She tricked Ra into revealing his secret name — the source of all his power — by fashioning a serpent from his own saliva mixed with earth, which bit him, and then offering her healing only in exchange for his true name. She resurrected Osiris from scattered pieces, fashioned a golden phallus to conceive Horus, and shielded her child from Set's agents using protective magic and medicinal herbs. Her wings could generate the breath of life itself.</t>
        </is>
      </c>
      <c r="L46" s="3" t="inlineStr">
        <is>
          <t>The annual, magical flooding of the great river, depositing dark, mineral-rich silt onto the banks to ensure the survival of the lotus flower and the crops.</t>
        </is>
      </c>
      <c r="M46" s="35" t="inlineStr">
        <is>
          <t>Carnelian, Garnet</t>
        </is>
      </c>
      <c r="N46" s="36" t="inlineStr">
        <is>
          <t>Rosemary, Sandalwood w.i., Sandalwood In.</t>
        </is>
      </c>
      <c r="O46" t="inlineStr">
        <is>
          <t>River hush with root, where moon-sight gathers around ISIS. Opens Spirit offerings without forcing it, letting the quiet message under the leaves rise from the green dark. A presence for spells that need the unseen made speakable.</t>
        </is>
      </c>
      <c r="P46" t="inlineStr">
        <is>
          <t>River hush with root, with moon-sight turning through ISIS. Turns New beginnings, feeding Protection (hexes/evil) back into the soil of the spell. A guiding presence when the spell must shift, heal, end or begin.</t>
        </is>
      </c>
      <c r="Q46" t="inlineStr">
        <is>
          <t>Goddess</t>
        </is>
      </c>
    </row>
    <row r="47" ht="61.5" customHeight="1" s="56">
      <c r="A47" s="4" t="inlineStr">
        <is>
          <t>JANA</t>
        </is>
      </c>
      <c r="B47" s="4" t="inlineStr">
        <is>
          <t>Deity</t>
        </is>
      </c>
      <c r="C47" s="4" t="inlineStr">
        <is>
          <t>Feminine</t>
        </is>
      </c>
      <c r="D47" s="4" t="inlineStr">
        <is>
          <t>Air/Earth</t>
        </is>
      </c>
      <c r="E47" s="4" t="inlineStr">
        <is>
          <t>Mercury</t>
        </is>
      </c>
      <c r="F47" s="4" t="inlineStr">
        <is>
          <t>Wednesday</t>
        </is>
      </c>
      <c r="G47" s="4" t="inlineStr">
        <is>
          <t>All Seasons</t>
        </is>
      </c>
      <c r="H47" s="5" t="inlineStr">
        <is>
          <t>New beginnings, Spirit offerings, Mabon/Samhain, Samhain/ancestral altars, Love rituals, Love, Aphrodisiac, Contacting planes,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Attracting a mate, Attracting a soulmate, Conjuring a lover, HELP ATTRACT OPPOSITE SEX, Finding future love</t>
        </is>
      </c>
      <c r="I47" s="5" t="inlineStr">
        <is>
          <t>Lemon Balm</t>
        </is>
      </c>
      <c r="J47" s="5" t="inlineStr">
        <is>
          <t>Chinese bodhisattva of compassion.</t>
        </is>
      </c>
      <c r="K47" s="5" t="inlineStr">
        <is>
          <t>A Roman and Italian spirit of thresholds, secret doorways, and hidden passages through the forest. As the feminine companion of Janus — god of beginnings and doorways — Jana holds the key to invisible openings: the places where worlds meet, where the mortal slips into the magical. She guards the doors to sacred groves, initiations, and the otherworld, and her magic is the art of liminal transition — the power of the one who knows when and how to cross over.</t>
        </is>
      </c>
      <c r="L47" s="5" t="inlineStr">
        <is>
          <t>The guardian of the forest's secret doors, found only in the deep woods where two ancient oak trees intertwine their branches to form a natural, leafy archway.</t>
        </is>
      </c>
      <c r="M47" s="35" t="n"/>
      <c r="N47" s="36" t="n"/>
      <c r="O47" t="inlineStr">
        <is>
          <t>Wind in high branches with root, where quick wind gathers around JANA. Opens Spirit offerings without forcing it, letting A Roman and Italian spirit of thresholds rise from the green dark. A presence for spells that need the unseen made speakable.</t>
        </is>
      </c>
      <c r="P47" t="inlineStr">
        <is>
          <t>Wind in high branches with root, with quick wind turning through JANA. Turns New beginnings, feeding A Roman and Italian spirit of thresholds back into the soil of the spell. A guiding presence when the spell must shift, heal, end or begin.</t>
        </is>
      </c>
      <c r="Q47" t="inlineStr">
        <is>
          <t>Goddess</t>
        </is>
      </c>
    </row>
    <row r="48" ht="74.25" customHeight="1" s="56">
      <c r="A48" s="2" t="inlineStr">
        <is>
          <t>JUPITER</t>
        </is>
      </c>
      <c r="B48" s="2" t="inlineStr">
        <is>
          <t>Deity</t>
        </is>
      </c>
      <c r="C48" s="2" t="inlineStr">
        <is>
          <t>Masculine</t>
        </is>
      </c>
      <c r="D48" s="2" t="inlineStr">
        <is>
          <t>Air/Fire</t>
        </is>
      </c>
      <c r="E48" s="2" t="inlineStr">
        <is>
          <t>Jupiter</t>
        </is>
      </c>
      <c r="F48" s="2" t="inlineStr">
        <is>
          <t>Thursday</t>
        </is>
      </c>
      <c r="G48" s="2" t="inlineStr">
        <is>
          <t>Summer</t>
        </is>
      </c>
      <c r="H48" s="3" t="inlineStr">
        <is>
          <t>New beginnings, Sun God offerings, Luck, Love rituals, Love, Aphrodisiac, Harmony, Happiness,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Joy, Joyous celebrations, Contentment, Attracting a mate, Attracting a soulmate, Conjuring a lover, HELP ATTRACT OPPOSITE SEX, Finding future love</t>
        </is>
      </c>
      <c r="I48" s="3" t="inlineStr">
        <is>
          <t>Oak, Clove, Sage</t>
        </is>
      </c>
      <c r="J48" s="3" t="inlineStr">
        <is>
          <t>Combined figure of compassion and enlightenment.</t>
        </is>
      </c>
      <c r="K48" s="3" t="inlineStr">
        <is>
          <t>King of the Roman gods whose primary magic was the thunderbolt — the direct expression of divine will striking the earth. He sent lightning as omens, messages, and punishment; Roman haruspices read the meaning of every strike. He held power over oaths — any oath sworn by Jupiter was absolutely binding, and its violation brought divine retribution. He controlled rain, storms, and the boundaries of the sky, and his eagle carried prayers to the heavens and brought back his sacred judgements to the mortal world.</t>
        </is>
      </c>
      <c r="L48" s="3" t="inlineStr">
        <is>
          <t>The massive, rolling storms that bring life-saving downpours to drought-stricken lands, punctuated by the sudden strike of lightning that fixes nitrogen directly into the soil.</t>
        </is>
      </c>
      <c r="M48" s="35" t="inlineStr">
        <is>
          <t>Amethyst, Iolite, Lepidolite, Sodalite</t>
        </is>
      </c>
      <c r="N48" s="36" t="inlineStr">
        <is>
          <t>Clove Bud, Juniper, Cinnamon</t>
        </is>
      </c>
      <c r="O48" t="inlineStr">
        <is>
          <t>Coal-bright heat with wind in high branches, where oak-wide growth gathers around JUPITER. Opens He sent lightning as omens without forcing it, letting the quiet message under the leaves rise from the green dark. A presence for spells that need the unseen made speakable.</t>
        </is>
      </c>
      <c r="P48" t="inlineStr">
        <is>
          <t>Coal-bright heat with wind in high branches, with oak-wide growth turning through JUPITER. Turns New beginnings, feeding old energy into new growth back into the soil of the spell. A guiding presence when the spell must shift, heal, end or begin.</t>
        </is>
      </c>
      <c r="Q48" t="inlineStr">
        <is>
          <t>God</t>
        </is>
      </c>
    </row>
    <row r="49" ht="74.25" customHeight="1" s="56">
      <c r="A49" s="4" t="inlineStr">
        <is>
          <t>JUTERNA</t>
        </is>
      </c>
      <c r="B49" s="4" t="inlineStr">
        <is>
          <t>Deity</t>
        </is>
      </c>
      <c r="C49" s="4" t="inlineStr">
        <is>
          <t>Feminine</t>
        </is>
      </c>
      <c r="D49" s="4" t="inlineStr">
        <is>
          <t>Water</t>
        </is>
      </c>
      <c r="E49" s="4" t="inlineStr">
        <is>
          <t>Moon</t>
        </is>
      </c>
      <c r="F49" s="4" t="inlineStr">
        <is>
          <t>Monday</t>
        </is>
      </c>
      <c r="G49" s="4" t="inlineStr">
        <is>
          <t>All Seasons</t>
        </is>
      </c>
      <c r="H49" s="5" t="inlineStr">
        <is>
          <t>Dispelling sickness, Healing, Purification, Cleansing, Peace, Harmony, Prophetic dreams,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Invoking dreams, Dream work, Dreams, Visions, Seeing the unseen, Seeing manifestations, Truth, Honesty, Removing deception, Subconscious work, Digging into the subconscious, Uprooting what is hidden, Scrying, Dowsing, Treasure seeking, Lost object finding</t>
        </is>
      </c>
      <c r="I49" s="5" t="inlineStr">
        <is>
          <t>Mint, Water Lily</t>
        </is>
      </c>
      <c r="J49" s="5" t="inlineStr">
        <is>
          <t>Norse trickster and god of mischief.</t>
        </is>
      </c>
      <c r="K49" s="5" t="inlineStr">
        <is>
          <t>A variant spelling of Juturna — Roman goddess of springs, fountains, and healing waters. Her sacred spring in the Roman Forum was the primary source of water for the earliest Romans, its waters used ritually by the Vestal Virgins. She could appear anywhere water flowed, and her power was the magic of divine intervention through fluidity — the ability to change course, find new paths, and sustain life where it seems impossible. Castor and Pollux were said to have watered their horses at her spring after bringing news of the Roman victory at Lake Regillus.</t>
        </is>
      </c>
      <c r="L49" s="5" t="inlineStr">
        <is>
          <t>The bubbling, sacred springs surrounded by fragrant water mint and crisp watercress, offering cool, healing draughts to the wildlife of the woods.</t>
        </is>
      </c>
      <c r="M49" s="35" t="n"/>
      <c r="N49" s="36" t="n"/>
      <c r="O49" t="inlineStr">
        <is>
          <t>River hush, moonlit pools and the soft pull of tide, where moon-sight gathers around JUTERNA. Opens the deeper thread of Dispelling sickness, letting what is buried inside the working show its true face. A presence for spells that need the unseen made speakable.</t>
        </is>
      </c>
      <c r="P49" t="inlineStr">
        <is>
          <t>River hush, moonlit pools and the soft pull of tide, with moon-sight turning through JUTERNA. Turns Dispelling sickness, feeding Healing back into the soil of the spell. A guiding presence when the spell must shift, heal, end or begin.</t>
        </is>
      </c>
      <c r="Q49" t="inlineStr">
        <is>
          <t>Goddess</t>
        </is>
      </c>
    </row>
    <row r="50" ht="86.25" customHeight="1" s="56">
      <c r="A50" s="2" t="inlineStr">
        <is>
          <t>KWAI-YIN</t>
        </is>
      </c>
      <c r="B50" s="2" t="inlineStr">
        <is>
          <t>Deity</t>
        </is>
      </c>
      <c r="C50" s="2" t="inlineStr">
        <is>
          <t>Feminine</t>
        </is>
      </c>
      <c r="D50" s="2" t="inlineStr">
        <is>
          <t>Water</t>
        </is>
      </c>
      <c r="E50" s="2" t="inlineStr">
        <is>
          <t>Moon</t>
        </is>
      </c>
      <c r="F50" s="2" t="inlineStr">
        <is>
          <t>Monday</t>
        </is>
      </c>
      <c r="G50" s="2" t="inlineStr">
        <is>
          <t>All Seasons</t>
        </is>
      </c>
      <c r="H50" s="3" t="inlineStr">
        <is>
          <t>Divination, Prophetic dreams, Love rituals, Star magick, Love, Aphrodisiac, Dispelling sickness, Harmony, Peace, Clairvoyance, Attraction, Healing, Love spells,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t>
        </is>
      </c>
      <c r="I50" s="3" t="inlineStr">
        <is>
          <t>Lotus</t>
        </is>
      </c>
      <c r="J50" s="3" t="inlineStr">
        <is>
          <t>Personification of the moon.</t>
        </is>
      </c>
      <c r="K50" s="3" t="inlineStr">
        <is>
          <t>A variant of Kuan Yin (Guanyin) — the Chinese bodhisattva of infinite compassion who hears the cries of all beings. Originally the male Indian bodhisattva Avalokiteśvara, she transformed over centuries in East Asia into the quintessential goddess of mercy. She holds a vase of pure water (representing purification and healing) and a willow branch (for dispelling evil). She is said to appear to those in desperate need in whatever form will help most — as a fisherman, a monk, a beautiful woman — her magic being the endless capacity for transformative compassion.</t>
        </is>
      </c>
      <c r="L50" s="3" t="inlineStr">
        <is>
          <t>The gentle weeping willow dipping its branches into the calm pond, absorbing the sorrows of the world and transforming them into quiet, green peace.</t>
        </is>
      </c>
      <c r="M50" s="35" t="n"/>
      <c r="N50" s="36" t="n"/>
      <c r="O50" t="inlineStr">
        <is>
          <t>River hush, moonlit pools and the soft pull of tide, where moon-sight gathers around KWAI-YIN. Opens Divination without forcing it, letting Prophetic dreams rise from the green dark. A presence for spells that need the unseen made speakable.</t>
        </is>
      </c>
      <c r="P50" t="inlineStr">
        <is>
          <t>River hush, moonlit pools and the soft pull of tide, with moon-sight turning through KWAI-YIN. Turns Dispelling sickness, feeding Healing back into the soil of the spell. A guiding presence when the spell must shift, heal, end or begin.</t>
        </is>
      </c>
      <c r="Q50" t="inlineStr">
        <is>
          <t>Goddess</t>
        </is>
      </c>
    </row>
    <row r="51" ht="74.25" customHeight="1" s="56">
      <c r="A51" s="4" t="inlineStr">
        <is>
          <t>KWAN-YIN AND BUDDHA</t>
        </is>
      </c>
      <c r="B51" s="4" t="inlineStr">
        <is>
          <t>Deity</t>
        </is>
      </c>
      <c r="C51" s="4" t="inlineStr">
        <is>
          <t>Both</t>
        </is>
      </c>
      <c r="D51" s="4" t="inlineStr">
        <is>
          <t>Water/Air</t>
        </is>
      </c>
      <c r="E51" s="4" t="inlineStr">
        <is>
          <t>Moon/Mercury</t>
        </is>
      </c>
      <c r="F51" s="4" t="inlineStr">
        <is>
          <t>Wednesday</t>
        </is>
      </c>
      <c r="G51" s="4" t="inlineStr">
        <is>
          <t>All Seasons</t>
        </is>
      </c>
      <c r="H51" s="5" t="inlineStr">
        <is>
          <t>Protection (hexes/evil), Love, Attraction, Healing, Love spells, Sun God offerings, Luck, Love rituals, Aphrodisiac, Dispelling sickness, New beginnings, Confidence, Mabon/Samhain, Samhain/ancestral altars, Contacting planes, Strength, Protection, Spirit offerings, Banishing, Warding, Harmony, Happiness,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Physical Strength, Fortitude, Vitality, Inner power, and strength,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Joy, Joyous celebrations, Contentment</t>
        </is>
      </c>
      <c r="I51" s="5" t="inlineStr">
        <is>
          <t>Lotus, Amulets/talismans, alwood</t>
        </is>
      </c>
      <c r="J51" s="5" t="inlineStr">
        <is>
          <t>Roman mother of Diana.</t>
        </is>
      </c>
      <c r="K51" s="5" t="inlineStr">
        <is>
          <t>Together they represent the twin pillars of Buddhist spiritual power: compassion (karuna) and wisdom (prajna). Kwan Yin's compassion reaches toward all suffering beings with unconditional tenderness; Buddha's wisdom sees through all illusion to the nature of reality. Their combined magic dissolves both the suffering caused by attachment and the ignorance that sustains it. In Chinese folk Buddhism they are often invoked together for healing, protection, and the liberation of souls from lower realms.</t>
        </is>
      </c>
      <c r="L51" s="5" t="inlineStr">
        <is>
          <t>The lotus flower rising immaculately clean from the thick, muddy bottom of the swamp, symbolizing compassion and enlightenment grounded deeply in the earth.</t>
        </is>
      </c>
      <c r="M51" s="35" t="n"/>
      <c r="N51" s="36" t="n"/>
      <c r="O51" t="inlineStr">
        <is>
          <t>River hush with wind in high branches, where moon-sight gathers around KWAN-YIN AND BUDDHA. Opens the deeper thread of Protection (hexes/evil), letting what is buried inside the working show its true face. A presence for spells that need the unseen made speakable.</t>
        </is>
      </c>
      <c r="P51" t="inlineStr">
        <is>
          <t>River hush with wind in high branches, with moon-sight turning through KWAN-YIN AND BUDDHA. Turns Protection (hexes/evil), feeding Healing back into the soil of the spell. A guiding presence when the spell must shift, heal, end or begin.</t>
        </is>
      </c>
      <c r="Q51" t="inlineStr">
        <is>
          <t>Both</t>
        </is>
      </c>
    </row>
    <row r="52" ht="74.25" customHeight="1" s="56">
      <c r="A52" s="2" t="inlineStr">
        <is>
          <t>LATONA</t>
        </is>
      </c>
      <c r="B52" s="2" t="inlineStr">
        <is>
          <t>Deity</t>
        </is>
      </c>
      <c r="C52" s="2" t="inlineStr">
        <is>
          <t>Feminine</t>
        </is>
      </c>
      <c r="D52" s="2" t="inlineStr">
        <is>
          <t>Air/Earth</t>
        </is>
      </c>
      <c r="E52" s="2" t="inlineStr">
        <is>
          <t>Moon</t>
        </is>
      </c>
      <c r="F52" s="2" t="inlineStr">
        <is>
          <t>Monday</t>
        </is>
      </c>
      <c r="G52" s="2" t="inlineStr">
        <is>
          <t>Summer</t>
        </is>
      </c>
      <c r="H52" s="3" t="inlineStr">
        <is>
          <t>New beginnings, Strength, Confidence,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Physical Strength, Fortitude, Vitality, Inner power, and strength,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52" s="3" t="inlineStr">
        <is>
          <t>Bay Laurel</t>
        </is>
      </c>
      <c r="J52" s="3" t="inlineStr">
        <is>
          <t>Roman goddess of wisdom and strategic war.</t>
        </is>
      </c>
      <c r="K52" s="3" t="inlineStr">
        <is>
          <t>Roman name for Leto — the Titan goddess who bore Apollo and Artemis to Zeus. Her famous magical moment was the birth of her twin divine children on the floating island of Delos, the only land that dared harbour her after Hera forbade every fixed land from sheltering her. She gave birth clinging to a palm tree after nine days of labour. When the Lycian peasants refused to let her drink from their lake, she transformed them all into frogs. She is a goddess of motherhood, patient endurance, and the miraculous birth of divine gifts from suffering.</t>
        </is>
      </c>
      <c r="L52" s="3" t="inlineStr">
        <is>
          <t>The date palm and the olive tree that offered their sturdy trunks for support on the floating island, grounding her during a moment of profound, painful creation.</t>
        </is>
      </c>
      <c r="M52" s="35" t="n"/>
      <c r="N52" s="36" t="n"/>
      <c r="O52" t="inlineStr">
        <is>
          <t>Wind in high branches with root, where moon-sight gathers around LATONA. Opens grounding her during a moment of profound without forcing it, letting the quiet message under the leaves rise from the green dark. A presence for spells that need the unseen made speakable.</t>
        </is>
      </c>
      <c r="P52" t="inlineStr">
        <is>
          <t>Wind in high branches with root, with moon-sight turning through LATONA. Turns New beginnings, feeding Strength back into the soil of the spell. A guiding presence when the spell must shift, heal, end or begin.</t>
        </is>
      </c>
      <c r="Q52" t="inlineStr">
        <is>
          <t>Goddess</t>
        </is>
      </c>
    </row>
    <row r="53" ht="74.25" customHeight="1" s="56">
      <c r="A53" s="4" t="inlineStr">
        <is>
          <t>LOKI</t>
        </is>
      </c>
      <c r="B53" s="4" t="inlineStr">
        <is>
          <t>Deity</t>
        </is>
      </c>
      <c r="C53" s="4" t="inlineStr">
        <is>
          <t>Masculine</t>
        </is>
      </c>
      <c r="D53" s="4" t="inlineStr">
        <is>
          <t>Fire/Air</t>
        </is>
      </c>
      <c r="E53" s="4" t="inlineStr">
        <is>
          <t>Mercury</t>
        </is>
      </c>
      <c r="F53" s="4" t="inlineStr">
        <is>
          <t>Wednesday</t>
        </is>
      </c>
      <c r="G53" s="4" t="inlineStr">
        <is>
          <t>All Seasons</t>
        </is>
      </c>
      <c r="H53" s="5" t="inlineStr">
        <is>
          <t>New beginnings, Harmony, Transformation, Breaking habits, Magical power, Clairvoyance, Contacting planes, Breaking bad habits, Ending negative self-talk, Letting go of relationships, Ending guilt, Release, Renewal, New beginning spells, Fresh starts,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Increasing magical power, Increasing spell power, Power amplification, Bolstering spells, Bolstering incense, Strengthening spells, Potency, Power, Magic, WISDOM IN MAGICK, defensive magic, Enhancing clairvoyance, Psychic development, Psychic powers, INCREASE PSYCHIC ABILITIES, Psychic awareness, Stimulating psychic senses, Disabling psychic phenomena, Psychic communication, communication and psychic abilities,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53" s="5" t="inlineStr">
        <is>
          <t>Mistletoe</t>
        </is>
      </c>
      <c r="J53" s="5" t="inlineStr">
        <is>
          <t>Egyptian goddess of truth, balance, and order.</t>
        </is>
      </c>
      <c r="K53" s="5" t="inlineStr">
        <is>
          <t>Norse trickster god of fire, shape-shifting, and chaos whose magic was the most unpredictable in the Norse pantheon. He transformed into a mare to distract the magical stallion Svaðilfari, and later gave birth to Sleipnir, Odin's eight-legged horse. He helped the gods obtain Thor's hammer, the golden hair of Sif, and the walls of Asgard — then sabotaged half of it. He orchestrated the death of Baldur and was bound beneath the earth in punishment. His magic is the wild, necessary chaos that forces the world to change and renew itself.</t>
        </is>
      </c>
      <c r="L53" s="5" t="inlineStr">
        <is>
          <t>The sudden, unpredictable flash of a brushfire, chaotic and destructive, yet secretly necessary to germinate the fire-resistant seeds of the trickster forest.</t>
        </is>
      </c>
      <c r="M53" s="35" t="inlineStr">
        <is>
          <t>agate Blue Lace, agate Botswana, agate Moss, Aventurine, Sugilite</t>
        </is>
      </c>
      <c r="N53" s="36" t="inlineStr">
        <is>
          <t>Thyme</t>
        </is>
      </c>
      <c r="O53" t="inlineStr">
        <is>
          <t>Coal-bright heat with wind in high branches, where quick wind gathers around LOKI. Opens the deeper thread of New beginnings, letting what is buried inside the working show its true face. A presence for spells that need the unseen made speakable.</t>
        </is>
      </c>
      <c r="P53" t="inlineStr">
        <is>
          <t>Coal-bright heat with wind in high branches, with quick wind turning through LOKI. Turns New beginnings, feeding old energy into new growth back into the soil of the spell. A guiding presence when the spell must shift, heal, end or begin.</t>
        </is>
      </c>
      <c r="Q53" t="inlineStr">
        <is>
          <t>God</t>
        </is>
      </c>
    </row>
    <row r="54" ht="74.25" customHeight="1" s="56">
      <c r="A54" s="2" t="inlineStr">
        <is>
          <t>LUNA</t>
        </is>
      </c>
      <c r="B54" s="2" t="inlineStr">
        <is>
          <t>Deity</t>
        </is>
      </c>
      <c r="C54" s="2" t="inlineStr">
        <is>
          <t>Feminine</t>
        </is>
      </c>
      <c r="D54" s="2" t="inlineStr">
        <is>
          <t>Water</t>
        </is>
      </c>
      <c r="E54" s="2" t="inlineStr">
        <is>
          <t>Moon</t>
        </is>
      </c>
      <c r="F54" s="2" t="inlineStr">
        <is>
          <t>Monday</t>
        </is>
      </c>
      <c r="G54" s="2" t="inlineStr">
        <is>
          <t>All Seasons</t>
        </is>
      </c>
      <c r="H54" s="3" t="inlineStr">
        <is>
          <t>Divination, Prophetic dreams, Sun God offerings, Luck, Protection, Protection (hexes/evil), Love rituals, Star magick, Love, Aphrodisiac, Banishing, Warding, Happiness, Clairvoyance, Attraction, Love spells,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Aphrodisiac tea, Sensuality, Lust, Lust/Sex, Passionate love-making, LOVING &amp; LUSTFUL ENERGIES, SEX MAGIC, RAISE SEXUAL ENERGY, Sexual energy,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Joy, Joyous celebrations, Contentment,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54" s="3" t="inlineStr">
        <is>
          <t>Jasmine, Moonflower</t>
        </is>
      </c>
      <c r="J54" s="3" t="inlineStr">
        <is>
          <t>Hawaiian goddess of volcanoes and fire.</t>
        </is>
      </c>
      <c r="K54" s="3" t="inlineStr">
        <is>
          <t>Roman personification of the moon, driving her silver chariot pulled by white horses across the night sky. She was said to have loved the sleeping shepherd Endymion so deeply that she preserved him in eternal sleep on Mount Latmos so she could kiss him each night. Her magic governs the tides, the monthly female cycle, the moods of the mind, and the thinning of the veil between worlds. In Roman magic, spells were timed to her phases: waxing for increase and attraction, waning for banishing and release.</t>
        </is>
      </c>
      <c r="L54" s="3" t="inlineStr">
        <is>
          <t>The silvery dew resting delicately on the tips of blades of grass, catching the moonlight and providing essential moisture for the nocturnal insects.</t>
        </is>
      </c>
      <c r="M54" s="35" t="inlineStr">
        <is>
          <t>Aquamarine, Calcite, Howlite, Jet, quartz rutilated, quartz smokey, quartz snow</t>
        </is>
      </c>
      <c r="N54" s="36" t="inlineStr">
        <is>
          <t>Lemon, Pine, Sandalwood w.i., Sandalwood In.</t>
        </is>
      </c>
      <c r="O54" t="inlineStr">
        <is>
          <t>River hush, moonlit pools and the soft pull of tide, where moon-sight gathers around LUNA. Opens Divination without forcing it, letting Prophetic dreams rise from the green dark. A presence for spells that need the unseen made speakable.</t>
        </is>
      </c>
      <c r="P54" t="inlineStr">
        <is>
          <t>River hush, moonlit pools and the soft pull of tide, with moon-sight turning through LUNA. Turns Protection (hexes/evil), feeding Banishing back into the soil of the spell. A guiding presence when the spell must shift, heal, end or begin.</t>
        </is>
      </c>
      <c r="Q54" t="inlineStr">
        <is>
          <t>Goddess</t>
        </is>
      </c>
    </row>
    <row r="55" ht="74.25" customHeight="1" s="56">
      <c r="A55" s="4" t="inlineStr">
        <is>
          <t>MAAT</t>
        </is>
      </c>
      <c r="B55" s="4" t="inlineStr">
        <is>
          <t>Deity</t>
        </is>
      </c>
      <c r="C55" s="4" t="inlineStr">
        <is>
          <t>Feminine</t>
        </is>
      </c>
      <c r="D55" s="4" t="inlineStr">
        <is>
          <t>Air</t>
        </is>
      </c>
      <c r="E55" s="4" t="inlineStr">
        <is>
          <t>Sun</t>
        </is>
      </c>
      <c r="F55" s="4" t="inlineStr">
        <is>
          <t>Sunday</t>
        </is>
      </c>
      <c r="G55" s="4" t="inlineStr">
        <is>
          <t>All Seasons</t>
        </is>
      </c>
      <c r="H55" s="5" t="inlineStr">
        <is>
          <t>Sun God offerings, Confidence, Luck, Strength, Happiness,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Self-confidence, Courage,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Physical Strength, Fortitude, Vitality, Inner power, and strength, Joy, Joyous celebrations, Contentment</t>
        </is>
      </c>
      <c r="I55" s="5" t="inlineStr">
        <is>
          <t>Lotus, Cedar</t>
        </is>
      </c>
      <c r="J55" s="5" t="inlineStr">
        <is>
          <t>Roman god of war.</t>
        </is>
      </c>
      <c r="K55" s="5" t="inlineStr">
        <is>
          <t>Egyptian goddess of cosmic truth, justice, balance, and the divine order (ma'at) that held the universe together. Her magic was absolute: in the Hall of Two Truths, the heart of every dead person was weighed against her feather. A heart burdened with falsehood was devoured by Ammit; a heart as light as the feather passed into eternal life. Without her, the chaos of Isfet would undo creation. Every pharaoh ruled in her name, and every sunrise was Ra's daily renewal of her principle — the proof that the universe was still in order.</t>
        </is>
      </c>
      <c r="L55" s="5" t="inlineStr">
        <is>
          <t>The delicate, flawless balance of the ecosystem, where the predator, the prey, the sun, and the rain all exist in perfect, harmonious equilibrium.</t>
        </is>
      </c>
      <c r="M55" s="35" t="n"/>
      <c r="N55" s="36" t="n"/>
      <c r="O55" t="inlineStr">
        <is>
          <t>Wind in high branches, birdcall and breath through leaves, where sun-strength gathers around MAAT. Opens Egyptian goddess of cosmic truth without forcing it, letting Her magic was absolute: in the Hall of Two Truths rise from the green dark. A presence for spells that need the unseen made speakable.</t>
        </is>
      </c>
      <c r="P55" t="inlineStr">
        <is>
          <t>Wind in high branches, birdcall and breath through leaves, with sun-strength turning through MAAT. Turns Strength, feeding balance back into the soil of the spell. A guiding presence when the spell must shift, heal, end or begin.</t>
        </is>
      </c>
      <c r="Q55" t="inlineStr">
        <is>
          <t>Goddess</t>
        </is>
      </c>
    </row>
    <row r="56" ht="74.25" customHeight="1" s="56">
      <c r="A56" s="2" t="inlineStr">
        <is>
          <t>MADAME PELE</t>
        </is>
      </c>
      <c r="B56" s="2" t="inlineStr">
        <is>
          <t>Deity</t>
        </is>
      </c>
      <c r="C56" s="2" t="inlineStr">
        <is>
          <t>Feminine</t>
        </is>
      </c>
      <c r="D56" s="2" t="inlineStr">
        <is>
          <t>Fire/Earth</t>
        </is>
      </c>
      <c r="E56" s="2" t="inlineStr">
        <is>
          <t>Mars</t>
        </is>
      </c>
      <c r="F56" s="2" t="inlineStr">
        <is>
          <t>Tuesday</t>
        </is>
      </c>
      <c r="G56" s="2" t="inlineStr">
        <is>
          <t>Summer</t>
        </is>
      </c>
      <c r="H56" s="3" t="inlineStr">
        <is>
          <t>New beginnings, Spirit offerings, Mabon/Samhain, Samhain/ancestral altars, Contacting planes,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t>
        </is>
      </c>
      <c r="I56" s="3" t="inlineStr">
        <is>
          <t>Ginger, Hibiscus</t>
        </is>
      </c>
      <c r="J56" s="3" t="inlineStr">
        <is>
          <t>Historical/spiritual figure of devotion.</t>
        </is>
      </c>
      <c r="K56" s="3" t="inlineStr">
        <is>
          <t>Hawaiian goddess of volcanoes, fire, and creation who shapes the Hawaiian Islands through her eruptions. She is said to appear as a beautiful young woman, an old woman, or a white dog before a volcanic event. Anyone who disrespects the land or removes lava rocks is said to receive Pele's Curse — a trail of misfortune until the rocks are returned. She can be both destroyer and creator: as the lava flows, new land is born from the sea, making her the only deity who literally creates new earth in real time.</t>
        </is>
      </c>
      <c r="L56" s="3" t="inlineStr">
        <is>
          <t>The fiery, glowing lava that burns away the old vegetation, only to cool and break down into the richest, most fertile volcanic soil in the world.</t>
        </is>
      </c>
      <c r="M56" s="35" t="n"/>
      <c r="N56" s="36" t="n"/>
      <c r="O56" t="inlineStr">
        <is>
          <t>Coal-bright heat with root, where thorn-fire gathers around MADAME PELE. Opens Spirit offerings without forcing it, letting the quiet message under the leaves rise from the green dark. A presence for spells that need the unseen made speakable.</t>
        </is>
      </c>
      <c r="P56" t="inlineStr">
        <is>
          <t>Coal-bright heat with root, with thorn-fire turning through MADAME PELE. Turns New beginnings, feeding old energy into new growth back into the soil of the spell. A guiding presence when the spell must shift, heal, end or begin.</t>
        </is>
      </c>
      <c r="Q56" t="inlineStr">
        <is>
          <t>Goddess</t>
        </is>
      </c>
    </row>
    <row r="57" ht="74.25" customHeight="1" s="56">
      <c r="A57" s="4" t="inlineStr">
        <is>
          <t>MARS</t>
        </is>
      </c>
      <c r="B57" s="4" t="inlineStr">
        <is>
          <t>Spiritual Figure</t>
        </is>
      </c>
      <c r="C57" s="4" t="inlineStr">
        <is>
          <t>Masculine</t>
        </is>
      </c>
      <c r="D57" s="4" t="inlineStr">
        <is>
          <t>Fire</t>
        </is>
      </c>
      <c r="E57" s="4" t="inlineStr">
        <is>
          <t>Mars</t>
        </is>
      </c>
      <c r="F57" s="4" t="inlineStr">
        <is>
          <t>Tuesday</t>
        </is>
      </c>
      <c r="G57" s="4" t="inlineStr">
        <is>
          <t>Spring/Summer</t>
        </is>
      </c>
      <c r="H57" s="5" t="inlineStr">
        <is>
          <t>Confidence, Protection, Protection (hexes/evil), Banishing, Warding, Strength, Self-confidence, Courage, Bravery, Determination, Will Power, Leadership, Leadership skills, Commanding, Personal power,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t>
        </is>
      </c>
      <c r="I57" s="5" t="inlineStr">
        <is>
          <t>Garlic, Nettle, Ginger</t>
        </is>
      </c>
      <c r="J57" s="5" t="inlineStr">
        <is>
          <t>Roman god of commerce and communication.</t>
        </is>
      </c>
      <c r="K57" s="5" t="inlineStr">
        <is>
          <t>Roman god of war whose magic included the ability to grant divine victory in battle and protect the city of Rome itself. The Ancilia — twelve sacred shields believed to have fallen from heaven during Numa's reign — were kept in Mars's temple and carried in procession each spring to renew Rome's sacred protection. His sacred animals were the wolf and the woodpecker; the wolf of Mars was said to have suckled Romulus and Remus. Before battle, Roman generals would rattle his sacred spear, saying 'Mars, wake up!'</t>
        </is>
      </c>
      <c r="L57" s="5" t="inlineStr">
        <is>
          <t>The sharp, defensive thorns of the wild blackberry bush, aggressively protecting its sweet, dark fruit and providing a safe, impenetrable harbor for small birds.</t>
        </is>
      </c>
      <c r="M57" s="35" t="inlineStr">
        <is>
          <t>Bloodstone, Pyrite (Fool's Gold), Red Jasper, Rhodocrosite, Rhodonite, Ruby, Yellow Aventurine</t>
        </is>
      </c>
      <c r="N57" s="36" t="n"/>
      <c r="O57" t="inlineStr">
        <is>
          <t>Coal-bright heat, sunlit bark and the spark under leaf-mould, where thorn-fire gathers around MARS. Opens the deeper thread of Confidence, letting what is buried inside the working show its true face. A presence for spells that need the unseen made speakable.</t>
        </is>
      </c>
      <c r="P57" t="inlineStr">
        <is>
          <t>Coal-bright heat, sunlit bark and the spark under leaf-mould, with thorn-fire turning through MARS. Turns Protection (hexes/evil), feeding Banishing back into the soil of the spell. A guiding presence when the spell must shift, heal, end or begin.</t>
        </is>
      </c>
      <c r="Q57" t="inlineStr">
        <is>
          <t>God</t>
        </is>
      </c>
    </row>
    <row r="58" ht="86.25" customHeight="1" s="56">
      <c r="A58" s="2" t="inlineStr">
        <is>
          <t>MARY MAGDALENE</t>
        </is>
      </c>
      <c r="B58" s="2" t="inlineStr">
        <is>
          <t>Deity</t>
        </is>
      </c>
      <c r="C58" s="2" t="inlineStr">
        <is>
          <t>Feminine</t>
        </is>
      </c>
      <c r="D58" s="2" t="inlineStr">
        <is>
          <t>Water</t>
        </is>
      </c>
      <c r="E58" s="2" t="inlineStr">
        <is>
          <t>Venus</t>
        </is>
      </c>
      <c r="F58" s="2" t="inlineStr">
        <is>
          <t>Friday</t>
        </is>
      </c>
      <c r="G58" s="2" t="inlineStr">
        <is>
          <t>Spring</t>
        </is>
      </c>
      <c r="H58" s="3" t="inlineStr">
        <is>
          <t>New beginnings, Fruitfulness, Spirit offerings, Mabon/Samhain, Samhain/ancestral altars, Increasing wealth, Dispelling sickness, Contacting planes, Harmony, Prosperity, Fertility,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Healing magic, Healing spells, Healing sachets, Healing incenses, Healing mixtures, Healing rituals, Healing incense, Healing vibrations, healing after surgery, Aiding recovery, Aiding the ill, Improving health, Speeding recovery, Good health, health</t>
        </is>
      </c>
      <c r="I58" s="3" t="inlineStr">
        <is>
          <t>Rose, Spikenard</t>
        </is>
      </c>
      <c r="J58" s="3" t="inlineStr">
        <is>
          <t>Archetypal feminine source of life.</t>
        </is>
      </c>
      <c r="K58" s="3" t="inlineStr">
        <is>
          <t>Apostle to the apostles and the first witness to the Resurrection, Mary Magdalene carried from whom seven spirits had been cast out — transformed into the first and most devoted of Jesus's followers. In Gnostic texts she received the deepest, most secret spiritual teachings. In later legend she sailed to southern France, evangelised Provence, and spent her final years as a mystic hermit, levitated by angels seven times daily. Her sacred ointment — nard poured over Jesus's feet — made her the embodiment of the consecrated, healing power of devoted anointing.</t>
        </is>
      </c>
      <c r="L58" s="3" t="inlineStr">
        <is>
          <t>The aromatic nard and frankincense resins, harvested from the deep wounds of desert trees, used to anoint, heal, and honor the sacredness of the physical body.</t>
        </is>
      </c>
      <c r="M58" s="35" t="n"/>
      <c r="N58" s="36" t="n"/>
      <c r="O58" t="inlineStr">
        <is>
          <t>River hush, moonlit pools and the soft pull of tide, where heart-drawing gathers around MARY MAGDALENE. Opens Spirit offerings without forcing it, letting the quiet message under the leaves rise from the green dark. A presence for spells that need the unseen made speakable.</t>
        </is>
      </c>
      <c r="P58" t="inlineStr">
        <is>
          <t>River hush, moonlit pools and the soft pull of tide, with heart-drawing turning through MARY MAGDALENE. Turns New beginnings, feeding Dispelling sickness back into the soil of the spell. A guiding presence when the spell must shift, heal, end or begin.</t>
        </is>
      </c>
      <c r="Q58" t="inlineStr">
        <is>
          <t>Goddess</t>
        </is>
      </c>
    </row>
    <row r="59" ht="74.25" customHeight="1" s="56">
      <c r="A59" s="4" t="inlineStr">
        <is>
          <t>MERCURY</t>
        </is>
      </c>
      <c r="B59" s="4" t="inlineStr">
        <is>
          <t>Archetype</t>
        </is>
      </c>
      <c r="C59" s="4" t="inlineStr">
        <is>
          <t>Masculine</t>
        </is>
      </c>
      <c r="D59" s="4" t="inlineStr">
        <is>
          <t>Air</t>
        </is>
      </c>
      <c r="E59" s="4" t="inlineStr">
        <is>
          <t>Mercury</t>
        </is>
      </c>
      <c r="F59" s="4" t="inlineStr">
        <is>
          <t>Wednesday</t>
        </is>
      </c>
      <c r="G59" s="4" t="inlineStr">
        <is>
          <t>All Seasons</t>
        </is>
      </c>
      <c r="H59" s="5" t="inlineStr">
        <is>
          <t>New beginnings, Spirit offerings, Mabon/Samhain, Samhain/ancestral altars, Contacting planes,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t>
        </is>
      </c>
      <c r="I59" s="5" t="inlineStr">
        <is>
          <t>Lavender, Dill, Anise</t>
        </is>
      </c>
      <c r="J59" s="5" t="inlineStr">
        <is>
          <t>Sumerian goddess of writing and agriculture.</t>
        </is>
      </c>
      <c r="K59" s="5" t="inlineStr">
        <is>
          <t>Roman god of communication, trade, and magic — the swift messenger of the gods whose winged sandals (talaria) and winged helmet (petasus) made him the fastest being in the cosmos. He escorted souls to the underworld (psychopomp), carried divine messages between realms, and was patron of thieves, merchants, and all those who live by their wits. His caduceus — a wand entwined with two serpents — was a tool of magical sleep and waking, capable of putting anyone to sleep or waking them at his will.</t>
        </is>
      </c>
      <c r="L59" s="5" t="inlineStr">
        <is>
          <t>The swift, darting swallows and the brisk wind carrying dandelion seeds across the meadow, spreading the messages and the pollen of the earth far and wide.</t>
        </is>
      </c>
      <c r="M59" s="35" t="inlineStr">
        <is>
          <t>agate Blue Lace, agate Botswana, agate Moss, Aventurine, Sugilite</t>
        </is>
      </c>
      <c r="N59" s="36" t="n"/>
      <c r="O59" t="inlineStr">
        <is>
          <t>Wind in high branches, birdcall and breath through leaves, where quick wind gathers around MERCURY. Opens Spirit offerings without forcing it, letting Roman god of communication rise from the green dark. A presence for spells that need the unseen made speakable.</t>
        </is>
      </c>
      <c r="P59" t="inlineStr">
        <is>
          <t>Wind in high branches, birdcall and breath through leaves, with quick wind turning through MERCURY. Turns New beginnings, feeding old energy into new growth back into the soil of the spell. A guiding presence when the spell must shift, heal, end or begin.</t>
        </is>
      </c>
      <c r="Q59" t="inlineStr">
        <is>
          <t>God</t>
        </is>
      </c>
    </row>
    <row r="60" ht="74.25" customHeight="1" s="56">
      <c r="A60" s="2" t="inlineStr">
        <is>
          <t>MINERVA</t>
        </is>
      </c>
      <c r="B60" s="2" t="inlineStr">
        <is>
          <t>Deity</t>
        </is>
      </c>
      <c r="C60" s="2" t="inlineStr">
        <is>
          <t>Feminine</t>
        </is>
      </c>
      <c r="D60" s="2" t="inlineStr">
        <is>
          <t>Air/Fire</t>
        </is>
      </c>
      <c r="E60" s="2" t="inlineStr">
        <is>
          <t>Mercury</t>
        </is>
      </c>
      <c r="F60" s="2" t="inlineStr">
        <is>
          <t>Wednesday</t>
        </is>
      </c>
      <c r="G60" s="2" t="inlineStr">
        <is>
          <t>Spring</t>
        </is>
      </c>
      <c r="H60" s="3" t="inlineStr">
        <is>
          <t>New beginnings, Sun God offerings, Confidence, Luck, Dispelling sickness, Strength, Harmony, Happiness,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Self-confidence, Courage,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Joy, Joyous celebrations, Contentment, Healing magic, Healing spells, Healing sachets, Healing incenses, Healing mixtures, Healing rituals, Healing incense, Healing vibrations, healing after surgery, Aiding recovery, Aiding the ill, Improving health, Speeding recovery, Good health, health</t>
        </is>
      </c>
      <c r="I60" s="3" t="inlineStr">
        <is>
          <t>Olive, Bay Laurel</t>
        </is>
      </c>
      <c r="J60" s="3" t="inlineStr">
        <is>
          <t>Orisha of winds, storms, and rebirth.</t>
        </is>
      </c>
      <c r="K60" s="3" t="inlineStr">
        <is>
          <t>Roman goddess of wisdom, strategic warfare, and the arts, whose birth was itself magical — she sprang fully armoured from Jupiter's forehead after he swallowed her pregnant mother Metis. She gifted Athens the olive tree in the contest with Poseidon, a tree so magical it produced food, light, and healing all at once. Her Aegis — the divine shield decorated with the Gorgon's head — could turn enemies to stone through terror. She was also patron of weaving, and the myth of Arachne tells of her power to transform the prideful into spiders.</t>
        </is>
      </c>
      <c r="L60" s="3" t="inlineStr">
        <is>
          <t>The ancient, gnarled olive tree, incredibly slow-growing and wise, offering its bitter fruit and golden oil as a testament to patience and intellect.</t>
        </is>
      </c>
      <c r="M60" s="35" t="n"/>
      <c r="N60" s="36" t="inlineStr">
        <is>
          <t>Thyme</t>
        </is>
      </c>
      <c r="O60" t="inlineStr">
        <is>
          <t>Coal-bright heat with wind in high branches, where quick wind gathers around MINERVA. Opens Roman goddess of wisdom without forcing it, letting the quiet message under the leaves rise from the green dark. A presence for spells that need the unseen made speakable.</t>
        </is>
      </c>
      <c r="P60" t="inlineStr">
        <is>
          <t>Coal-bright heat with wind in high branches, with quick wind turning through MINERVA. Turns New beginnings, feeding Dispelling sickness back into the soil of the spell. A guiding presence when the spell must shift, heal, end or begin.</t>
        </is>
      </c>
      <c r="Q60" t="inlineStr">
        <is>
          <t>Goddess</t>
        </is>
      </c>
    </row>
    <row r="61" ht="74.25" customHeight="1" s="56">
      <c r="A61" s="4" t="inlineStr">
        <is>
          <t>MOTHER GODDESS</t>
        </is>
      </c>
      <c r="B61" s="4" t="inlineStr">
        <is>
          <t>Deity</t>
        </is>
      </c>
      <c r="C61" s="4" t="inlineStr">
        <is>
          <t>Feminine</t>
        </is>
      </c>
      <c r="D61" s="4" t="inlineStr">
        <is>
          <t>Earth</t>
        </is>
      </c>
      <c r="E61" s="4" t="inlineStr">
        <is>
          <t>Moon</t>
        </is>
      </c>
      <c r="F61" s="4" t="inlineStr">
        <is>
          <t>Monday</t>
        </is>
      </c>
      <c r="G61" s="4" t="inlineStr">
        <is>
          <t>All Seasons</t>
        </is>
      </c>
      <c r="H61" s="5" t="inlineStr">
        <is>
          <t>New beginnings, Strength, Confidence,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Physical Strength, Fortitude, Vitality, Inner power, and strength,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61" s="5" t="inlineStr">
        <is>
          <t>Rose, Mugw, Amulets/talismans, Wheat</t>
        </is>
      </c>
      <c r="J61" s="5" t="inlineStr">
        <is>
          <t>Greek god of the wild and nature.</t>
        </is>
      </c>
      <c r="K61" s="5" t="inlineStr">
        <is>
          <t>The universal feminine divine from whom all living things emerge and to whom all return. Her magic is the sacred mystery of birth, nourishment, and death-as-transformation. Found in every culture from the Palaeolithic Venus figurines to the Hindu Shakti, she is the living earth whose body is the field and the forest, the cave and the womb. Her magic is the magic of becoming — the raw creative force that needs no instruction and no tools, only the willingness to receive life and let it pass through.</t>
        </is>
      </c>
      <c r="L61" s="5" t="inlineStr">
        <is>
          <t>The encompassing, warm womb of the earth cave, where seeds lie dormant in the dirt and bears hibernate in the deep, protective dark.</t>
        </is>
      </c>
      <c r="M61" s="35" t="n"/>
      <c r="N61" s="36" t="n"/>
      <c r="O61" t="inlineStr">
        <is>
          <t>Root, stone, loam and the patient weight of the hill, where moon-sight gathers around MOTHER GODDESS. Opens the deeper thread of New beginnings, letting what is buried inside the working show its true face. A presence for spells that need the unseen made speakable.</t>
        </is>
      </c>
      <c r="P61" t="inlineStr">
        <is>
          <t>Root, stone, loam and the patient weight of the hill, with moon-sight turning through MOTHER GODDESS. Turns New beginnings, feeding Strength back into the soil of the spell. A guiding presence when the spell must shift, heal, end or begin.</t>
        </is>
      </c>
      <c r="Q61" t="inlineStr">
        <is>
          <t>Goddess</t>
        </is>
      </c>
    </row>
    <row r="62" ht="61.5" customHeight="1" s="56">
      <c r="A62" s="2" t="inlineStr">
        <is>
          <t>MOTHER GODESS</t>
        </is>
      </c>
      <c r="B62" s="2" t="inlineStr">
        <is>
          <t>Deity</t>
        </is>
      </c>
      <c r="C62" s="2" t="inlineStr">
        <is>
          <t>Feminine</t>
        </is>
      </c>
      <c r="D62" s="2" t="inlineStr">
        <is>
          <t>Earth</t>
        </is>
      </c>
      <c r="E62" s="2" t="inlineStr">
        <is>
          <t>Moon</t>
        </is>
      </c>
      <c r="F62" s="2" t="inlineStr">
        <is>
          <t>Monday</t>
        </is>
      </c>
      <c r="G62" s="2" t="inlineStr">
        <is>
          <t>All Seasons</t>
        </is>
      </c>
      <c r="H62" s="3" t="inlineStr">
        <is>
          <t>Divination, New beginnings, Prophetic dreams, Star magick, Harmony, Clairvoyance,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clairvoyance, Psychic development, Psychic powers, INCREASE PSYCHIC ABILITIES, Psychic awareness, Stimulating psychic senses, Disabling psychic phenomena, Psychic communication, communication and psychic abilities</t>
        </is>
      </c>
      <c r="I62" s="3" t="inlineStr">
        <is>
          <t>Rose, Mugw, Amulets/talismans, Wheat</t>
        </is>
      </c>
      <c r="J62" s="3" t="inlineStr">
        <is>
          <t>Greek queen of the underworld.</t>
        </is>
      </c>
      <c r="K62" s="3" t="inlineStr">
        <is>
          <t>An alternate rendering of the Mother Goddess — the sovereign feminine divine who breathes life into the world. Her power is in the cycles: the breath of the seasons, the turning of years, the endless green renewal of the rolling hills. She is the goddess of the long slow rhythms of the earth, the goddess of the patient waiting — seeds in winter soil, children in the womb, stars turning through the night.</t>
        </is>
      </c>
      <c r="L62" s="3" t="inlineStr">
        <is>
          <t>The endless, rolling green hills that rise and fall gently, appearing like the steady breathing of a sleeping giantess covered in a blanket of wildflowers.</t>
        </is>
      </c>
      <c r="M62" s="35" t="n"/>
      <c r="N62" s="36" t="n"/>
      <c r="O62" t="inlineStr">
        <is>
          <t>Root, stone, loam and the patient weight of the hill, where moon-sight gathers around MOTHER GODESS. Opens Divination without forcing it, letting Prophetic dreams rise from the green dark. A presence for spells that need the unseen made speakable.</t>
        </is>
      </c>
      <c r="P62" t="inlineStr">
        <is>
          <t>Root, stone, loam and the patient weight of the hill, with moon-sight turning through MOTHER GODESS. Turns New beginnings, feeding the endless green renewal of the rolling hills back into the soil of the spell. A guiding presence when the spell must shift, heal, end or begin.</t>
        </is>
      </c>
      <c r="Q62" t="inlineStr">
        <is>
          <t>Goddess</t>
        </is>
      </c>
    </row>
    <row r="63" ht="74.25" customHeight="1" s="56">
      <c r="A63" s="4" t="inlineStr">
        <is>
          <t>NISABA</t>
        </is>
      </c>
      <c r="B63" s="4" t="inlineStr">
        <is>
          <t>Deity</t>
        </is>
      </c>
      <c r="C63" s="4" t="inlineStr">
        <is>
          <t>Feminine</t>
        </is>
      </c>
      <c r="D63" s="4" t="inlineStr">
        <is>
          <t>Earth/Air</t>
        </is>
      </c>
      <c r="E63" s="4" t="inlineStr">
        <is>
          <t>Mercury</t>
        </is>
      </c>
      <c r="F63" s="4" t="inlineStr">
        <is>
          <t>Wednesday</t>
        </is>
      </c>
      <c r="G63" s="4" t="inlineStr">
        <is>
          <t>Summer/Autumn</t>
        </is>
      </c>
      <c r="H63" s="5"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63" s="5" t="inlineStr">
        <is>
          <t>Wheat, Barley</t>
        </is>
      </c>
      <c r="J63" s="5" t="inlineStr">
        <is>
          <t>Roman god of the underworld.</t>
        </is>
      </c>
      <c r="K63" s="5" t="inlineStr">
        <is>
          <t>Sumerian goddess of grain, writing, and the sacred arts of the scribe. She held a golden stylus and a lapis lazuli tablet on which the starry heavens were mapped. Every Sumerian text ended with 'Praise to Nisaba!' — she was considered the author and custodian of all knowledge. Her magic was the transformative power of writing itself: the ability to record the stars, measure the earth, keep accounts of the gods, and transmit divine knowledge across time. She was scribe of the gods and keeper of both divine and mortal records.</t>
        </is>
      </c>
      <c r="L63" s="5" t="inlineStr">
        <is>
          <t>The tall, swaying reeds growing by the marshy riverbank, harvested and cut to form the very pens that record the magic and yield of the agricultural harvest.</t>
        </is>
      </c>
      <c r="M63" s="35" t="n"/>
      <c r="N63" s="36" t="n"/>
      <c r="O63" t="inlineStr">
        <is>
          <t>Wind in high branches with root, where quick wind gathers around NISABA. Opens transmit divine knowledge across time without forcing it, letting the quiet message under the leaves rise from the green dark. A presence for spells that need the unseen made speakable.</t>
        </is>
      </c>
      <c r="P63" t="inlineStr">
        <is>
          <t>Wind in high branches with root, with quick wind turning through NISABA. Turns New beginnings, feeding transmit divine knowledge across time back into the soil of the spell. A guiding presence when the spell must shift, heal, end or begin.</t>
        </is>
      </c>
      <c r="Q63" t="inlineStr">
        <is>
          <t>Goddess</t>
        </is>
      </c>
    </row>
    <row r="64" ht="74.25" customHeight="1" s="56">
      <c r="A64" s="2" t="inlineStr">
        <is>
          <t>NUIT</t>
        </is>
      </c>
      <c r="B64" s="2" t="inlineStr">
        <is>
          <t>Deity</t>
        </is>
      </c>
      <c r="C64" s="2" t="inlineStr">
        <is>
          <t>Feminine</t>
        </is>
      </c>
      <c r="D64" s="2" t="inlineStr">
        <is>
          <t>Air/Water</t>
        </is>
      </c>
      <c r="E64" s="2" t="inlineStr">
        <is>
          <t>Moon</t>
        </is>
      </c>
      <c r="F64" s="2" t="inlineStr">
        <is>
          <t>Monday</t>
        </is>
      </c>
      <c r="G64" s="2" t="inlineStr">
        <is>
          <t>All Seasons</t>
        </is>
      </c>
      <c r="H64" s="3" t="inlineStr">
        <is>
          <t>Divination, New beginnings, Fruitfulness, Prophetic dreams, Sun God offerings, Luck, Happiness, Star magick, Increasing wealth,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Enhancing clairvoyance, Psychic development, Psychic powers, INCREASE PSYCHIC ABILITIES, Psychic awareness, Stimulating psychic senses, Disabling psychic phenomena, Psychic communication, communication and psychic abilities</t>
        </is>
      </c>
      <c r="I64" s="3" t="inlineStr">
        <is>
          <t>Lotus, Star Anise</t>
        </is>
      </c>
      <c r="J64" s="3" t="inlineStr">
        <is>
          <t>Hindu goddess of devotion and fertility.</t>
        </is>
      </c>
      <c r="K64" s="3" t="inlineStr">
        <is>
          <t>Egyptian goddess of the sky and the stars whose arching body forms the vault of heaven. She swallows the sun each evening and gives birth to it again each morning — a daily resurrection. Each night she devours the stars and gives birth to them at dawn. She was closely associated with the coffin — her image was painted on the inside of the lid, so the dead body rested within her body as a seed ready for rebirth. Her magic is the cosmic embrace: the arms of the starry sky that hold all living things safe through the night.</t>
        </is>
      </c>
      <c r="L64" s="3" t="inlineStr">
        <is>
          <t>The vast, sweeping canopy of the night sky, curving like a protective body over the earth, her starry form dropping the evening dew onto the sands below.</t>
        </is>
      </c>
      <c r="M64" s="35" t="n"/>
      <c r="N64" s="36" t="n"/>
      <c r="O64" t="inlineStr">
        <is>
          <t>River hush with wind in high branches, where moon-sight gathers around NUIT. Opens Divination without forcing it, letting Prophetic dreams rise from the green dark. A presence for spells that need the unseen made speakable.</t>
        </is>
      </c>
      <c r="P64" t="inlineStr">
        <is>
          <t>River hush with wind in high branches, with moon-sight turning through NUIT. Turns New beginnings, feeding old energy into new growth back into the soil of the spell. A guiding presence when the spell must shift, heal, end or begin.</t>
        </is>
      </c>
      <c r="Q64" t="inlineStr">
        <is>
          <t>Goddess</t>
        </is>
      </c>
    </row>
    <row r="65" ht="74.25" customHeight="1" s="56">
      <c r="A65" s="4" t="inlineStr">
        <is>
          <t>OYA</t>
        </is>
      </c>
      <c r="B65" s="4" t="inlineStr">
        <is>
          <t>Deity</t>
        </is>
      </c>
      <c r="C65" s="4" t="inlineStr">
        <is>
          <t>Feminine</t>
        </is>
      </c>
      <c r="D65" s="4" t="inlineStr">
        <is>
          <t>Air/Fire</t>
        </is>
      </c>
      <c r="E65" s="4" t="inlineStr">
        <is>
          <t>Mercury/Mars</t>
        </is>
      </c>
      <c r="F65" s="4" t="inlineStr">
        <is>
          <t>Wednesday</t>
        </is>
      </c>
      <c r="G65" s="4" t="inlineStr">
        <is>
          <t>Autumn</t>
        </is>
      </c>
      <c r="H65" s="5" t="inlineStr">
        <is>
          <t>New beginnings, Sun God offerings, Luck, Spirit offerings, Mabon/Samhain, Samhain/ancestral altars, Peace, Contacting planes, Harmony, Happiness,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Joy, Joyous celebrations, Contentment</t>
        </is>
      </c>
      <c r="I65" s="5" t="inlineStr">
        <is>
          <t>Hibiscus, Sage</t>
        </is>
      </c>
      <c r="J65" s="5" t="inlineStr">
        <is>
          <t>Roman goddess of peace.</t>
        </is>
      </c>
      <c r="K65" s="5" t="inlineStr">
        <is>
          <t>Yoruba orisha of storms, lightning, the marketplace, and the winds of change. She is one of the most powerful orishas in the Yoruba tradition, commanding the fierce weather that clears the air and forces transformation. She is associated with the ancestors — it is Oya who guards the gateway between the living and the dead, and who escorts souls across the threshold. She can assume nine forms (her sacred number), controls tornadoes and tempests, and is said to wield a sword of truth that cuts through deception instantly.</t>
        </is>
      </c>
      <c r="L65" s="5" t="inlineStr">
        <is>
          <t>The fierce, sudden squall of the tornado and the violent thunderstorm, ripping away dead, rotting branches so the strong, healthy trees can thrive in the aftermath.</t>
        </is>
      </c>
      <c r="M65" s="35" t="n"/>
      <c r="N65" s="36" t="n"/>
      <c r="O65" t="inlineStr">
        <is>
          <t>Coal-bright heat with wind in high branches, where thorn-fire gathers around OYA. Opens Spirit offerings without forcing it, letting the quiet message under the leaves rise from the green dark. A presence for spells that need the unseen made speakable.</t>
        </is>
      </c>
      <c r="P65" t="inlineStr">
        <is>
          <t>Coal-bright heat with wind in high branches, with thorn-fire turning through OYA. Turns New beginnings, feeding old energy into new growth back into the soil of the spell. A guiding presence when the spell must shift, heal, end or begin.</t>
        </is>
      </c>
      <c r="Q65" t="inlineStr">
        <is>
          <t>Goddess</t>
        </is>
      </c>
    </row>
    <row r="66" ht="74.25" customHeight="1" s="56">
      <c r="A66" s="2" t="inlineStr">
        <is>
          <t>PAN</t>
        </is>
      </c>
      <c r="B66" s="2" t="inlineStr">
        <is>
          <t>Deity</t>
        </is>
      </c>
      <c r="C66" s="2" t="inlineStr">
        <is>
          <t>Masculine</t>
        </is>
      </c>
      <c r="D66" s="2" t="inlineStr">
        <is>
          <t>Earth/Air</t>
        </is>
      </c>
      <c r="E66" s="2" t="inlineStr">
        <is>
          <t>Saturn</t>
        </is>
      </c>
      <c r="F66" s="2" t="inlineStr">
        <is>
          <t>Saturday</t>
        </is>
      </c>
      <c r="G66" s="2" t="inlineStr">
        <is>
          <t>Spring/Summer</t>
        </is>
      </c>
      <c r="H66" s="3" t="inlineStr">
        <is>
          <t>New beginnings, Sun God offerings, Luck, Harmony, Happiness,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66" s="3" t="inlineStr">
        <is>
          <t>Happiness, Ivy, Oak</t>
        </is>
      </c>
      <c r="J66" s="3" t="inlineStr">
        <is>
          <t>Egyptian sun god.</t>
        </is>
      </c>
      <c r="K66" s="3" t="inlineStr">
        <is>
          <t>Greek god of the wild, shepherds, rustic music, and sudden inexplicable fear — the panic that strikes travellers in wild places. He invented the syrinx (pan pipes) from the river reeds into which the nymph Syrinx was transformed to escape him. His music could enchant every wild creature, and his cry could stampede armies. He helped the gods by panicking the Titans with his terrible voice. He was said to have seduced Selene by hiding himself in a white fleece. His wild, half-goat nature embodied the liminal magic between civilisation and the untamed wild.</t>
        </is>
      </c>
      <c r="L66" s="3" t="inlineStr">
        <is>
          <t>The wild, untamed music of the rustling reeds and the musky scent of the deep woods where agile goats clamber over moss-covered, ancient stones.</t>
        </is>
      </c>
      <c r="M66" s="35" t="n"/>
      <c r="N66" s="36" t="inlineStr">
        <is>
          <t>Fir Needle, Pine, Patchouli</t>
        </is>
      </c>
      <c r="O66" t="inlineStr">
        <is>
          <t>Wind in high branches with root, where old-root law gathers around PAN. Opens the deeper thread of New beginnings, letting what is buried inside the working show its true face. A presence for spells that need the unseen made speakable.</t>
        </is>
      </c>
      <c r="P66" t="inlineStr">
        <is>
          <t>Wind in high branches with root, with old-root law turning through PAN. Turns New beginnings, feeding old energy into new growth back into the soil of the spell. A guiding presence when the spell must shift, heal, end or begin.</t>
        </is>
      </c>
      <c r="Q66" t="inlineStr">
        <is>
          <t>God</t>
        </is>
      </c>
    </row>
    <row r="67" ht="86.25" customHeight="1" s="56">
      <c r="A67" s="4" t="inlineStr">
        <is>
          <t>PARVATI</t>
        </is>
      </c>
      <c r="B67" s="4" t="inlineStr">
        <is>
          <t>Deity</t>
        </is>
      </c>
      <c r="C67" s="4" t="inlineStr">
        <is>
          <t>Feminine</t>
        </is>
      </c>
      <c r="D67" s="4" t="inlineStr">
        <is>
          <t>Earth/Fire</t>
        </is>
      </c>
      <c r="E67" s="4" t="inlineStr">
        <is>
          <t>Venus</t>
        </is>
      </c>
      <c r="F67" s="4" t="inlineStr">
        <is>
          <t>Friday</t>
        </is>
      </c>
      <c r="G67" s="4" t="inlineStr">
        <is>
          <t>All Seasons</t>
        </is>
      </c>
      <c r="H67" s="5" t="inlineStr">
        <is>
          <t>New beginnings, Fruitfulness, Confidence, Spirit offerings, Mabon/Samhain, Samhain/ancestral altars, Love rituals, Love, Aphrodisiac, Increasing wealth, Contacting planes, Strength, Harmony, Prosperity, Attraction, Fertility,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Physical Strength, Fortitude, Vitality, Inner power, and strength, Attracting a mate, Attracting a soulmate, Conjuring a lover, HELP ATTRACT OPPOSITE SEX, Finding future love</t>
        </is>
      </c>
      <c r="I67" s="5" t="inlineStr">
        <is>
          <t>Lotus, Rose</t>
        </is>
      </c>
      <c r="J67" s="5" t="inlineStr">
        <is>
          <t>Roman god of time and harvest.</t>
        </is>
      </c>
      <c r="K67" s="5" t="inlineStr">
        <is>
          <t>Hindu goddess of love, devotion, and the power of ascetic practice (tapas). Through years of intense austerity in the Himalayas, she generated enough spiritual heat to compel Shiva — the most ascetic of gods — to emerge from meditation and become her husband. She is the embodiment of shakti — the divine feminine energy that animates the universe. As Durga she becomes a fierce warrior capable of slaying demons no male god could defeat. As Kali she wields the terror of time and transformation. In all her forms she demonstrates that devotion pursued to its absolute extreme becomes the most irresistible magical force in the universe.</t>
        </is>
      </c>
      <c r="L67" s="5" t="inlineStr">
        <is>
          <t>The majestic, snow-capped mountain peaks where the hardiest, most resilient alpine flowers push through the ice, reflecting her enduring strength and devotion.</t>
        </is>
      </c>
      <c r="M67" s="35" t="n"/>
      <c r="N67" s="36" t="n"/>
      <c r="O67" t="inlineStr">
        <is>
          <t>Coal-bright heat with root, where heart-drawing gathers around PARVATI. Opens Spirit offerings without forcing it, letting the quiet message under the leaves rise from the green dark. A presence for spells that need the unseen made speakable.</t>
        </is>
      </c>
      <c r="P67" t="inlineStr">
        <is>
          <t>Coal-bright heat with root, with heart-drawing turning through PARVATI. Turns New beginnings, feeding Strength back into the soil of the spell. A guiding presence when the spell must shift, heal, end or begin.</t>
        </is>
      </c>
      <c r="Q67" t="inlineStr">
        <is>
          <t>Goddess</t>
        </is>
      </c>
    </row>
    <row r="68" ht="86.25" customHeight="1" s="56">
      <c r="A68" s="2" t="inlineStr">
        <is>
          <t>PAX</t>
        </is>
      </c>
      <c r="B68" s="2" t="inlineStr">
        <is>
          <t>Deity</t>
        </is>
      </c>
      <c r="C68" s="2" t="inlineStr">
        <is>
          <t>Feminine</t>
        </is>
      </c>
      <c r="D68" s="2" t="inlineStr">
        <is>
          <t>Air</t>
        </is>
      </c>
      <c r="E68" s="2" t="inlineStr">
        <is>
          <t>Venus</t>
        </is>
      </c>
      <c r="F68" s="2" t="inlineStr">
        <is>
          <t>Friday</t>
        </is>
      </c>
      <c r="G68" s="2" t="inlineStr">
        <is>
          <t>All Seasons</t>
        </is>
      </c>
      <c r="H68" s="3" t="inlineStr">
        <is>
          <t>Harmony, Strength, Confidence, Peace,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 Self-confidence, Courage, Bravery, Determination, Will Power, Leadership, Leadership skills, Commanding, Personal power</t>
        </is>
      </c>
      <c r="I68" s="3" t="inlineStr">
        <is>
          <t>Olive, Wheat</t>
        </is>
      </c>
      <c r="J68" s="3" t="inlineStr">
        <is>
          <t>Egyptian goddess associated with writing and time.</t>
        </is>
      </c>
      <c r="K68" s="3" t="inlineStr">
        <is>
          <t>Roman goddess of peace whose magic was the divine stillness that could descend after the chaos of war. The Ara Pacis — Altar of Peace — was erected by Augustus to celebrate her power and the Pax Romana she embodied. Her magic was the sacred art of laying down weapons, the olive branch extended in true intention, and the alchemy of turning former enemies into trading partners. She taught that the cessation of violence was not weakness but the most profound magical transformation — turning the energy of war into the energy of growth.</t>
        </is>
      </c>
      <c r="L68" s="3" t="inlineStr">
        <is>
          <t>The quiet, undisturbed meadow where olive branches intertwine naturally with blooming red poppies, and the soft soil knows no tread of marching boots.</t>
        </is>
      </c>
      <c r="M68" s="35" t="n"/>
      <c r="N68" s="36" t="n"/>
      <c r="O68" t="inlineStr">
        <is>
          <t>Wind in high branches, birdcall and breath through leaves, where heart-drawing gathers around PAX. Opens the deeper thread of Harmony, letting what is buried inside the working show its true face. A presence for spells that need the unseen made speakable.</t>
        </is>
      </c>
      <c r="P68" t="inlineStr">
        <is>
          <t>Wind in high branches, birdcall and breath through leaves, with heart-drawing turning through PAX. Turns Strength, feeding old energy into new growth back into the soil of the spell. A guiding presence when the spell must shift, heal, end or begin.</t>
        </is>
      </c>
      <c r="Q68" t="inlineStr">
        <is>
          <t>Goddess</t>
        </is>
      </c>
    </row>
    <row r="69" ht="86.25" customHeight="1" s="56">
      <c r="A69" s="4" t="inlineStr">
        <is>
          <t>PERSEPHONE</t>
        </is>
      </c>
      <c r="B69" s="4" t="inlineStr">
        <is>
          <t>Deity</t>
        </is>
      </c>
      <c r="C69" s="4" t="inlineStr">
        <is>
          <t>Feminine</t>
        </is>
      </c>
      <c r="D69" s="4" t="inlineStr">
        <is>
          <t>Earth/Water</t>
        </is>
      </c>
      <c r="E69" s="4" t="inlineStr">
        <is>
          <t>Moon</t>
        </is>
      </c>
      <c r="F69" s="4" t="inlineStr">
        <is>
          <t>Wednesday</t>
        </is>
      </c>
      <c r="G69" s="4" t="inlineStr">
        <is>
          <t>Spring/Autumn</t>
        </is>
      </c>
      <c r="H69" s="5" t="inlineStr">
        <is>
          <t>New beginnings, Sun God offerings, Luck, Spirit offerings, Mabon/Samhain, Samhain/ancestral altars, Love rituals, Love, Aphrodisiac, Contacting planes, Harmony, Happiness,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Joy, Joyous celebrations, Contentment, Attracting a mate, Attracting a soulmate, Conjuring a lover, HELP ATTRACT OPPOSITE SEX, Finding future love</t>
        </is>
      </c>
      <c r="I69" s="5" t="inlineStr">
        <is>
          <t>Pomegranate, Narcissus</t>
        </is>
      </c>
      <c r="J69" s="5" t="inlineStr">
        <is>
          <t>Roman personification of the sun.</t>
        </is>
      </c>
      <c r="K69" s="5" t="inlineStr">
        <is>
          <t>Queen of the Underworld whose magic governs the seasons themselves. Taken by Hades, her mother Demeter's grief plunged the world into winter. The Eleusinian Mysteries — the most sacred secret rites of the ancient world — were built around her descent and return, promising initiates a transformed understanding of death: not as ending but as passage. She became a powerful queen in her own right, compassionate but firm, who could grant release or hold souls. She is the first green shoot of spring pushing through the frozen earth — death's own daughter bringing life.</t>
        </is>
      </c>
      <c r="L69" s="5" t="inlineStr">
        <is>
          <t>The sudden, vibrant burst of springtime crocuses pushing through the frost, a joyous, green return from the dark, quiet rest of the underworld.</t>
        </is>
      </c>
      <c r="M69" s="35" t="n"/>
      <c r="N69" s="36" t="inlineStr">
        <is>
          <t>Cedarwood</t>
        </is>
      </c>
      <c r="O69" t="inlineStr">
        <is>
          <t>River hush with root, where moon-sight gathers around PERSEPHONE. Opens Spirit offerings without forcing it, letting the quiet message under the leaves rise from the green dark. A presence for spells that need the unseen made speakable.</t>
        </is>
      </c>
      <c r="P69" t="inlineStr">
        <is>
          <t>River hush with root, with moon-sight turning through PERSEPHONE. Turns New beginnings, feeding old energy into new growth back into the soil of the spell. A guiding presence when the spell must shift, heal, end or begin.</t>
        </is>
      </c>
      <c r="Q69" t="inlineStr">
        <is>
          <t>Goddess</t>
        </is>
      </c>
    </row>
    <row r="70" ht="74.25" customHeight="1" s="56">
      <c r="A70" s="2" t="inlineStr">
        <is>
          <t>PLUTO</t>
        </is>
      </c>
      <c r="B70" s="2" t="inlineStr">
        <is>
          <t>Deity</t>
        </is>
      </c>
      <c r="C70" s="2" t="inlineStr">
        <is>
          <t>Masculine</t>
        </is>
      </c>
      <c r="D70" s="2" t="inlineStr">
        <is>
          <t>Earth</t>
        </is>
      </c>
      <c r="E70" s="2" t="inlineStr">
        <is>
          <t>Saturn/Pluto</t>
        </is>
      </c>
      <c r="F70" s="2" t="inlineStr">
        <is>
          <t>Saturday</t>
        </is>
      </c>
      <c r="G70" s="2" t="inlineStr">
        <is>
          <t>Winter</t>
        </is>
      </c>
      <c r="H70" s="3" t="inlineStr">
        <is>
          <t>New beginnings, Confidence, Anti-theft, Fortune, Spirit offerings, Mabon/Samhain, Samhain/ancestral altars, Increasing wealth, Dispelling sickness, Contacting planes, Strength, Harmony, Prosperity,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Preventing theft, Protection against theft, Spell-breaking, Reversing harmful spells, Breaking spells, Hex breaking, Removing hexes, Removing curses, Removing jinxes, Removing bad luck, Breaking hexes, Returning hexes, hex-breaking, Removing hexes and curses, Removing a jinx, Luck, Good luck, Good luck in family matters, Casino luck, WISHES, Wish magick,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Healing magic, Healing spells, Healing sachets, Healing incenses, Healing mixtures, Healing rituals, Healing incense, Healing vibrations, healing after surgery, Aiding recovery, Aiding the ill, Improving health, Speeding recovery, Good health, health</t>
        </is>
      </c>
      <c r="I70" s="3" t="inlineStr">
        <is>
          <t>Cypress, Mugw, Amulets/talismans</t>
        </is>
      </c>
      <c r="J70" s="3" t="inlineStr">
        <is>
          <t>Egyptian lioness goddess of war and healing.</t>
        </is>
      </c>
      <c r="K70" s="3" t="inlineStr">
        <is>
          <t>Roman god of the Underworld and all the riches hidden beneath the earth. His very name means 'wealth' — all mineral treasure, gold, silver, and gemstones belong to him. He wore the Cap of Hades (Helm of Darkness) which rendered him utterly invisible — the most powerful magical object in Greek myth, lent to Perseus to slay Medusa. His realm received all souls, and his judgment was final. He was considered so ominous that people avoided speaking his name, instead calling him Dis or Pluto to avoid attracting his attention.</t>
        </is>
      </c>
      <c r="L70" s="3" t="inlineStr">
        <is>
          <t>The deep, hidden veins of gold, quartz, and gemstones resting silently in the crushing dark of the earth's crust, holding the planet's hidden, compressed magic.</t>
        </is>
      </c>
      <c r="M70" s="35" t="inlineStr">
        <is>
          <t>obsidian snowflake</t>
        </is>
      </c>
      <c r="N70" s="36" t="inlineStr">
        <is>
          <t>Peppermint</t>
        </is>
      </c>
      <c r="O70" t="inlineStr">
        <is>
          <t>Root, stone, loam and the patient weight of the hill, where old-root law gathers around PLUTO. Opens Spirit offerings without forcing it, letting the quiet message under the leaves rise from the green dark. A presence for spells that need the unseen made speakable.</t>
        </is>
      </c>
      <c r="P70" t="inlineStr">
        <is>
          <t>Root, stone, loam and the patient weight of the hill, with old-root law turning through PLUTO. Turns New beginnings, feeding Dispelling sickness back into the soil of the spell. A guiding presence when the spell must shift, heal, end or begin.</t>
        </is>
      </c>
      <c r="Q70" t="inlineStr">
        <is>
          <t>God</t>
        </is>
      </c>
    </row>
    <row r="71" ht="86.25" customHeight="1" s="56">
      <c r="A71" s="4" t="inlineStr">
        <is>
          <t>RA</t>
        </is>
      </c>
      <c r="B71" s="4" t="inlineStr">
        <is>
          <t>Deity</t>
        </is>
      </c>
      <c r="C71" s="4" t="inlineStr">
        <is>
          <t>Masculine</t>
        </is>
      </c>
      <c r="D71" s="4" t="inlineStr">
        <is>
          <t>Fire</t>
        </is>
      </c>
      <c r="E71" s="4" t="inlineStr">
        <is>
          <t>Sun</t>
        </is>
      </c>
      <c r="F71" s="4" t="inlineStr">
        <is>
          <t>Sunday</t>
        </is>
      </c>
      <c r="G71" s="4" t="inlineStr">
        <is>
          <t>Summer</t>
        </is>
      </c>
      <c r="H71" s="5" t="inlineStr">
        <is>
          <t>Divination, Prophetic dreams, Confidence, Sun God offerings, Luck, Star magick, Strength, Happiness, Clairvoyance,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t>
        </is>
      </c>
      <c r="I71" s="5" t="inlineStr">
        <is>
          <t>Frankincense, Sunflower</t>
        </is>
      </c>
      <c r="J71" s="5" t="inlineStr">
        <is>
          <t>Hindu god of transformation and destruction.</t>
        </is>
      </c>
      <c r="K71" s="5" t="inlineStr">
        <is>
          <t>The Egyptian sun god whose daily passage in his solar barque through the sky and through the Underworld each night was the foundation of all creation. Ra possessed the most powerful magic of all: his secret name, which Isis tricked from him. This hidden name was the source of his absolute power — the sound that had called creation into being. Each night in the Underworld he faced the serpent Apophis, whose attempt to swallow the solar barque was defeated by the prayers and magic of the gods. Every sunrise was a victory over the forces of annihilation.</t>
        </is>
      </c>
      <c r="L71" s="5" t="inlineStr">
        <is>
          <t>The fierce, relentless midday sun that bakes the desert, driving the cold-blooded lizards to bask on sun-warmed sandstone to absorb his fiery life-force.</t>
        </is>
      </c>
      <c r="M71" s="35" t="inlineStr">
        <is>
          <t>Ametrine, Quartz Clear, Sunstone, Tiger Eye gold, Topaz, Amber</t>
        </is>
      </c>
      <c r="N71" s="36" t="inlineStr">
        <is>
          <t>Frankincense, Orange Bitter</t>
        </is>
      </c>
      <c r="O71" t="inlineStr">
        <is>
          <t>Coal-bright heat, sunlit bark and the spark under leaf-mould, where sun-strength gathers around RA. Opens Divination without forcing it, letting Prophetic dreams rise from the green dark. A presence for spells that need the unseen made speakable.</t>
        </is>
      </c>
      <c r="P71" t="inlineStr">
        <is>
          <t>Coal-bright heat, sunlit bark and the spark under leaf-mould, with sun-strength turning through RA. Turns Strength, feeding old energy into new growth back into the soil of the spell. A guiding presence when the spell must shift, heal, end or begin.</t>
        </is>
      </c>
      <c r="Q71" t="inlineStr">
        <is>
          <t>God</t>
        </is>
      </c>
    </row>
    <row r="72" ht="74.25" customHeight="1" s="56">
      <c r="A72" s="2" t="inlineStr">
        <is>
          <t>SATURN</t>
        </is>
      </c>
      <c r="B72" s="2" t="inlineStr">
        <is>
          <t>Deity</t>
        </is>
      </c>
      <c r="C72" s="2" t="inlineStr">
        <is>
          <t>Masculine</t>
        </is>
      </c>
      <c r="D72" s="2" t="inlineStr">
        <is>
          <t>Earth</t>
        </is>
      </c>
      <c r="E72" s="2" t="inlineStr">
        <is>
          <t>Saturn</t>
        </is>
      </c>
      <c r="F72" s="2" t="inlineStr">
        <is>
          <t>Saturday</t>
        </is>
      </c>
      <c r="G72" s="2" t="inlineStr">
        <is>
          <t>Winter</t>
        </is>
      </c>
      <c r="H72" s="3" t="inlineStr">
        <is>
          <t>New beginnings, Fruitfulness, Sun God offerings, Luck, Happiness,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72" s="3" t="inlineStr">
        <is>
          <t>Thyme, Myrrh</t>
        </is>
      </c>
      <c r="J72" s="3" t="inlineStr">
        <is>
          <t>Greek personification of wisdom and enlightenment.</t>
        </is>
      </c>
      <c r="K72" s="3" t="inlineStr">
        <is>
          <t>Roman god of time, the harvest, and the Golden Age — a primordial era of abundance before the gods took power. He was equated with the Greek Kronos. His festival, the Saturnalia, was the wildest of Roman festivals: for seven days the social order was inverted, slaves dined with masters, gifts were exchanged, and all work ceased. His magic was the inexorable turning of time — the sickle that cut all things down, the seasons that ground on regardless, and the deep wisdom of the one who has endured everything.</t>
        </is>
      </c>
      <c r="L72" s="3" t="inlineStr">
        <is>
          <t>The deep, slow rings of an ancient redwood tree, silently recording centuries of drought, fire, and rain in a wooden testament to the magic of time.</t>
        </is>
      </c>
      <c r="M72" s="35" t="inlineStr">
        <is>
          <t>Apache Tears, Hematite, Obsidian, Sapphire, Serpentine</t>
        </is>
      </c>
      <c r="N72" s="36" t="inlineStr">
        <is>
          <t>Lavender</t>
        </is>
      </c>
      <c r="O72" t="inlineStr">
        <is>
          <t>Root, stone, loam and the patient weight of the hill, where old-root law gathers around SATURN. Opens the deeper thread of New beginnings, letting what is buried inside the working show its true face. A presence for spells that need the unseen made speakable.</t>
        </is>
      </c>
      <c r="P72" t="inlineStr">
        <is>
          <t>Root, stone, loam and the patient weight of the hill, with old-root law turning through SATURN. Turns New beginnings, feeding old energy into new growth back into the soil of the spell. A guiding presence when the spell must shift, heal, end or begin.</t>
        </is>
      </c>
      <c r="Q72" t="inlineStr">
        <is>
          <t>God</t>
        </is>
      </c>
    </row>
    <row r="73" ht="61.5" customHeight="1" s="56">
      <c r="A73" s="4" t="inlineStr">
        <is>
          <t>SECH</t>
        </is>
      </c>
      <c r="B73" s="4" t="inlineStr">
        <is>
          <t>Deity</t>
        </is>
      </c>
      <c r="C73" s="4" t="inlineStr">
        <is>
          <t>Feminine</t>
        </is>
      </c>
      <c r="D73" s="4" t="inlineStr">
        <is>
          <t>Earth/Water</t>
        </is>
      </c>
      <c r="E73" s="4" t="inlineStr">
        <is>
          <t>Mercury</t>
        </is>
      </c>
      <c r="F73" s="4" t="inlineStr">
        <is>
          <t>Wednesday</t>
        </is>
      </c>
      <c r="G73" s="4" t="inlineStr">
        <is>
          <t>All Seasons</t>
        </is>
      </c>
      <c r="H73" s="5" t="inlineStr">
        <is>
          <t>New beginnings, Harmony, Healing, Dispelling sickness, Protection, Strength,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Protective charm, Protective charms, Protective sachets, Protective wreaths, Protective incense, PROTECT AGAINST NEGATIVITY, Protection from negativity, Circle protection, Physical Strength, Fortitude, Vitality, Inner power, and strength</t>
        </is>
      </c>
      <c r="I73" s="5" t="inlineStr">
        <is>
          <t>Cedar</t>
        </is>
      </c>
      <c r="J73" s="5" t="inlineStr">
        <is>
          <t>Titaness and Queen of the Amazons.</t>
        </is>
      </c>
      <c r="K73" s="5" t="inlineStr">
        <is>
          <t>An Egyptian deity associated with the sacred geometry and measurement of the earth — linked to the papyrus plant and the precision of sacred scribal arts. In Egyptian tradition, those who measured and mapped the land held a form of divine power — to know the exact boundaries of the earth was to participate in its continued order. Sech embodies the magical principle that number, measure, and proportion are the hidden skeleton of divine creation.</t>
        </is>
      </c>
      <c r="L73" s="5" t="inlineStr">
        <is>
          <t>The steady growth of the papyrus plant in the marsh, its triangular stem holding the sacred geometry used to measure and map the boundaries of the earth.</t>
        </is>
      </c>
      <c r="M73" s="35" t="n"/>
      <c r="N73" s="36" t="inlineStr">
        <is>
          <t>Cedarwood</t>
        </is>
      </c>
      <c r="O73" t="inlineStr">
        <is>
          <t>River hush with root, where quick wind gathers around SECH. Opens proportion are the hidden skeleton of divine creation without forcing it, letting the quiet message under the leaves rise from the green dark. A presence for spells that need the unseen made speakable.</t>
        </is>
      </c>
      <c r="P73" t="inlineStr">
        <is>
          <t>River hush with root, with quick wind turning through SECH. Turns New beginnings, feeding The steady growth of the papyrus plant in the marsh back into the soil of the spell. A guiding presence when the spell must shift, heal, end or begin.</t>
        </is>
      </c>
      <c r="Q73" t="inlineStr">
        <is>
          <t>Goddess</t>
        </is>
      </c>
    </row>
    <row r="74" ht="86.25" customHeight="1" s="56">
      <c r="A74" s="2" t="inlineStr">
        <is>
          <t>SEKHMET</t>
        </is>
      </c>
      <c r="B74" s="2" t="inlineStr">
        <is>
          <t>Deity</t>
        </is>
      </c>
      <c r="C74" s="2" t="inlineStr">
        <is>
          <t>Feminine</t>
        </is>
      </c>
      <c r="D74" s="2" t="inlineStr">
        <is>
          <t>Fire</t>
        </is>
      </c>
      <c r="E74" s="2" t="inlineStr">
        <is>
          <t>Sun/Mars</t>
        </is>
      </c>
      <c r="F74" s="2" t="inlineStr">
        <is>
          <t>Sunday</t>
        </is>
      </c>
      <c r="G74" s="2" t="inlineStr">
        <is>
          <t>Summer</t>
        </is>
      </c>
      <c r="H74" s="3" t="inlineStr">
        <is>
          <t>New beginnings, Sun God offerings, Confidence, Luck, Dispelling sickness, Strength, Harmony, Happiness,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Self-confidence, Courage,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Joy, Joyous celebrations, Contentment, Healing magic, Healing spells, Healing sachets, Healing incenses, Healing mixtures, Healing rituals, Healing incense, Healing vibrations, healing after surgery, Aiding recovery, Aiding the ill, Improving health, Speeding recovery, Good health, health</t>
        </is>
      </c>
      <c r="I74" s="3" t="inlineStr">
        <is>
          <t>Frankincense, Myrrh, Lotus</t>
        </is>
      </c>
      <c r="J74" s="3" t="inlineStr">
        <is>
          <t>Babylonian chaos goddess/primordial ocean.</t>
        </is>
      </c>
      <c r="K74" s="3" t="inlineStr">
        <is>
          <t>Egyptian lioness goddess of war, plague, and the destructive power of the sun. Ra sent her to destroy humanity when they rebelled against him — and she became so frenzied in the killing that she could not be stopped. Only 7,000 vessels of red beer, poured across the earth to look like blood, tricked her into drinking until she was too drunk to continue. The Egyptians thereafter held annual festivals of drunkenness in her honour to prevent her return. She was also a great healer — her priests were the first physicians of Egypt, understanding that the one who brings illness can also cure it.</t>
        </is>
      </c>
      <c r="L74" s="3" t="inlineStr">
        <is>
          <t>The fierce, sweltering heat of the desert wind and the protective lioness hunting in the tall, dry savanna grass, wielding the sun's destructive and healing fire.</t>
        </is>
      </c>
      <c r="M74" s="35" t="n"/>
      <c r="N74" s="36" t="n"/>
      <c r="O74" t="inlineStr">
        <is>
          <t>Coal-bright heat, sunlit bark and the spark under leaf-mould, where sun-strength gathers around SEKHMET. Opens the deeper thread of New beginnings, letting what is buried inside the working show its true face. A presence for spells that need the unseen made speakable.</t>
        </is>
      </c>
      <c r="P74" t="inlineStr">
        <is>
          <t>Coal-bright heat, sunlit bark and the spark under leaf-mould, with sun-strength turning through SEKHMET. Turns New beginnings, feeding Dispelling sickness back into the soil of the spell. A guiding presence when the spell must shift, heal, end or begin.</t>
        </is>
      </c>
      <c r="Q74" t="inlineStr">
        <is>
          <t>Goddess</t>
        </is>
      </c>
    </row>
    <row r="75" ht="74.25" customHeight="1" s="56">
      <c r="A75" s="4" t="inlineStr">
        <is>
          <t>SELENE</t>
        </is>
      </c>
      <c r="B75" s="4" t="inlineStr">
        <is>
          <t>Deity</t>
        </is>
      </c>
      <c r="C75" s="4" t="inlineStr">
        <is>
          <t>Feminine</t>
        </is>
      </c>
      <c r="D75" s="4" t="inlineStr">
        <is>
          <t>Water</t>
        </is>
      </c>
      <c r="E75" s="4" t="inlineStr">
        <is>
          <t>Moon</t>
        </is>
      </c>
      <c r="F75" s="4" t="inlineStr">
        <is>
          <t>Monday</t>
        </is>
      </c>
      <c r="G75" s="4" t="inlineStr">
        <is>
          <t>All Seasons</t>
        </is>
      </c>
      <c r="H75" s="5" t="inlineStr">
        <is>
          <t>Divination, New beginnings, Prophetic dreams, Sun God offerings, Luck, Love rituals, Star magick, Love, Aphrodisiac, Harmony, Happiness, Clairvoyance, Attraction, Love spells,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Joy, Joyous celebrations, Contentment,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75" s="5" t="inlineStr">
        <is>
          <t>Jasmine, Moonflower</t>
        </is>
      </c>
      <c r="J75" s="5" t="inlineStr">
        <is>
          <t>Archetypal divine feminine.</t>
        </is>
      </c>
      <c r="K75" s="5" t="inlineStr">
        <is>
          <t>Greek goddess of the full moon who drove her silver chariot pulled by white horses across the night sky. She fell in love with the shepherd Endymion and asked Zeus to grant him eternal sleep so she could visit him each night on Mount Latmos. She had fifty daughters from this sleeping union. As the goddess of the full moon, her light was used for all significan't nocturnal magic. She was petitioned for love spells, and the Thessalian witches were famous for 'drawing down the moon' — compelling her to descend to earth with their powerful incan'tations.</t>
        </is>
      </c>
      <c r="L75" s="5" t="inlineStr">
        <is>
          <t>The pale, glowing moonstone buried in the dark earth, resonating quietly with the tidal pull of the ocean and the rhythmic blooming of nocturnal flora.</t>
        </is>
      </c>
      <c r="M75" s="35" t="inlineStr">
        <is>
          <t>Aquamarine, Calcite, Howlite, Jet, Moonstone, quartz rutilated, quartz smokey, quartz snow</t>
        </is>
      </c>
      <c r="N75" s="36" t="inlineStr">
        <is>
          <t>Lemon</t>
        </is>
      </c>
      <c r="O75" t="inlineStr">
        <is>
          <t>River hush, moonlit pools and the soft pull of tide, where moon-sight gathers around SELENE. Opens Divination without forcing it, letting Prophetic dreams rise from the green dark. A presence for spells that need the unseen made speakable.</t>
        </is>
      </c>
      <c r="P75" t="inlineStr">
        <is>
          <t>River hush, moonlit pools and the soft pull of tide, with moon-sight turning through SELENE. Turns New beginnings, feeding old energy into new growth back into the soil of the spell. A guiding presence when the spell must shift, heal, end or begin.</t>
        </is>
      </c>
      <c r="Q75" t="inlineStr">
        <is>
          <t>Goddess</t>
        </is>
      </c>
    </row>
    <row r="76" ht="86.25" customHeight="1" s="56">
      <c r="A76" s="2" t="inlineStr">
        <is>
          <t>SHIVA</t>
        </is>
      </c>
      <c r="B76" s="2" t="inlineStr">
        <is>
          <t>Deity</t>
        </is>
      </c>
      <c r="C76" s="2" t="inlineStr">
        <is>
          <t>Masculine</t>
        </is>
      </c>
      <c r="D76" s="2" t="inlineStr">
        <is>
          <t>Fire/Earth</t>
        </is>
      </c>
      <c r="E76" s="2" t="inlineStr">
        <is>
          <t>Mars/Saturn</t>
        </is>
      </c>
      <c r="F76" s="2" t="inlineStr">
        <is>
          <t>Tuesday</t>
        </is>
      </c>
      <c r="G76" s="2" t="inlineStr">
        <is>
          <t>All Seasons</t>
        </is>
      </c>
      <c r="H76" s="3" t="inlineStr">
        <is>
          <t>New beginnings, Confidence, Protection, Protection (hexes/evil), Love rituals, Love, Aphrodisiac, Banishing, Warding, Strength,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Attracting a mate, Attracting a soulmate, Conjuring a lover, HELP ATTRACT OPPOSITE SEX, Finding future love</t>
        </is>
      </c>
      <c r="I76" s="3" t="inlineStr">
        <is>
          <t>Datura, Lotus, Bilva</t>
        </is>
      </c>
      <c r="J76" s="3" t="inlineStr">
        <is>
          <t>Norse god of thunder and protection.</t>
        </is>
      </c>
      <c r="K76" s="3" t="inlineStr">
        <is>
          <t>Hindu god of destruction and transformation — one of the most powerful deities in the cosmos, whose magic includes the ability to dissolve the universe itself at the end of each cosmic age. He is simultaneously the ascetic yogi who contains all fire within stillness, and the Nataraja — Lord of the Dance — whose cosmic dance maintains the rhythm of the universe. His third eye burns with the fire of transcendent wisdom; his opening it destroyed the god of love, Kama. He holds the trident, the drum of creation, fire, and the cobra, and dances on the dwarf of ignorance.</t>
        </is>
      </c>
      <c r="L76" s="3" t="inlineStr">
        <is>
          <t>The wild, cosmic dance that destroys the decaying, overgrown forest, reducing the rot to ash so that the soil may be purified for new, vibrant creation.</t>
        </is>
      </c>
      <c r="M76" s="35" t="n"/>
      <c r="N76" s="36" t="n"/>
      <c r="O76" t="inlineStr">
        <is>
          <t>Coal-bright heat with root, where thorn-fire gathers around SHIVA. Opens the deeper thread of New beginnings, letting what is buried inside the working show its true face. A presence for spells that need the unseen made speakable.</t>
        </is>
      </c>
      <c r="P76" t="inlineStr">
        <is>
          <t>Coal-bright heat with root, with thorn-fire turning through SHIVA. Turns New beginnings, feeding Protection (hexes/evil) back into the soil of the spell. A guiding presence when the spell must shift, heal, end or begin.</t>
        </is>
      </c>
      <c r="Q76" t="inlineStr">
        <is>
          <t>God</t>
        </is>
      </c>
    </row>
    <row r="77" ht="74.25" customHeight="1" s="56">
      <c r="A77" s="4" t="inlineStr">
        <is>
          <t>SOL</t>
        </is>
      </c>
      <c r="B77" s="4" t="inlineStr">
        <is>
          <t>Deity</t>
        </is>
      </c>
      <c r="C77" s="4" t="inlineStr">
        <is>
          <t>Masculine</t>
        </is>
      </c>
      <c r="D77" s="4" t="inlineStr">
        <is>
          <t>Fire</t>
        </is>
      </c>
      <c r="E77" s="4" t="inlineStr">
        <is>
          <t>Sun</t>
        </is>
      </c>
      <c r="F77" s="4" t="inlineStr">
        <is>
          <t>Sunday</t>
        </is>
      </c>
      <c r="G77" s="4" t="inlineStr">
        <is>
          <t>Summer</t>
        </is>
      </c>
      <c r="H77" s="5" t="inlineStr">
        <is>
          <t>Divination, Prophetic dreams, Confidence, Sun God offerings, Luck, Love rituals, Star magick, Love, Aphrodisiac, Strength, Happiness, Clairvoyance, Attraction, Love spells,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77" s="5" t="inlineStr">
        <is>
          <t>Sunflower, Bay Laurel</t>
        </is>
      </c>
      <c r="J77" s="5" t="inlineStr">
        <is>
          <t>Roman goddess of love and beauty.</t>
        </is>
      </c>
      <c r="K77" s="5" t="inlineStr">
        <is>
          <t>The Roman solar deity, personification of the sun's raw, life-giving power. Sol Invictus — the Unconquered Sun — was Rome's last great pagan deity before Christianity, whose December 25th festival of rebirth was absorbed into the Christmas calendar. His magic was the life-force itself: the photonic energy that drives all growth, the warmth that thaws frozen ground, and the golden light that separates day from night. Roman emperors identified with Sol as a claim to divine, unconquerable power.</t>
        </is>
      </c>
      <c r="L77" s="5" t="inlineStr">
        <is>
          <t>The bright, golden sunflowers turning their heavy heads in perfect unison across the field, faithfully tracking the source of life from dawn until dusk.</t>
        </is>
      </c>
      <c r="M77" s="35" t="inlineStr">
        <is>
          <t>Ametrine, Quartz Clear, Sunstone, Tiger Eye gold, Topaz, Amber</t>
        </is>
      </c>
      <c r="N77" s="36" t="inlineStr">
        <is>
          <t>Frankincense, Orange Bitter</t>
        </is>
      </c>
      <c r="O77" t="inlineStr">
        <is>
          <t>Coal-bright heat, sunlit bark and the spark under leaf-mould, where sun-strength gathers around SOL. Opens Divination without forcing it, letting Prophetic dreams rise from the green dark. A presence for spells that need the unseen made speakable.</t>
        </is>
      </c>
      <c r="P77" t="inlineStr">
        <is>
          <t>Coal-bright heat, sunlit bark and the spark under leaf-mould, with sun-strength turning through SOL. Turns Strength, feeding old energy into new growth back into the soil of the spell. A guiding presence when the spell must shift, heal, end or begin.</t>
        </is>
      </c>
      <c r="Q77" t="inlineStr">
        <is>
          <t>God</t>
        </is>
      </c>
    </row>
    <row r="78" ht="74.25" customHeight="1" s="56">
      <c r="A78" s="2" t="inlineStr">
        <is>
          <t>SOPHIA</t>
        </is>
      </c>
      <c r="B78" s="2" t="inlineStr">
        <is>
          <t>Archetype</t>
        </is>
      </c>
      <c r="C78" s="2" t="inlineStr">
        <is>
          <t>Feminine</t>
        </is>
      </c>
      <c r="D78" s="2" t="inlineStr">
        <is>
          <t>Air</t>
        </is>
      </c>
      <c r="E78" s="2" t="inlineStr">
        <is>
          <t>Mercury</t>
        </is>
      </c>
      <c r="F78" s="2" t="inlineStr">
        <is>
          <t>Wednesday</t>
        </is>
      </c>
      <c r="G78" s="2" t="inlineStr">
        <is>
          <t>All Seasons</t>
        </is>
      </c>
      <c r="H78" s="3" t="inlineStr">
        <is>
          <t>New beginnings, Harmony, Wisdom, Clairvoyance, Divination, Truth, Magical power, Star magick,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Knowledge, Intelligence, Intuition, Mental clarity, Sharpening the wits, Sharpening the brain, Mental powers, MEM, Memory, Illumination, Enlightenment,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Prophetic dreams, Invoking dreams, Dream work, Dreams, Visions, Seeing the unseen, Seeing manifestations, Honesty, Removing deception, Subconscious work, Digging into the subconscious, Uprooting what is hidden, Treasure seeking, Lost object finding, Increasing magical power, Increasing spell power, Power amplification, Bolstering spells, Bolstering incense, Strengthening spells, Potency, Power, Magic, WISDOM IN MAGICK, defensive magic</t>
        </is>
      </c>
      <c r="I78" s="3" t="inlineStr">
        <is>
          <t>Lotus, Rose</t>
        </is>
      </c>
      <c r="J78" s="3" t="inlineStr">
        <is>
          <t>Ancient personification of truth/speech.</t>
        </is>
      </c>
      <c r="K78" s="3" t="inlineStr">
        <is>
          <t>The Greek/Gnostic personification of divine wisdom — the feminine principle of cosmic intelligence through which God created the world. In Gnostic cosmology, Sophia's longing and self-expression gave rise to the material universe. She is the breath of God upon the waters, the fractal intelligence woven into nature's patterns, the sacred geometry hidden in the spiral of every fern and the structure of every honeycomb. She is wisdom that is not merely intellectual but experiential, embodied, and transformative.</t>
        </is>
      </c>
      <c r="L78" s="3" t="inlineStr">
        <is>
          <t>The intricate, fractal patterns found in the unfolding spiral of a fern frond and the sacred geometry of a honeycomb, revealing the divine wisdom woven into nature.</t>
        </is>
      </c>
      <c r="M78" s="35" t="n"/>
      <c r="N78" s="36" t="n"/>
      <c r="O78" t="inlineStr">
        <is>
          <t>Wind in high branches, birdcall and breath through leaves, where quick wind gathers around SOPHIA. Opens revealing the divine wisdom woven into nature without forcing it, letting the quiet message under the leaves rise from the green dark. A presence for spells that need the unseen made speakable.</t>
        </is>
      </c>
      <c r="P78" t="inlineStr">
        <is>
          <t>Wind in high branches, birdcall and breath through leaves, with quick wind turning through SOPHIA. Turns New beginnings, feeding transformative back into the soil of the spell. A guiding presence when the spell must shift, heal, end or begin.</t>
        </is>
      </c>
      <c r="Q78" t="inlineStr">
        <is>
          <t>Goddess</t>
        </is>
      </c>
    </row>
    <row r="79" ht="74.25" customHeight="1" s="56">
      <c r="A79" s="4" t="inlineStr">
        <is>
          <t>TAIMAT</t>
        </is>
      </c>
      <c r="B79" s="4" t="inlineStr">
        <is>
          <t>Deity</t>
        </is>
      </c>
      <c r="C79" s="4" t="inlineStr">
        <is>
          <t>Feminine</t>
        </is>
      </c>
      <c r="D79" s="4" t="inlineStr">
        <is>
          <t>Water</t>
        </is>
      </c>
      <c r="E79" s="4" t="inlineStr">
        <is>
          <t>Moon</t>
        </is>
      </c>
      <c r="F79" s="4" t="inlineStr">
        <is>
          <t>Monday</t>
        </is>
      </c>
      <c r="G79" s="4" t="inlineStr">
        <is>
          <t>All Seasons</t>
        </is>
      </c>
      <c r="H79" s="5" t="inlineStr">
        <is>
          <t>New beginnings, Harmony, Prosperity, Fertility, Strength, Contacting planes, Otherworld travel,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79" s="5" t="inlineStr">
        <is>
          <t>Sea Salt (Mineral, Herb blend), Willow</t>
        </is>
      </c>
      <c r="J79" s="5" t="inlineStr">
        <is>
          <t>Variant spelling of Vac (Speech).</t>
        </is>
      </c>
      <c r="K79" s="5" t="inlineStr">
        <is>
          <t>Babylonian primordial goddess of the salt ocean whose body was the original substance of creation. In the Enuma Elish, the young god Marduk defeated her in cosmic battle, splitting her body in two — the upper half becoming the sky, the lower half the earth, her tears the rivers, her eyes the sources of the Tigris and Euphrates. She had birthed the first generation of gods from her union with Apsu (fresh water). Her death was not an ending but the birth of the ordered cosmos from primordial creative power.</t>
        </is>
      </c>
      <c r="L79" s="5" t="inlineStr">
        <is>
          <t>The chaotic, swirling, primordial saltwater oceans from which all life originally crawled, teeming with monstrous, beautiful, and ancient deep-sea magic.</t>
        </is>
      </c>
      <c r="M79" s="35" t="inlineStr">
        <is>
          <t>Amazonite</t>
        </is>
      </c>
      <c r="N79" s="36" t="n"/>
      <c r="O79" t="inlineStr">
        <is>
          <t>River hush, moonlit pools and the soft pull of tide, where moon-sight gathers around TAIMAT. Opens the deeper thread of New beginnings, letting what is buried inside the working show its true face. A presence for spells that need the unseen made speakable.</t>
        </is>
      </c>
      <c r="P79" t="inlineStr">
        <is>
          <t>River hush, moonlit pools and the soft pull of tide, with moon-sight turning through TAIMAT. Turns New beginnings, feeding old energy into new growth back into the soil of the spell. A guiding presence when the spell must shift, heal, end or begin.</t>
        </is>
      </c>
      <c r="Q79" t="inlineStr">
        <is>
          <t>Goddess</t>
        </is>
      </c>
    </row>
    <row r="80" ht="74.25" customHeight="1" s="56">
      <c r="A80" s="2" t="inlineStr">
        <is>
          <t>THE GREAT MOTHER</t>
        </is>
      </c>
      <c r="B80" s="2" t="inlineStr">
        <is>
          <t>Deity</t>
        </is>
      </c>
      <c r="C80" s="2" t="inlineStr">
        <is>
          <t>Feminine</t>
        </is>
      </c>
      <c r="D80" s="2" t="inlineStr">
        <is>
          <t>Earth/Water</t>
        </is>
      </c>
      <c r="E80" s="2" t="inlineStr">
        <is>
          <t>Moon</t>
        </is>
      </c>
      <c r="F80" s="2" t="inlineStr">
        <is>
          <t>Monday</t>
        </is>
      </c>
      <c r="G80" s="2" t="inlineStr">
        <is>
          <t>All Seasons</t>
        </is>
      </c>
      <c r="H80" s="3" t="inlineStr">
        <is>
          <t>New beginnings, Harmony, Fertility, Healing, Protection, Prosperity, Strength, Samhain/ancestral altars,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Protective charm, Protective charms, Protective sachets, Protective wreaths, Protective incense, PROTECT AGAINST NEGATIVITY, Protection from negativity, Circle protection, Physical Strength, Fortitude, Vitality, Inner power, and strength,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80" s="3" t="inlineStr">
        <is>
          <t>Rose, Mugw, Amulets/talismans</t>
        </is>
      </c>
      <c r="J80" s="3" t="inlineStr">
        <is>
          <t>Roman goddess of the hearth and home.</t>
        </is>
      </c>
      <c r="K80" s="3" t="inlineStr">
        <is>
          <t>The universal cosmic mother from whom all existence emerges and into whom all things return — the endless source. She appears in every tradition: as Gaia, as Nuit, as Aditi in Hinduism, as Nut in Egypt, as the primal deep of Genesis. Her magic is absolute — the power of pure, unconditional creative generativity. She is the delta where all waters meet, the fertile ground of all possibility, the mystery that precedes all named deities and contains them all within herself.</t>
        </is>
      </c>
      <c r="L80" s="3" t="inlineStr">
        <is>
          <t>The fertile, muddy delta where the freshwater river meets the salty sea, creating a rich, brackish nursery where countless species of fish and birds are born.</t>
        </is>
      </c>
      <c r="M80" s="35" t="n"/>
      <c r="N80" s="36" t="n"/>
      <c r="O80" t="inlineStr">
        <is>
          <t>River hush with root, where moon-sight gathers around THE GREAT MOTHER. Opens the deeper thread of New beginnings, letting what is buried inside the working show its true face. A presence for spells that need the unseen made speakable.</t>
        </is>
      </c>
      <c r="P80" t="inlineStr">
        <is>
          <t>River hush with root, with moon-sight turning through THE GREAT MOTHER. Turns New beginnings, feeding old energy into new growth back into the soil of the spell. A guiding presence when the spell must shift, heal, end or begin.</t>
        </is>
      </c>
      <c r="Q80" t="inlineStr">
        <is>
          <t>Goddess</t>
        </is>
      </c>
    </row>
    <row r="81" ht="86.25" customHeight="1" s="56">
      <c r="A81" s="4" t="inlineStr">
        <is>
          <t>THOR</t>
        </is>
      </c>
      <c r="B81" s="4" t="inlineStr">
        <is>
          <t>Deity</t>
        </is>
      </c>
      <c r="C81" s="4" t="inlineStr">
        <is>
          <t>Masculine</t>
        </is>
      </c>
      <c r="D81" s="4" t="inlineStr">
        <is>
          <t>Fire/Air</t>
        </is>
      </c>
      <c r="E81" s="4" t="inlineStr">
        <is>
          <t>Jupiter</t>
        </is>
      </c>
      <c r="F81" s="4" t="inlineStr">
        <is>
          <t>Thursday</t>
        </is>
      </c>
      <c r="G81" s="4" t="inlineStr">
        <is>
          <t>Summer</t>
        </is>
      </c>
      <c r="H81" s="5" t="inlineStr">
        <is>
          <t>New beginnings, Confidence, Sun God offerings, Protection, Protection (hexes/evil), Luck, Love rituals, Love, Aphrodisiac, Banishing, Warding, Strength, Harmony, Happiness,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Joy, Joyous celebrations, Contentment, Attracting a mate, Attracting a soulmate, Conjuring a lover, HELP ATTRACT OPPOSITE SEX, Finding future love</t>
        </is>
      </c>
      <c r="I81" s="5" t="inlineStr">
        <is>
          <t>Oak, Houseleek</t>
        </is>
      </c>
      <c r="J81" s="5" t="inlineStr">
        <is>
          <t>Preserver god in the Hindu trinity.</t>
        </is>
      </c>
      <c r="K81" s="5" t="inlineStr">
        <is>
          <t>Norse god of thunder, lightning, and the protection of humanity whose most famous magical implement was Mjolnir — the great hammer that could level mountains and return to his hand after being thrown. He wore the belt Megingjörð, which doubled his already immense strength, and iron gloves to wield Mjolnir. He drove his chariot pulled by the goats Tanngrisnir and Tanngnjóstr across the sky — their hoofbeats creating thunder. He was also a god of consecration: Mjolnir was used in blessing marriages and births, making his destructive force equally sacred and creative.</t>
        </is>
      </c>
      <c r="L81" s="5" t="inlineStr">
        <is>
          <t>The sudden, booming thunderclap that precedes a heavy summer rainstorm, shaking the mighty oak trees and electrifying the earth's magnetic field to feed the soil.</t>
        </is>
      </c>
      <c r="M81" s="35" t="inlineStr">
        <is>
          <t>Amethyst, Bloodstone, Iolite, Lepidolite, Pyrite (Fool's Gold), Red Jasper, Rhodocrosite, Rhodonite, Ruby, Sodalite, Yellow Aventurine</t>
        </is>
      </c>
      <c r="N81" s="36" t="n"/>
      <c r="O81" t="inlineStr">
        <is>
          <t>Coal-bright heat with wind in high branches, where oak-wide growth gathers around THOR. Opens the deeper thread of New beginnings, letting what is buried inside the working show its true face. A presence for spells that need the unseen made speakable.</t>
        </is>
      </c>
      <c r="P81" t="inlineStr">
        <is>
          <t>Coal-bright heat with wind in high branches, with oak-wide growth turning through THOR. Turns New beginnings, feeding Protection (hexes/evil) back into the soil of the spell. A guiding presence when the spell must shift, heal, end or begin.</t>
        </is>
      </c>
      <c r="Q81" t="inlineStr">
        <is>
          <t>God</t>
        </is>
      </c>
    </row>
    <row r="82" ht="74.25" customHeight="1" s="56">
      <c r="A82" s="2" t="inlineStr">
        <is>
          <t>TITIANA</t>
        </is>
      </c>
      <c r="B82" s="2" t="inlineStr">
        <is>
          <t>Deity</t>
        </is>
      </c>
      <c r="C82" s="2" t="inlineStr">
        <is>
          <t>Feminine</t>
        </is>
      </c>
      <c r="D82" s="2" t="inlineStr">
        <is>
          <t>Earth/Air</t>
        </is>
      </c>
      <c r="E82" s="2" t="inlineStr">
        <is>
          <t>Moon</t>
        </is>
      </c>
      <c r="F82" s="2" t="inlineStr">
        <is>
          <t>Monday</t>
        </is>
      </c>
      <c r="G82" s="2" t="inlineStr">
        <is>
          <t>Summer</t>
        </is>
      </c>
      <c r="H82" s="3" t="inlineStr">
        <is>
          <t>Divination, New beginnings, Fruitfulness, Prophetic dreams, Sun God offerings, Luck, Spirit offerings, Mabon/Samhain, Samhain/ancestral altars, Happiness, Star magick, Increasing wealth, Contacting planes,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Joy, Joyous celebrations, Contentment, Enhancing clairvoyance, Psychic development, Psychic powers, INCREASE PSYCHIC ABILITIES, Psychic awareness, Stimulating psychic senses, Disabling psychic phenomena, Psychic communication, communication and psychic abilities</t>
        </is>
      </c>
      <c r="I82" s="3" t="inlineStr">
        <is>
          <t>Lavender, Rose</t>
        </is>
      </c>
      <c r="J82" s="3" t="inlineStr">
        <is>
          <t>Greek king of the gods.</t>
        </is>
      </c>
      <c r="K82" s="3" t="inlineStr">
        <is>
          <t>A variant of Titania — Queen of the Fairies in English folklore and Shakespeare's 'A Midsummer Night's Dream'. Her magic is the secret, miniature world of the fairy court: the glamour that makes the ordinary world shimmer with hidden enchantment, the power to bless or blight crops and children, and the sovereign command over all the spirits of the natural world. She rules the fairy rings, the dew on midnight grass, and the liminal spaces between the human world and the otherworld.</t>
        </is>
      </c>
      <c r="L82" s="3" t="inlineStr">
        <is>
          <t>The hidden fairy rings of white mushrooms sprouting in the damp grass, guarding the secretive, miniature magic of beetles, dew drops, and moss.</t>
        </is>
      </c>
      <c r="M82" s="35" t="n"/>
      <c r="N82" s="36" t="inlineStr">
        <is>
          <t>Thyme</t>
        </is>
      </c>
      <c r="O82" t="inlineStr">
        <is>
          <t>Wind in high branches with root, where moon-sight gathers around TITIANA. Opens Divination without forcing it, letting Prophetic dreams rise from the green dark. A presence for spells that need the unseen made speakable.</t>
        </is>
      </c>
      <c r="P82" t="inlineStr">
        <is>
          <t>Wind in high branches with root, with moon-sight turning through TITIANA. Turns New beginnings, feeding old energy into new growth back into the soil of the spell. A guiding presence when the spell must shift, heal, end or begin.</t>
        </is>
      </c>
      <c r="Q82" t="inlineStr">
        <is>
          <t>Goddess</t>
        </is>
      </c>
    </row>
    <row r="83" ht="74.25" customHeight="1" s="56">
      <c r="A83" s="4" t="inlineStr">
        <is>
          <t>VAC</t>
        </is>
      </c>
      <c r="B83" s="4" t="inlineStr">
        <is>
          <t>Deity</t>
        </is>
      </c>
      <c r="C83" s="4" t="inlineStr">
        <is>
          <t>Feminine</t>
        </is>
      </c>
      <c r="D83" s="4" t="inlineStr">
        <is>
          <t>Air</t>
        </is>
      </c>
      <c r="E83" s="4" t="inlineStr">
        <is>
          <t>Mercury</t>
        </is>
      </c>
      <c r="F83" s="4" t="inlineStr">
        <is>
          <t>Wednesday</t>
        </is>
      </c>
      <c r="G83" s="4" t="inlineStr">
        <is>
          <t>All Seasons</t>
        </is>
      </c>
      <c r="H83" s="5" t="inlineStr">
        <is>
          <t>Magical power, General Rituals, Wisdom, Clairvoyance, Divination, Truth, Communication, Star magick, Increasing magical power, Increasing spell power, Power amplification, Bolstering spells, Bolstering incense, Strengthening spells, Potency, Power, Magic, WISDOM IN MAGICK, defensive magic,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Prophetic dreams, Invoking dreams, Dream work, Dreams, Visions, Seeing the unseen, Seeing manifestations,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I83" s="5" t="inlineStr">
        <is>
          <t>Lotus</t>
        </is>
      </c>
      <c r="J83" s="5" t="inlineStr">
        <is>
          <t>Placeholder/General indicator.</t>
        </is>
      </c>
      <c r="K83" s="5" t="inlineStr">
        <is>
          <t>Sanskrit goddess of the sacred spoken word — the personification of speech, language, and mantra whose voice is the creative force of the universe. In the Rigveda she declares 'I am the Queen who gathers together the treasure of the universe.' She is the living power behind all sacred sound: every mantra, every hymn, every sacred syllable of Om. Her magic is the primordial understanding that language is not merely descriptive but creative — the spoken word does not describe reality, it generates it.</t>
        </is>
      </c>
      <c r="L83" s="5" t="inlineStr">
        <is>
          <t>The resonant vibration of sound traveling through the dense forest canopy, where the hum of the wind through the leaves is the sacred, spoken word of creation itself.</t>
        </is>
      </c>
      <c r="M83" s="35" t="n"/>
      <c r="N83" s="36" t="n"/>
      <c r="O83" t="inlineStr">
        <is>
          <t>Wind in high branches, birdcall and breath through leaves, where quick wind gathers around VAC. Opens the deeper thread of Magical power, letting what is buried inside the working show its true face. A presence for spells that need the unseen made speakable.</t>
        </is>
      </c>
      <c r="P83" t="inlineStr">
        <is>
          <t>Wind in high branches, birdcall and breath through leaves, with quick wind turning through VAC. Turns the spell through Magical power, moving its energy from what was into what must grow next. A guiding presence when the spell must shift, heal, end or begin.</t>
        </is>
      </c>
      <c r="Q83" t="inlineStr">
        <is>
          <t>Goddess</t>
        </is>
      </c>
    </row>
    <row r="84" ht="61.5" customHeight="1" s="56">
      <c r="A84" s="2" t="inlineStr">
        <is>
          <t>VAK</t>
        </is>
      </c>
      <c r="B84" s="2" t="inlineStr">
        <is>
          <t>Deity</t>
        </is>
      </c>
      <c r="C84" s="2" t="inlineStr">
        <is>
          <t>Feminine</t>
        </is>
      </c>
      <c r="D84" s="2" t="inlineStr">
        <is>
          <t>Air/Water</t>
        </is>
      </c>
      <c r="E84" s="2" t="inlineStr">
        <is>
          <t>Mercury</t>
        </is>
      </c>
      <c r="F84" s="2" t="inlineStr">
        <is>
          <t>Wednesday</t>
        </is>
      </c>
      <c r="G84" s="2" t="inlineStr">
        <is>
          <t>All Seasons</t>
        </is>
      </c>
      <c r="H84" s="3" t="inlineStr">
        <is>
          <t>Magical power, General Rituals, Wisdom, Clairvoyance, Divination, Truth, Communication, Star magick, Increasing magical power, Increasing spell power, Power amplification, Bolstering spells, Bolstering incense, Strengthening spells, Potency, Power, Magic, WISDOM IN MAGICK, defensive magic,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Prophetic dreams, Invoking dreams, Dream work, Dreams, Visions, Seeing the unseen, Seeing manifestations,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I84" s="3" t="inlineStr">
        <is>
          <t>Lotus</t>
        </is>
      </c>
      <c r="J84" s="3" t="inlineStr">
        <is>
          <t>Group identifier for all goddesses.</t>
        </is>
      </c>
      <c r="K84" s="3" t="inlineStr">
        <is>
          <t>A variant of Vac — the Vedic goddess of sacred speech and the power of the word. As the river of sound flowing through the cosmos, Vak carries the resonance of divine creation in her current. The chanting of sacred hymns is her body; the breath of the priest is her presence. She is the magical principle that to name a thing is to know it, and to know a thing is to participate in its creation. The universe speaks itself into being through her voice.</t>
        </is>
      </c>
      <c r="L84" s="3" t="inlineStr">
        <is>
          <t>The rhythmic rushing of the river over smooth river-stones, chanting an endless, watery mantra that patiently carves grand valleys over millennia.</t>
        </is>
      </c>
      <c r="M84" s="35" t="n"/>
      <c r="N84" s="36" t="n"/>
      <c r="O84" t="inlineStr">
        <is>
          <t>River hush with wind in high branches, where quick wind gathers around VAK. Opens The universe speaks itself into being through her voice without forcing it, letting the quiet message under the leaves rise from the green dark. A presence for spells that need the unseen made speakable.</t>
        </is>
      </c>
      <c r="P84" t="inlineStr">
        <is>
          <t>River hush with wind in high branches, with quick wind turning through VAK. Turns the spell through Magical power, moving its energy from what was into what must grow next. A guiding presence when the spell must shift, heal, end or begin.</t>
        </is>
      </c>
      <c r="Q84" t="inlineStr">
        <is>
          <t>Goddess</t>
        </is>
      </c>
    </row>
    <row r="85" ht="86.25" customHeight="1" s="56">
      <c r="A85" s="4" t="inlineStr">
        <is>
          <t>VENUS</t>
        </is>
      </c>
      <c r="B85" s="4" t="inlineStr">
        <is>
          <t>Deity</t>
        </is>
      </c>
      <c r="C85" s="4" t="inlineStr">
        <is>
          <t>Feminine</t>
        </is>
      </c>
      <c r="D85" s="4" t="inlineStr">
        <is>
          <t>Water/Earth</t>
        </is>
      </c>
      <c r="E85" s="4" t="inlineStr">
        <is>
          <t>Venus</t>
        </is>
      </c>
      <c r="F85" s="4" t="inlineStr">
        <is>
          <t>Friday</t>
        </is>
      </c>
      <c r="G85" s="4" t="inlineStr">
        <is>
          <t>Spring</t>
        </is>
      </c>
      <c r="H85" s="5" t="inlineStr">
        <is>
          <t>Divination, New beginnings, Prophetic dreams, Spirit offerings, Mabon/Samhain, Samhain/ancestral altars, Love rituals, Star magick, Love, Aphrodisiac, Contacting planes, Harmony, Peace, Clairvoyance, Attraction, Love spells,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85" s="5" t="inlineStr">
        <is>
          <t>Rose, Apple Blossom, Vervain</t>
        </is>
      </c>
      <c r="J85" s="5" t="inlineStr">
        <is>
          <t>Group identifier for lunar goddesses.</t>
        </is>
      </c>
      <c r="K85" s="5" t="inlineStr">
        <is>
          <t>Roman goddess of love, beauty, desire, and the creative force that holds all relationships together. She was born from the sea-foam and arrived on the shores of Cyprus on a scallop shell. Her magic was the irresistible force of attraction — her golden girdle could make any who saw it fall hopelessly in love. She protected Rome as the divine mother of Aeneas, the legendary ancestor of the Roman people. Her son Cupid carried her power into the world on winged arrows, and her sacred mirror, myrtle, and dove were used in love magic across the ancient world.</t>
        </is>
      </c>
      <c r="L85" s="5" t="inlineStr">
        <is>
          <t>The delicate, unfolding pink petals of the damask rose and the ripe, sweet juice of the apple, embodying the lush, sensory pleasure of the overgrown garden.</t>
        </is>
      </c>
      <c r="M85" s="35" t="inlineStr">
        <is>
          <t>Chrysocolla, chrysophase, Copper flakes, Emerald, Fuchsite, Goldstone, Jade (jadeite), Lapis Lazuli, Lodestone, Malachite, Onyx, Peridot, Seraphinite, Unakite</t>
        </is>
      </c>
      <c r="N85" s="36" t="inlineStr">
        <is>
          <t>Frankincense, Geranium, Marjoram, Pine, Thyme, Vanilla, Ylang Ylang, Ginger</t>
        </is>
      </c>
      <c r="O85" t="inlineStr">
        <is>
          <t>River hush with root, where heart-drawing gathers around VENUS. Opens Divination without forcing it, letting Prophetic dreams rise from the green dark. A presence for spells that need the unseen made speakable.</t>
        </is>
      </c>
      <c r="P85" t="inlineStr">
        <is>
          <t>River hush with root, with heart-drawing turning through VENUS. Turns New beginnings, feeding old energy into new growth back into the soil of the spell. A guiding presence when the spell must shift, heal, end or begin.</t>
        </is>
      </c>
      <c r="Q85" t="inlineStr">
        <is>
          <t>Goddess</t>
        </is>
      </c>
    </row>
    <row r="86" ht="74.25" customHeight="1" s="56">
      <c r="A86" s="2" t="inlineStr">
        <is>
          <t>VESTA</t>
        </is>
      </c>
      <c r="B86" s="2" t="inlineStr">
        <is>
          <t>Concept</t>
        </is>
      </c>
      <c r="C86" s="2" t="inlineStr">
        <is>
          <t>Feminine</t>
        </is>
      </c>
      <c r="D86" s="2" t="inlineStr">
        <is>
          <t>Fire</t>
        </is>
      </c>
      <c r="E86" s="2" t="inlineStr">
        <is>
          <t>Sun</t>
        </is>
      </c>
      <c r="F86" s="2" t="inlineStr">
        <is>
          <t>Sunday</t>
        </is>
      </c>
      <c r="G86" s="2" t="inlineStr">
        <is>
          <t>Winter</t>
        </is>
      </c>
      <c r="H86" s="3" t="inlineStr">
        <is>
          <t>New beginnings, Strength, Confidence,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Physical Strength, Fortitude, Vitality, Inner power, and strength,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86" s="3" t="inlineStr">
        <is>
          <t>Rosemary, Bay Laurel</t>
        </is>
      </c>
      <c r="J86" s="3" t="inlineStr">
        <is>
          <t>Archetypal feminine source of life.</t>
        </is>
      </c>
      <c r="K86" s="3" t="inlineStr">
        <is>
          <t>Roman goddess of the sacred hearth whose eternal flame in the Forum Romanum was the symbolic heart of Rome itself. The Vestal Virgins tended her fire for 30-year terms — allowed to go out only at the new year, when it was rekindled by friction from sacred wood. The fire was considered a living deity: as long as it burned, Rome was safe. Vesta's magic was the alchemy of the contained flame — the transforming power of fire held in its right place, nurturing rather than destroying, the sacred mystery of the home as a temple.</t>
        </is>
      </c>
      <c r="L86" s="3" t="inlineStr">
        <is>
          <t>The warm, contained hearth-fire burning cleanly with fragrant cedar and sage, bringing the wild element of fire indoors to nurture, heat, and protect.</t>
        </is>
      </c>
      <c r="M86" s="35" t="n"/>
      <c r="N86" s="36" t="inlineStr">
        <is>
          <t>Rosemary</t>
        </is>
      </c>
      <c r="O86" t="inlineStr">
        <is>
          <t>Coal-bright heat, sunlit bark and the spark under leaf-mould, where sun-strength gathers around VESTA. Opens the deeper thread of New beginnings, letting what is buried inside the working show its true face. A presence for spells that need the unseen made speakable.</t>
        </is>
      </c>
      <c r="P86" t="inlineStr">
        <is>
          <t>Coal-bright heat, sunlit bark and the spark under leaf-mould, with sun-strength turning through VESTA. Turns New beginnings, feeding Strength back into the soil of the spell. A guiding presence when the spell must shift, heal, end or begin.</t>
        </is>
      </c>
      <c r="Q86" t="inlineStr">
        <is>
          <t>Goddess</t>
        </is>
      </c>
    </row>
    <row r="87" ht="86.25" customHeight="1" s="56">
      <c r="A87" s="4" t="inlineStr">
        <is>
          <t>VISHNU</t>
        </is>
      </c>
      <c r="B87" s="4" t="inlineStr">
        <is>
          <t>Group</t>
        </is>
      </c>
      <c r="C87" s="4" t="inlineStr">
        <is>
          <t>Masculine</t>
        </is>
      </c>
      <c r="D87" s="4" t="inlineStr">
        <is>
          <t>Water/Earth</t>
        </is>
      </c>
      <c r="E87" s="4" t="inlineStr">
        <is>
          <t>Jupiter</t>
        </is>
      </c>
      <c r="F87" s="4" t="inlineStr">
        <is>
          <t>Thursday</t>
        </is>
      </c>
      <c r="G87" s="4" t="inlineStr">
        <is>
          <t>All Seasons</t>
        </is>
      </c>
      <c r="H87" s="5" t="inlineStr">
        <is>
          <t>Divination, New beginnings, Prophetic dreams, Confidence, Sun God offerings, Luck, Love rituals, Star magick, Love, Aphrodisiac, Strength, Harmony, Happiness, Clairvoyance, Attraction, Love spells,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87" s="5" t="inlineStr">
        <is>
          <t>Tulsi (Holy Basil), Lotus</t>
        </is>
      </c>
      <c r="J87" s="5" t="inlineStr">
        <is>
          <t>Egyptian goddess of the night sky.</t>
        </is>
      </c>
      <c r="K87" s="5" t="inlineStr">
        <is>
          <t>Hindu god of preservation and cosmic order who descends in avatar form whenever the universe is in danger. He has taken ten famous avatars including a fish, tortoise, boar, lion-man, dwarf, and warrior, but his most beloved are Rama — the ideal king — and Krishna — the divine lover and teacher of the Bhagavad Gita. His magic is the Sudarshana Chakra, a spinning disc of blazing light that destroys all evil, and his shankha (conch) whose sound dispels darkness. He reclines on the cosmic ocean between ages, dreaming the next creation into being.</t>
        </is>
      </c>
      <c r="L87" s="5" t="inlineStr">
        <is>
          <t>The preserving force of the banyan tree, dropping endless aerial roots to form new trunks, creating an endlessly expanding green sanctuary for all forest creatures.</t>
        </is>
      </c>
      <c r="M87" s="35" t="n"/>
      <c r="N87" s="36" t="n"/>
      <c r="O87" t="inlineStr">
        <is>
          <t>River hush with root, where oak-wide growth gathers around VISHNU. Opens Divination without forcing it, letting Prophetic dreams rise from the green dark. A presence for spells that need the unseen made speakable.</t>
        </is>
      </c>
      <c r="P87" t="inlineStr">
        <is>
          <t>River hush with root, with oak-wide growth turning through VISHNU. Turns New beginnings, feeding Strength back into the soil of the spell. A guiding presence when the spell must shift, heal, end or begin.</t>
        </is>
      </c>
      <c r="Q87" t="inlineStr">
        <is>
          <t>God</t>
        </is>
      </c>
    </row>
    <row r="88" ht="74.25" customHeight="1" s="56">
      <c r="A88" s="2" t="inlineStr">
        <is>
          <t>ZEUS</t>
        </is>
      </c>
      <c r="B88" s="2" t="inlineStr">
        <is>
          <t>Group</t>
        </is>
      </c>
      <c r="C88" s="2" t="inlineStr">
        <is>
          <t>Masculine</t>
        </is>
      </c>
      <c r="D88" s="2" t="inlineStr">
        <is>
          <t>Air/Fire</t>
        </is>
      </c>
      <c r="E88" s="2" t="inlineStr">
        <is>
          <t>Jupiter</t>
        </is>
      </c>
      <c r="F88" s="2" t="inlineStr">
        <is>
          <t>Thursday</t>
        </is>
      </c>
      <c r="G88" s="2" t="inlineStr">
        <is>
          <t>Summer</t>
        </is>
      </c>
      <c r="H88" s="3" t="inlineStr">
        <is>
          <t>Divination, New beginnings, Prophetic dreams, Confidence, Sun God offerings, Protection, Protection (hexes/evil), Luck, Star magick, Banishing, Warding, Strength, Harmony, Happiness, Clairvoyance,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t>
        </is>
      </c>
      <c r="I88" s="3" t="inlineStr">
        <is>
          <t>Oak, Sage</t>
        </is>
      </c>
      <c r="J88" s="3" t="inlineStr">
        <is>
          <t>Greek goddess of the moon.</t>
        </is>
      </c>
      <c r="K88" s="3" t="inlineStr">
        <is>
          <t>King of the Olympian gods whose primary magic was the thunderbolt — the direct expression of divine will made visible and devastating. He transformed himself into animals (swan, bull, eagle, golden rain) to pursue his desires, and could transform others as punishment. He held the scales of fate for the Trojan War. His greatest magical acts include birthing Athena from his own forehead after swallowing her pregnant mother, and his supreme authority over all divine oaths — sworn by the waters of the Styx — which not even the gods could break.</t>
        </is>
      </c>
      <c r="L88" s="3" t="inlineStr">
        <is>
          <t>The high mountain peaks gathering heavy, dark storm clouds, releasing the sudden strike of lightning that brings the sharp scent of rain and ozone to the parched earth below.</t>
        </is>
      </c>
      <c r="M88" s="35" t="inlineStr">
        <is>
          <t>Amethyst, Iolite, Lepidolite, Sodalite</t>
        </is>
      </c>
      <c r="N88" s="36" t="inlineStr">
        <is>
          <t>Clove Bud, Juniper, Cinnamon</t>
        </is>
      </c>
      <c r="O88" t="inlineStr">
        <is>
          <t>Coal-bright heat with wind in high branches, where oak-wide growth gathers around ZEUS. Opens Divination without forcing it, letting Prophetic dreams rise from the green dark. A presence for spells that need the unseen made speakable.</t>
        </is>
      </c>
      <c r="P88" t="inlineStr">
        <is>
          <t>Coal-bright heat with wind in high branches, with oak-wide growth turning through ZEUS. Turns New beginnings, feeding Protection (hexes/evil) back into the soil of the spell. A guiding presence when the spell must shift, heal, end or begin.</t>
        </is>
      </c>
      <c r="Q88" t="inlineStr">
        <is>
          <t>God</t>
        </is>
      </c>
    </row>
    <row r="89" ht="34.5" customHeight="1" s="56">
      <c r="A89" t="inlineStr">
        <is>
          <t>ODIN</t>
        </is>
      </c>
      <c r="B89" t="inlineStr">
        <is>
          <t>Deity</t>
        </is>
      </c>
      <c r="C89" t="inlineStr">
        <is>
          <t>Masculine</t>
        </is>
      </c>
      <c r="D89" t="inlineStr">
        <is>
          <t>Air/Spirit</t>
        </is>
      </c>
      <c r="E89" t="inlineStr">
        <is>
          <t>Mercury/Saturn</t>
        </is>
      </c>
      <c r="F89" t="inlineStr">
        <is>
          <t>Wednesday</t>
        </is>
      </c>
      <c r="G89" t="inlineStr">
        <is>
          <t>All Seasons</t>
        </is>
      </c>
      <c r="H89" t="inlineStr">
        <is>
          <t>Wisdom, knowledge, divination, runes, poetry, war, death, transformation, astral travel, shamanic journeying, spell-craft, victory, Otherworld travel, Samhain/ancestral altars, Magical power, Success, Intelligence, Intuition, Mental clarity, Sharpening the wits, Sharpening the brain, Mental powers, MEM, Memory, Concentration, Focus, Illumination, Enlightenment, Love, Love magick, Love drawing, Attracting love, Love-attracting rituals, Inviting love, Inducing love, Love charms, Love enchantment, Finding love, Romantic love ceremonies, PROMOTE LOVE &amp; AFFECTION, LOVE &amp; PEACE, Spiritual love, Love rituals, Star magick, Moon magic, Astral projection,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Increasing magical power, Increasing spell power, Power amplification, Bolstering spells, Bolstering incense, Strengthening spells, Potency, Power, Magic, WISDOM IN MAGICK, defensive magic, victory in battle, Conquest, Overcoming opposition, Courtroom success, Legal matters, Justice</t>
        </is>
      </c>
      <c r="I89" t="inlineStr">
        <is>
          <t>Ash, Mugwort, Yew, Valerian Root, Wormwood</t>
        </is>
      </c>
      <c r="J89" t="inlineStr">
        <is>
          <t>All-Father of the Norse pantheon, god of wisdom, war, death, poetry, and magic. He sacrificed his eye at Mimir's well for wisdom and hung himself on Yggdrasil for nine days to discover the runes. Patron of skalds, warriors, and sorcerers.</t>
        </is>
      </c>
      <c r="K89" t="inlineStr">
        <is>
          <t>Hung upside down on Yggdrasil for nine nights to receive the secret of the runes. Sacrificed an eye to Mimir's well to gain cosmic wisdom. Mastered seiðr magic — the Norse shamanic tradition. Rides his eight-legged horse Sleipnir across the nine worlds.</t>
        </is>
      </c>
      <c r="L89" t="inlineStr">
        <is>
          <t>Found in the ancient wisdom of the forest and the whisper of wind through leaves. His presence is in the ravens and the wandering path between worlds — in the liminal spaces where woodland meets sky.</t>
        </is>
      </c>
      <c r="M89" s="35" t="inlineStr">
        <is>
          <t>agate Blue Lace, agate Botswana, agate Moss, Amethyst, Aventurine, Iolite, Lepidolite, Sodalite, Sugilite</t>
        </is>
      </c>
      <c r="N89" s="36" t="n"/>
      <c r="O89" t="inlineStr">
        <is>
          <t>Wind in high branches, birdcall and breath through leaves, where quick wind gathers around ODIN. Opens Wisdom without forcing it, letting knowledge rise from the green dark. A presence for spells that need the unseen made speakable.</t>
        </is>
      </c>
      <c r="P89" t="inlineStr">
        <is>
          <t>Wind in high branches, birdcall and breath through leaves, with quick wind turning through ODIN. Turns transformation, feeding old energy into new growth back into the soil of the spell. A guiding presence when the spell must shift, heal, end or begin.</t>
        </is>
      </c>
      <c r="Q89" t="inlineStr">
        <is>
          <t>God</t>
        </is>
      </c>
    </row>
    <row r="90" ht="34.5" customHeight="1" s="56">
      <c r="A90" t="inlineStr">
        <is>
          <t>FREYJA</t>
        </is>
      </c>
      <c r="B90" t="inlineStr">
        <is>
          <t>Deity</t>
        </is>
      </c>
      <c r="C90" t="inlineStr">
        <is>
          <t>Feminine</t>
        </is>
      </c>
      <c r="D90" t="inlineStr">
        <is>
          <t>Fire/Air</t>
        </is>
      </c>
      <c r="E90" t="inlineStr">
        <is>
          <t>Venus/Moon</t>
        </is>
      </c>
      <c r="F90" t="inlineStr">
        <is>
          <t>Friday</t>
        </is>
      </c>
      <c r="G90" t="inlineStr">
        <is>
          <t>Spring/Summer</t>
        </is>
      </c>
      <c r="H90" t="inlineStr">
        <is>
          <t>Love, lust, fertility, war, death, magic, divination, seiðr, abundance, beauty, gold, protection of warriors, Aphrodisiac, Prosperity, Samhain/ancestral altars,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Wealth, Wealth/Prosperity, Attracting business, Business dealings, Financial arrangements, Aiding gain, Gain, PROSPERITY SPELLS, Increasing wealth, Money, Money spells, Attracting money, Drawing money, INCREASE MONEY, Breaking financial stagnation, Money mixtures, Protecting against poverty, Warding off poverty, Aphrodisiac tea, Sensuality, Lust/Sex, Passionate love-making, LOVING &amp; LUSTFUL ENERGIES, SEX MAGIC, RAISE SEXUAL ENERGY, Sexual energy,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90" t="inlineStr">
        <is>
          <t>Rose, Strawberry, Daisy, Elder, Primrose, Yarrow</t>
        </is>
      </c>
      <c r="J90" t="inlineStr">
        <is>
          <t>Norse goddess of love, beauty, fertility, war, and magic. Leader of the Valkyries, she chooses half the slain warriors for her hall Sessrúmnir. She is the foremost practitioner of seiðr magic and taught it to Odin.</t>
        </is>
      </c>
      <c r="K90" t="inlineStr">
        <is>
          <t>Possesses the magical necklace Brísingamen and a cloak of falcon feathers allowing shapeshifting. First practitioner of seiðr magic in the Norse tradition — a form of shamanic sorcery that could alter fate itself. Drives a chariot pulled by two cats.</t>
        </is>
      </c>
      <c r="L90" t="inlineStr">
        <is>
          <t>Her green energy is the wild abundance of untamed meadows in bloom — the deep fertility of the earth in high summer, the sweetness of wild strawberries, and the golden shimmer of fields at harvest.</t>
        </is>
      </c>
      <c r="M90" s="35" t="inlineStr">
        <is>
          <t>Chrysocolla, chrysophase, Copper flakes, Emerald, Fuchsite, Goldstone, Jade (jadeite), Lapis Lazuli, Lodestone, Malachite, Peridot, Seraphinite, Unakite</t>
        </is>
      </c>
      <c r="N90" s="36" t="n"/>
      <c r="O90" t="inlineStr">
        <is>
          <t>Coal-bright heat with wind in high branches, where moon-sight gathers around FREYJA. Opens divination without forcing it, letting the quiet message under the leaves rise from the green dark. A presence for spells that need the unseen made speakable.</t>
        </is>
      </c>
      <c r="P90" t="inlineStr">
        <is>
          <t>Coal-bright heat with wind in high branches, with moon-sight turning through FREYJA. Turns the spell through Love, moving its energy from what was into what must grow next. A guiding presence when the spell must shift, heal, end or begin.</t>
        </is>
      </c>
      <c r="Q90" t="inlineStr">
        <is>
          <t>Goddess</t>
        </is>
      </c>
    </row>
    <row r="91">
      <c r="A91" t="inlineStr">
        <is>
          <t>FREY</t>
        </is>
      </c>
      <c r="B91" t="inlineStr">
        <is>
          <t>Deity</t>
        </is>
      </c>
      <c r="C91" t="inlineStr">
        <is>
          <t>Masculine</t>
        </is>
      </c>
      <c r="D91" t="inlineStr">
        <is>
          <t>Earth/Fire</t>
        </is>
      </c>
      <c r="E91" t="inlineStr">
        <is>
          <t>Sun/Jupiter</t>
        </is>
      </c>
      <c r="F91" t="inlineStr">
        <is>
          <t>Friday</t>
        </is>
      </c>
      <c r="G91" t="inlineStr">
        <is>
          <t>Spring/Summer</t>
        </is>
      </c>
      <c r="H91" t="inlineStr">
        <is>
          <t>Fertility, abundance, prosperity, crops, sunshine, rain, peace, love, virility, harvest, Lammas/Lughnasadh rituals, Female fertility, Fertility magic, Fertility charms, Aiding fertility, Increasing fertility, Fruitfulness, male virility, Abundant harvest, Wealth, Wealth/Prosperity, Attracting business, Business dealings, Financial arrangements, Aiding gain, Gain, PROSPERITY SPELLS, Increasing wealth, Money, Money spells, Attracting money, Drawing money, INCREASE MONEY, Breaking financial stagnation, Money mixtures, Protecting against poverty, Warding off poverty</t>
        </is>
      </c>
      <c r="I91" t="inlineStr">
        <is>
          <t>Basil, Chamomile, Cinnamon, Oak, Barley, Wheat</t>
        </is>
      </c>
      <c r="J91" t="inlineStr">
        <is>
          <t>Norse god of sunshine, rain, fertility, and prosperity. Lord of Álfheimr, ruler of the light elves. He gave away his magical sword in exchange for the giantess Gerðr whom he loved, leaving himself unarmed at Ragnarök.</t>
        </is>
      </c>
      <c r="K91" t="inlineStr">
        <is>
          <t>Possessed the magical ship Skíðblaðnir that could sail any sea yet fold to fit in a pocket, and a golden boar Gullinbursti that illuminated the darkness as it ran. His sacrifice of his sword for love is one of the great acts of Norse mythology.</t>
        </is>
      </c>
      <c r="L91" t="inlineStr">
        <is>
          <t>The very essence of agricultural green energy — the power of seeds germinating in dark soil, of summer rain on parched fields, of grain swelling toward harvest. He is the greening of the world after winter.</t>
        </is>
      </c>
      <c r="M91" s="35" t="n"/>
      <c r="N91" s="36" t="n"/>
      <c r="O91" t="inlineStr">
        <is>
          <t>Coal-bright heat with root, where sun-strength gathers around FREY. Opens the deeper thread of Fertility, letting what is buried inside the working show its true face. A presence for spells that need the unseen made speakable.</t>
        </is>
      </c>
      <c r="P91" t="inlineStr">
        <is>
          <t>Coal-bright heat with root, with sun-strength turning through FREY. Turns the spell through Fertility, moving its energy from what was into what must grow next. A guiding presence when the spell must shift, heal, end or begin.</t>
        </is>
      </c>
      <c r="Q91" t="inlineStr">
        <is>
          <t>God</t>
        </is>
      </c>
    </row>
    <row r="92">
      <c r="A92" t="inlineStr">
        <is>
          <t>FRIGG</t>
        </is>
      </c>
      <c r="B92" t="inlineStr">
        <is>
          <t>Deity</t>
        </is>
      </c>
      <c r="C92" t="inlineStr">
        <is>
          <t>Feminine</t>
        </is>
      </c>
      <c r="D92" t="inlineStr">
        <is>
          <t>Air/Water</t>
        </is>
      </c>
      <c r="E92" t="inlineStr">
        <is>
          <t>Venus/Moon</t>
        </is>
      </c>
      <c r="F92" t="inlineStr">
        <is>
          <t>Friday</t>
        </is>
      </c>
      <c r="G92" t="inlineStr">
        <is>
          <t>All Seasons</t>
        </is>
      </c>
      <c r="H92" t="inlineStr">
        <is>
          <t>Marriage, motherhood, home, protection of children, clairvoyance, destiny, weaving fate, wisdom, domestic magic, Protection, Divination, House blessing, Protective charm, Protective charms, Protective sachets, Protective wreaths, Protective incense, PROTECT AGAINST NEGATIVITY, Protection from negativity, Circle protection, Enhancing divination, Divinatory incense, Foretelling the future, Future divination, Scrying, Dowsing, Prophecy,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92" t="inlineStr">
        <is>
          <t>Birch, Elder, Flax, Linden, Ladies Mantle, Chamomile</t>
        </is>
      </c>
      <c r="J92" t="inlineStr">
        <is>
          <t>Norse queen of the gods, wife of Odin, goddess of marriage, motherhood, and fate. She alone among the gods knows the fates of all but never reveals them. Goddess of the domestic arts and the protection of the home and hearth.</t>
        </is>
      </c>
      <c r="K92" t="inlineStr">
        <is>
          <t>Extracted oaths from all things in creation not to harm her son Baldur — all except mistletoe, which she considered too young. Her spinning wheel is said to spin the threads of fate itself. She sees all destinies but speaks none.</t>
        </is>
      </c>
      <c r="L92" t="inlineStr">
        <is>
          <t>Found in the quiet strength of the birch tree in early spring — the first green after snow. Her energy is in the weaving of the seasons, the cyclical return of life, and the sheltering canopy of the forest protecting what grows beneath.</t>
        </is>
      </c>
      <c r="M92" s="35" t="n"/>
      <c r="N92" s="36" t="n"/>
      <c r="O92" t="inlineStr">
        <is>
          <t>River hush with wind in high branches, where moon-sight gathers around FRIGG. Opens clairvoyance without forcing it, letting wisdom rise from the green dark. A presence for spells that need the unseen made speakable.</t>
        </is>
      </c>
      <c r="P92" t="inlineStr">
        <is>
          <t>River hush with wind in high branches, with moon-sight turning through FRIGG. Turns the spell through Marriage, moving its energy from what was into what must grow next. A guiding presence when the spell must shift, heal, end or begin.</t>
        </is>
      </c>
      <c r="Q92" t="inlineStr">
        <is>
          <t>Goddess</t>
        </is>
      </c>
    </row>
    <row r="93">
      <c r="A93" t="inlineStr">
        <is>
          <t>HEIMDALL</t>
        </is>
      </c>
      <c r="B93" t="inlineStr">
        <is>
          <t>Deity</t>
        </is>
      </c>
      <c r="C93" t="inlineStr">
        <is>
          <t>Masculine</t>
        </is>
      </c>
      <c r="D93" t="inlineStr">
        <is>
          <t>Air/Fire</t>
        </is>
      </c>
      <c r="E93" t="inlineStr">
        <is>
          <t>Sun/Mercury</t>
        </is>
      </c>
      <c r="F93" t="inlineStr">
        <is>
          <t>Sunday</t>
        </is>
      </c>
      <c r="G93" t="inlineStr">
        <is>
          <t>All Seasons</t>
        </is>
      </c>
      <c r="H93" t="inlineStr">
        <is>
          <t>Watchfulness, protection, warding, clarity, awakening, beginnings, boundaries, psychic awareness, guardianship, Wisdom, New beginnings, Clairvoyance, Knowledge, Intelligence, Intuition, Mental clarity, Sharpening the wits, Sharpening the brain, Mental powers, MEM, Memory, Concentration, Focus, Illumination, Enlightenment, Breaking habits, Breaking bad habits, Ending negative self-talk, Letting go of relationships, Ending guilt, Release, Renewal, New beginning spells, Fresh starts, Transformation, Change, rebirth, Breakthrough, Growth, New ideas, Assisting transformation, Transformation/Evolution, Enhancing clairvoyance, Psychic development, Psychic powers, INCREASE PSYCHIC ABILITIES, Stimulating psychic senses, Disabling psychic phenomena, Psychic communication, communication and psychic abilities</t>
        </is>
      </c>
      <c r="I93" t="inlineStr">
        <is>
          <t>Ash, Rowan, Angelica, Eyebright, Yarrow</t>
        </is>
      </c>
      <c r="J93" t="inlineStr">
        <is>
          <t>Norse guardian of Bifröst, the rainbow bridge between worlds. The whitest and most far-sighted of the gods, he requires less sleep than a bird and can hear grass growing. He will blow Gjallarhorn at the onset of Ragnarök to summon the gods.</t>
        </is>
      </c>
      <c r="K93" t="inlineStr">
        <is>
          <t>Blows the Gjallarhorn — the horn whose blast can be heard across all nine worlds. Can see for hundreds of miles day or night. Said to have fathered the three classes of humanity — thrall, farmer, and noble — while walking the earth in disguise as Ríg.</t>
        </is>
      </c>
      <c r="L93" t="inlineStr">
        <is>
          <t>His green energy is in the dawn light breaking over the forest — that liminal moment of pure clarity between darkness and day. He is the guardian of thresholds, the energy of forest edges and boundary places.</t>
        </is>
      </c>
      <c r="M93" s="35" t="n"/>
      <c r="N93" s="36" t="n"/>
      <c r="O93" t="inlineStr">
        <is>
          <t>Coal-bright heat with wind in high branches, where sun-strength gathers around HEIMDALL. Opens psychic awareness without forcing it, letting the quiet message under the leaves rise from the green dark. A presence for spells that need the unseen made speakable.</t>
        </is>
      </c>
      <c r="P93" t="inlineStr">
        <is>
          <t>Coal-bright heat with wind in high branches, with sun-strength turning through HEIMDALL. Turns beginnings, feeding old energy into new growth back into the soil of the spell. A guiding presence when the spell must shift, heal, end or begin.</t>
        </is>
      </c>
      <c r="Q93" t="inlineStr">
        <is>
          <t>God</t>
        </is>
      </c>
    </row>
    <row r="94" ht="23.25" customHeight="1" s="56">
      <c r="A94" t="inlineStr">
        <is>
          <t>BALDUR</t>
        </is>
      </c>
      <c r="B94" t="inlineStr">
        <is>
          <t>Deity</t>
        </is>
      </c>
      <c r="C94" t="inlineStr">
        <is>
          <t>Masculine</t>
        </is>
      </c>
      <c r="D94" t="inlineStr">
        <is>
          <t>Fire/Air</t>
        </is>
      </c>
      <c r="E94" t="inlineStr">
        <is>
          <t>Sun</t>
        </is>
      </c>
      <c r="F94" t="inlineStr">
        <is>
          <t>Sunday</t>
        </is>
      </c>
      <c r="G94" t="inlineStr">
        <is>
          <t>Summer</t>
        </is>
      </c>
      <c r="H94" t="inlineStr">
        <is>
          <t>Light, beauty, purity, peace, love, protection, healing, Midsummer/Litha rituals, rebirth, hope, Purification, New beginnings, Midsummer, Beltane, Beltane rituals, Beltane celebrations, Summer rituals, Midsummer celebrations, Midsummer magic, Midsummer rites, Breaking habits, Breaking bad habits, Ending negative self-talk, Letting go of relationships, Ending guilt, Release, Renewal, New beginning spells, Fresh starts, Transformation, Change, Breakthrough, Awakening, Growth, New ideas, Assisting transformation, Transformation/Evolution,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t>
        </is>
      </c>
      <c r="I94" t="inlineStr">
        <is>
          <t>Chamomile, St John's Wort, Marigold, Sunflower, Mistletoe</t>
        </is>
      </c>
      <c r="J94" t="inlineStr">
        <is>
          <t>Norse god of light, purity, and beauty. Son of Odin and Frigg, beloved by all gods. His death — caused by a mistletoe dart thrown by the blind god Höðr, manipulated by Loki — plunged all of creation into grief and foreshadowed Ragnarök.</t>
        </is>
      </c>
      <c r="K94" t="inlineStr">
        <is>
          <t>His invulnerability was legendary — all of creation swore not to harm him, rendering him immortal until Loki's trickery found the one exception. After Ragnarök, he will return from Hel to rule in the new world, symbolising the return of light and purity.</t>
        </is>
      </c>
      <c r="L94" t="inlineStr">
        <is>
          <t>Pure solar green energy — the light that makes green things grow. His presence is in the warmth of midsummer sun on your face in a sunlit clearing, in the shimmer of light through fresh green leaves at the height of the growing season.</t>
        </is>
      </c>
      <c r="M94" s="35" t="inlineStr">
        <is>
          <t>Ametrine, Quartz Clear, Sunstone, Tiger Eye gold, Topaz, Amber</t>
        </is>
      </c>
      <c r="N94" s="36" t="n"/>
      <c r="O94" t="inlineStr">
        <is>
          <t>Coal-bright heat with wind in high branches, where sun-strength gathers around BALDUR. Opens the deeper thread of Light, letting what is buried inside the working show its true face. A presence for spells that need the unseen made speakable.</t>
        </is>
      </c>
      <c r="P94" t="inlineStr">
        <is>
          <t>Coal-bright heat with wind in high branches, with sun-strength turning through BALDUR. Turns healing, feeding rebirth back into the soil of the spell. A guiding presence when the spell must shift, heal, end or begin.</t>
        </is>
      </c>
      <c r="Q94" t="inlineStr">
        <is>
          <t>God</t>
        </is>
      </c>
    </row>
    <row r="95">
      <c r="A95" t="inlineStr">
        <is>
          <t>NJORD</t>
        </is>
      </c>
      <c r="B95" t="inlineStr">
        <is>
          <t>Deity</t>
        </is>
      </c>
      <c r="C95" t="inlineStr">
        <is>
          <t>Masculine</t>
        </is>
      </c>
      <c r="D95" t="inlineStr">
        <is>
          <t>Water</t>
        </is>
      </c>
      <c r="E95" t="inlineStr">
        <is>
          <t>Moon/Neptune</t>
        </is>
      </c>
      <c r="F95" t="inlineStr">
        <is>
          <t>Monday</t>
        </is>
      </c>
      <c r="G95" t="inlineStr">
        <is>
          <t>Summer</t>
        </is>
      </c>
      <c r="H95" t="inlineStr">
        <is>
          <t>Sea magic, fishing, sailing, prosperity, winds, calming storms, abundance, wealth from the sea, travel, Fertility, Female fertility, Fertility magic, Fertility charms, Aiding fertility, Increasing fertility, Fruitfulness, Virility, male virility, Abundant harvest, Wealth, Wealth/Prosperity, Attracting business, Business dealings, Financial arrangements, Aiding gain, Gain, PROSPERITY SPELLS, Increasing wealth, Money, Money spells, Attracting money, Drawing money, INCREASE MONEY, Breaking financial stagnation, Money mixtures, Protecting against poverty, Warding off poverty</t>
        </is>
      </c>
      <c r="I95" t="inlineStr">
        <is>
          <t>Sea Weed, Sea Salt, Lavender, Thyme, Juniper</t>
        </is>
      </c>
      <c r="J95" t="inlineStr">
        <is>
          <t>Norse god of the sea, wind, fish, and wealth from the sea. Father of Frey and Freyja. He rules Nóatún (Place of Ships) on the shore of the sea and controls the winds and calms storms at sea.</t>
        </is>
      </c>
      <c r="K95" t="inlineStr">
        <is>
          <t>Married the giantess Skaði in a match where she chose a husband by looking only at feet — she chose Njord thinking him to be Baldur. Though the marriage failed, it is one of the great mythological love stories of the Norse tradition.</t>
        </is>
      </c>
      <c r="L95" t="inlineStr">
        <is>
          <t>His green energy is the living abundance of coastal and marine ecosystems — sea grass, kelp forests, the teeming life of tidal pools. He is the liminal energy of the shoreline where two worlds meet.</t>
        </is>
      </c>
      <c r="M95" s="35" t="inlineStr">
        <is>
          <t>Flourite</t>
        </is>
      </c>
      <c r="N95" s="36" t="n"/>
      <c r="O95" t="inlineStr">
        <is>
          <t>River hush, moonlit pools and the soft pull of tide, where moon-sight gathers around NJORD. Opens the deeper thread of Sea magic, letting what is buried inside the working show its true face. A presence for spells that need the unseen made speakable.</t>
        </is>
      </c>
      <c r="P95" t="inlineStr">
        <is>
          <t>River hush, moonlit pools and the soft pull of tide, with moon-sight turning through NJORD. Turns the spell through Sea magic, moving its energy from what was into what must grow next. A guiding presence when the spell must shift, heal, end or begin.</t>
        </is>
      </c>
      <c r="Q95" t="inlineStr">
        <is>
          <t>God</t>
        </is>
      </c>
    </row>
    <row r="96">
      <c r="A96" t="inlineStr">
        <is>
          <t>NERTHUS</t>
        </is>
      </c>
      <c r="B96" t="inlineStr">
        <is>
          <t>Deity</t>
        </is>
      </c>
      <c r="C96" t="inlineStr">
        <is>
          <t>Feminine</t>
        </is>
      </c>
      <c r="D96" t="inlineStr">
        <is>
          <t>Earth</t>
        </is>
      </c>
      <c r="E96" t="inlineStr">
        <is>
          <t>Earth/Saturn</t>
        </is>
      </c>
      <c r="F96" t="inlineStr">
        <is>
          <t>Saturday</t>
        </is>
      </c>
      <c r="G96" t="inlineStr">
        <is>
          <t>Spring/Autumn</t>
        </is>
      </c>
      <c r="H96" t="inlineStr">
        <is>
          <t>Earth magic, fertility, agriculture, peace, purification, grounding, land healing, Imbolc/Ostara rituals, Prosperity, Strength,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t>
        </is>
      </c>
      <c r="I96" t="inlineStr">
        <is>
          <t>Comfrey, Mugwort, Oak, Barley, Birch, Elder</t>
        </is>
      </c>
      <c r="J96" t="inlineStr">
        <is>
          <t>Germanic earth mother goddess, Mother Earth herself. Her sacred procession brought peace to all lands she visited. After her ritual bathing, the slaves who bathed her were drowned in the lake — returning her secrets to the earth.</t>
        </is>
      </c>
      <c r="K96" t="inlineStr">
        <is>
          <t>Rode in a covered wagon drawn by cattle across the land — wherever she passed, all warfare ceased and weapons were locked away. Her presence brought fertility to the land and peace among peoples.</t>
        </is>
      </c>
      <c r="L96" t="inlineStr">
        <is>
          <t>She IS green energy in its most primal form — the dark, loamy earth itself, the root network beneath the forest floor, the deep fertility of soil. She is the force that calls seeds from their sleep and feeds the roots of the oldest trees.</t>
        </is>
      </c>
      <c r="M96" s="35" t="inlineStr">
        <is>
          <t>Labradorite, Petrified Wood, Tanzanite</t>
        </is>
      </c>
      <c r="N96" s="36" t="n"/>
      <c r="O96" t="inlineStr">
        <is>
          <t>Root, stone, loam and the patient weight of the hill, where old-root law gathers around NERTHUS. Opens the deeper thread of Earth magic, letting what is buried inside the working show its true face. A presence for spells that need the unseen made speakable.</t>
        </is>
      </c>
      <c r="P96" t="inlineStr">
        <is>
          <t>Root, stone, loam and the patient weight of the hill, with old-root law turning through NERTHUS. Turns purification, feeding land healing back into the soil of the spell. A guiding presence when the spell must shift, heal, end or begin.</t>
        </is>
      </c>
      <c r="Q96" t="inlineStr">
        <is>
          <t>Goddess</t>
        </is>
      </c>
    </row>
    <row r="97">
      <c r="A97" t="inlineStr">
        <is>
          <t>EOSTRE</t>
        </is>
      </c>
      <c r="B97" t="inlineStr">
        <is>
          <t>Deity</t>
        </is>
      </c>
      <c r="C97" t="inlineStr">
        <is>
          <t>Feminine</t>
        </is>
      </c>
      <c r="D97" t="inlineStr">
        <is>
          <t>Air/Fire</t>
        </is>
      </c>
      <c r="E97" t="inlineStr">
        <is>
          <t>Sun/Moon</t>
        </is>
      </c>
      <c r="F97" t="inlineStr">
        <is>
          <t>Sunday</t>
        </is>
      </c>
      <c r="G97" t="inlineStr">
        <is>
          <t>Spring</t>
        </is>
      </c>
      <c r="H97" t="inlineStr">
        <is>
          <t>Spring equinox, new beginnings, fertility, dawn, rebirth, Ostara rituals, sunrise magic, hares and eggs symbolism, Imbolc/Ostara, Breaking habits, Breaking bad habits, Ending negative self-talk, Letting go of relationships, Ending guilt, Release, Renewal, New beginning spells, Fresh starts, Transformation, Change, Breakthrough, Awakening, Growth, New ideas, Assisting transformation, Transformation/Evolution, Imbolc, Imbolc rites, Ostara, Ostara rites, Spring rituals, Spring festivals, Spring Equinox rites, Spring/Imbolc/Ostara/Beltane, Spring tonic, Earth festivals</t>
        </is>
      </c>
      <c r="I97" t="inlineStr">
        <is>
          <t>Clover, Daisy, Violet, Lavender, Primrose, Daffodil</t>
        </is>
      </c>
      <c r="J97" t="inlineStr">
        <is>
          <t>Anglo-Saxon goddess of spring and dawn, from whom Easter takes its name. Associated with the hare and the egg as symbols of fertility and rebirth. Her festival at the spring equinox (Ostara) celebrates the return of light and life.</t>
        </is>
      </c>
      <c r="K97" t="inlineStr">
        <is>
          <t>Said to have transformed a bird into a hare, which could still lay eggs — the origin of the Easter hare and eggs. Her name shares roots with Austro (east) and the proto-Germanic word for dawn, making her a goddess of the returning light.</t>
        </is>
      </c>
      <c r="L97" t="inlineStr">
        <is>
          <t>The explosive green energy of spring itself — buds bursting, shoots emerging, the earth shaking off its winter sleep. She is the first blade of grass through snow, the dawn light of the new year.</t>
        </is>
      </c>
      <c r="M97" s="35" t="n"/>
      <c r="N97" s="36" t="n"/>
      <c r="O97" t="inlineStr">
        <is>
          <t>Coal-bright heat with wind in high branches, where sun-strength gathers around EOSTRE. Opens the deeper thread of Spring equinox, letting what is buried inside the working show its true face. A presence for spells that need the unseen made speakable.</t>
        </is>
      </c>
      <c r="P97" t="inlineStr">
        <is>
          <t>Coal-bright heat with wind in high branches, with sun-strength turning through EOSTRE. Turns new beginnings, feeding rebirth back into the soil of the spell. A guiding presence when the spell must shift, heal, end or begin.</t>
        </is>
      </c>
      <c r="Q97" t="inlineStr">
        <is>
          <t>Goddess</t>
        </is>
      </c>
    </row>
    <row r="98">
      <c r="A98" t="inlineStr">
        <is>
          <t>HOLDA</t>
        </is>
      </c>
      <c r="B98" t="inlineStr">
        <is>
          <t>Deity</t>
        </is>
      </c>
      <c r="C98" t="inlineStr">
        <is>
          <t>Feminine</t>
        </is>
      </c>
      <c r="D98" t="inlineStr">
        <is>
          <t>Air/Water</t>
        </is>
      </c>
      <c r="E98" t="inlineStr">
        <is>
          <t>Moon/Saturn</t>
        </is>
      </c>
      <c r="F98" t="inlineStr">
        <is>
          <t>Wednesday</t>
        </is>
      </c>
      <c r="G98" t="inlineStr">
        <is>
          <t>Winter/Spring</t>
        </is>
      </c>
      <c r="H98" t="inlineStr">
        <is>
          <t>Spinning, weaving, domestic magic, winter, snow, the dead, dreams, protection of children, spinning magic, Yule rituals, House blessing, Protection, Yule, Yule magic, Winter rituals,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t>
        </is>
      </c>
      <c r="I98" t="inlineStr">
        <is>
          <t>Elder, Flax, Snowdrop, Mistletoe, Birch, Pine</t>
        </is>
      </c>
      <c r="J98" t="inlineStr">
        <is>
          <t>Germanic goddess of spinning, winter, and the domestic arts. When it snows, Holda is shaking her feather bed. Leader of the wild hunt in some traditions. She rewards industrious spinners and punishes the idle.</t>
        </is>
      </c>
      <c r="K98" t="inlineStr">
        <is>
          <t>Leads the procession of the dead through the winter skies. Makes snow by shaking her feather pillows. In the Grimm tale of Frau Holle, she tests the virtue of two girls who fall down her well into another world — rewarding diligence with gold and punishing laziness with pitch.</t>
        </is>
      </c>
      <c r="L98" t="inlineStr">
        <is>
          <t>Her green energy lies dormant beneath snow — the promise of spring sleeping in the frozen ground. She is the force that keeps the seeds safe through winter, the guardian of potential, and the energy of the forest in its deepest rest.</t>
        </is>
      </c>
      <c r="M98" s="35" t="n"/>
      <c r="N98" s="36" t="n"/>
      <c r="O98" t="inlineStr">
        <is>
          <t>River hush with wind in high branches, where moon-sight gathers around HOLDA. Opens dreams without forcing it, letting the quiet message under the leaves rise from the green dark. A presence for spells that need the unseen made speakable.</t>
        </is>
      </c>
      <c r="P98" t="inlineStr">
        <is>
          <t>River hush with wind in high branches, with moon-sight turning through HOLDA. Turns the spell through Spinning, moving its energy from what was into what must grow next. A guiding presence when the spell must shift, heal, end or begin.</t>
        </is>
      </c>
      <c r="Q98" t="inlineStr">
        <is>
          <t>Goddess</t>
        </is>
      </c>
    </row>
    <row r="99" ht="23.25" customHeight="1" s="56">
      <c r="A99" t="inlineStr">
        <is>
          <t>TIWAZ</t>
        </is>
      </c>
      <c r="B99" t="inlineStr">
        <is>
          <t>Deity</t>
        </is>
      </c>
      <c r="C99" t="inlineStr">
        <is>
          <t>Masculine</t>
        </is>
      </c>
      <c r="D99" t="inlineStr">
        <is>
          <t>Air/Fire</t>
        </is>
      </c>
      <c r="E99" t="inlineStr">
        <is>
          <t>Mars</t>
        </is>
      </c>
      <c r="F99" t="inlineStr">
        <is>
          <t>Tuesday</t>
        </is>
      </c>
      <c r="G99" t="inlineStr">
        <is>
          <t>All Seasons</t>
        </is>
      </c>
      <c r="H99" t="inlineStr">
        <is>
          <t>Justice, law, victory in battle, honour, courage, self-sacrifice, legal matters, oaths, warrior magic, Success, Victory, Conquest, Overcoming opposition, Courtroom success</t>
        </is>
      </c>
      <c r="I99" t="inlineStr">
        <is>
          <t>Oak, Ash, Nettle, Rue, Thistle</t>
        </is>
      </c>
      <c r="J99" t="inlineStr">
        <is>
          <t>Germanic god of justice, law, and victory. Norse name Tyr. He sacrificed his right hand to the wolf Fenrir as a pledge that allowed the gods to bind the beast — knowing the oath would be broken and his hand lost, he made the sacrifice anyway for the greater good.</t>
        </is>
      </c>
      <c r="K99" t="inlineStr">
        <is>
          <t>Placed his hand in Fenrir's mouth as a pledge of good faith while the gods bound the wolf. When Fenrir realised the binding would not be removed, he bit off Tiwaz's hand — and Tiwaz accepted this loss without complaint, for it was necessary. The rune Tiwaz bears his name.</t>
        </is>
      </c>
      <c r="L99" t="inlineStr">
        <is>
          <t>His green energy is in the strength of the upright oak, standing firm through storms. He is the energy of principled action — doing what is right even at great personal cost, of the forest guardian who holds the boundary.</t>
        </is>
      </c>
      <c r="M99" s="35" t="inlineStr">
        <is>
          <t>Bloodstone, Pyrite (Fool's Gold), Red Jasper, Rhodocrosite, Rhodonite, Ruby, Yellow Aventurine</t>
        </is>
      </c>
      <c r="N99" s="36" t="n"/>
      <c r="O99" t="inlineStr">
        <is>
          <t>Coal-bright heat with wind in high branches, where thorn-fire gathers around TIWAZ. Opens the deeper thread of Justice, letting what is buried inside the working show its true face. A presence for spells that need the unseen made speakable.</t>
        </is>
      </c>
      <c r="P99" t="inlineStr">
        <is>
          <t>Coal-bright heat with wind in high branches, with thorn-fire turning through TIWAZ. Turns courage, feeding When Fenrir realised the binding would not be removed back into the soil of the spell. A guiding presence when the spell must shift, heal, end or begin.</t>
        </is>
      </c>
      <c r="Q99" t="inlineStr">
        <is>
          <t>God</t>
        </is>
      </c>
    </row>
    <row r="100">
      <c r="A100" t="inlineStr">
        <is>
          <t>ING</t>
        </is>
      </c>
      <c r="B100" t="inlineStr">
        <is>
          <t>Deity</t>
        </is>
      </c>
      <c r="C100" t="inlineStr">
        <is>
          <t>Masculine</t>
        </is>
      </c>
      <c r="D100" t="inlineStr">
        <is>
          <t>Earth/Fire</t>
        </is>
      </c>
      <c r="E100" t="inlineStr">
        <is>
          <t>Sun/Jupiter</t>
        </is>
      </c>
      <c r="F100" t="inlineStr">
        <is>
          <t>Sunday</t>
        </is>
      </c>
      <c r="G100" t="inlineStr">
        <is>
          <t>Spring/Summer</t>
        </is>
      </c>
      <c r="H100" t="inlineStr">
        <is>
          <t>Fertility, new beginnings, male virility, harvest, Beltane rituals, transformation, ancestral magic, Beltane, Female fertility, Fertility magic, Fertility charms, Aiding fertility, Increasing fertility, Fruitfulness,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Beltane celebrations, Summer rituals, Midsummer, Midsummer celebrations, Midsummer magic, Midsummer rites, Midsummer/Litha rituals, Contacting planes, Contacting other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memory, Samhain rituals, death rites, Death and rebirth rites, Necromancy, Peaceful transition for the dead, ancestors, Crone magic, Seeing past lives, Reincarnation, Reincarnation knowledge, Past lives, Mabon/Samhain, Mabon rituals, Samhain</t>
        </is>
      </c>
      <c r="I100" t="inlineStr">
        <is>
          <t>Barley, Wheat, Apple, Oak, Basil, Chamomile</t>
        </is>
      </c>
      <c r="J100" t="inlineStr">
        <is>
          <t>Anglo-Saxon/Germanic fertility god, ancestor deity of the Ingvaeones peoples. Often identified with Frey. Ing represents the spark of new life, the first stirring of fertility, and the generative power of the masculine principle.</t>
        </is>
      </c>
      <c r="K100" t="inlineStr">
        <is>
          <t>The rune Ingwaz (his rune) represents the seed — the contained potential of new life, coiled and ready to spring into being. His mythology speaks of departure by sea — of mystery and return, of the cycle of life, death, and regeneration.</t>
        </is>
      </c>
      <c r="L100" t="inlineStr">
        <is>
          <t>The concentrated green energy of the seed itself — all potential contained, ready to burst forth. His energy is in the germination of grain, the swelling of buds, the first warm breath of spring that triggers life.</t>
        </is>
      </c>
      <c r="M100" s="35" t="n"/>
      <c r="N100" s="36" t="n"/>
      <c r="O100" t="inlineStr">
        <is>
          <t>Coal-bright heat with root, where sun-strength gathers around ING. Opens the deeper thread of Fertility, letting what is buried inside the working show its true face. A presence for spells that need the unseen made speakable.</t>
        </is>
      </c>
      <c r="P100" t="inlineStr">
        <is>
          <t>Coal-bright heat with root, with sun-strength turning through ING. Turns new beginnings, feeding transformation back into the soil of the spell. A guiding presence when the spell must shift, heal, end or begin.</t>
        </is>
      </c>
      <c r="Q100" t="inlineStr">
        <is>
          <t>God</t>
        </is>
      </c>
    </row>
    <row r="101">
      <c r="A101" t="inlineStr">
        <is>
          <t>URD</t>
        </is>
      </c>
      <c r="B101" t="inlineStr">
        <is>
          <t>Deity — Norn</t>
        </is>
      </c>
      <c r="C101" t="inlineStr">
        <is>
          <t>Feminine</t>
        </is>
      </c>
      <c r="D101" t="inlineStr">
        <is>
          <t>Water/Earth</t>
        </is>
      </c>
      <c r="E101" t="inlineStr">
        <is>
          <t>Saturn/Moon</t>
        </is>
      </c>
      <c r="F101" t="inlineStr">
        <is>
          <t>Saturday</t>
        </is>
      </c>
      <c r="G101" t="inlineStr">
        <is>
          <t>All Seasons</t>
        </is>
      </c>
      <c r="H101" t="inlineStr">
        <is>
          <t>Past lives, fate, ancestors, death rites, Samhain rituals, karmic magic, destiny, the Well of Wyrd, Samhain/ancestral altars, Divination,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Death and rebirth rites, Necromancy, Peaceful transition for the dead, Crone magic, Seeing past lives, Reincarnation, Reincarnation knowledge, Mabon/Samhain, Mabon rituals, Samhain, Enhancing divination, Divinatory incense, Foretelling the future, Future divination, Scrying, Dowsing, Prophecy</t>
        </is>
      </c>
      <c r="I101" t="inlineStr">
        <is>
          <t>Yew, Elder, Mugwort, Wormwood, Cypress</t>
        </is>
      </c>
      <c r="J101" t="inlineStr">
        <is>
          <t>One of the three Norns — the Norse goddesses who weave the fate of gods and men. Urd (or Urðr) governs the past. She and her sisters Verdandi and Skuld weave at the Well of Urðr beneath Yggdrasil, determining the fate of all living things.</t>
        </is>
      </c>
      <c r="K101" t="inlineStr">
        <is>
          <t>Weaves the threads of past fate at the Well of Urðr. Together with her sisters she carves runes into the trunk of Yggdrasil to encode the fates she has woven. No deity — not even Odin — can undo what the Norns have woven.</t>
        </is>
      </c>
      <c r="L101" t="inlineStr">
        <is>
          <t>Her green energy is deep in the roots — the ancient wood of old growth trees, the compressed memory of centuries in living wood, the slow decay of fallen giants returning to the soil to feed new growth.</t>
        </is>
      </c>
      <c r="M101" s="35" t="inlineStr">
        <is>
          <t>Apache Tears, Hematite, Obsidian, Serpentine</t>
        </is>
      </c>
      <c r="N101" s="36" t="n"/>
      <c r="O101" t="inlineStr">
        <is>
          <t>River hush with root, where moon-sight gathers around URD. Opens the deeper thread of Past lives, letting what is buried inside the working show its true face. A presence for spells that need the unseen made speakable.</t>
        </is>
      </c>
      <c r="P101" t="inlineStr">
        <is>
          <t>River hush with root, with moon-sight turning through URD. Turns the spell through Past lives, moving its energy from what was into what must grow next. A guiding presence when the spell must shift, heal, end or begin.</t>
        </is>
      </c>
      <c r="Q101" t="inlineStr">
        <is>
          <t>Goddess</t>
        </is>
      </c>
    </row>
    <row r="102">
      <c r="A102" t="inlineStr">
        <is>
          <t>VERDANDI</t>
        </is>
      </c>
      <c r="B102" t="inlineStr">
        <is>
          <t>Deity — Norn</t>
        </is>
      </c>
      <c r="C102" t="inlineStr">
        <is>
          <t>Feminine</t>
        </is>
      </c>
      <c r="D102" t="inlineStr">
        <is>
          <t>Fire/Water</t>
        </is>
      </c>
      <c r="E102" t="inlineStr">
        <is>
          <t>Sun/Moon</t>
        </is>
      </c>
      <c r="F102" t="inlineStr">
        <is>
          <t>Any</t>
        </is>
      </c>
      <c r="G102" t="inlineStr">
        <is>
          <t>All Seasons</t>
        </is>
      </c>
      <c r="H102" t="inlineStr">
        <is>
          <t>Present moment, manifestation, active magic, spell-casting, the now, decision making, present fate, Magical power, Increasing magical power, Increasing spell power, Power amplification, Bolstering spells, Bolstering incense, Strengthening spells, Potency, Power, Magic, WISDOM IN MAGICK, defensive magic</t>
        </is>
      </c>
      <c r="I102" t="inlineStr">
        <is>
          <t>Rosemary, Thyme, Sage, St John's Wort, Chamomile</t>
        </is>
      </c>
      <c r="J102" t="inlineStr">
        <is>
          <t>One of the three Norns — Verdandi governs the present moment. Her name means "becoming" or "what is happening now." She weaves the thread of present fate alongside Urd (past) and Skuld (future) at the Well of Urðr.</t>
        </is>
      </c>
      <c r="K102" t="inlineStr">
        <is>
          <t>Weaves present fate in real time — the thread of now passing through her fingers as events unfold. She is the most active of the three Norns, her work never pausing, always becoming. What is woven by her hand is the living present.</t>
        </is>
      </c>
      <c r="L102" t="inlineStr">
        <is>
          <t>The living green energy of the present growing season — the branch reaching toward light right now, the leaf photosynthesising this moment. She is the immediate energy of active growth.</t>
        </is>
      </c>
      <c r="M102" s="35" t="n"/>
      <c r="N102" s="36" t="n"/>
      <c r="O102" t="inlineStr">
        <is>
          <t>Coal-bright heat with river hush, where sun-strength gathers around VERDANDI. Opens Present moment without forcing it, letting the leaf photosynthesising this moment rise from the green dark. A presence for spells that need the unseen made speakable.</t>
        </is>
      </c>
      <c r="P102" t="inlineStr">
        <is>
          <t>Coal-bright heat with river hush, with sun-strength turning through VERDANDI. Turns the spell through Present moment, moving its energy from what was into what must grow next. A guiding presence when the spell must shift, heal, end or begin.</t>
        </is>
      </c>
      <c r="Q102" t="inlineStr">
        <is>
          <t>Goddess</t>
        </is>
      </c>
    </row>
    <row r="103">
      <c r="A103" t="inlineStr">
        <is>
          <t>SKULD</t>
        </is>
      </c>
      <c r="B103" t="inlineStr">
        <is>
          <t>Deity — Norn</t>
        </is>
      </c>
      <c r="C103" t="inlineStr">
        <is>
          <t>Feminine</t>
        </is>
      </c>
      <c r="D103" t="inlineStr">
        <is>
          <t>Air/Water</t>
        </is>
      </c>
      <c r="E103" t="inlineStr">
        <is>
          <t>Saturn/Moon</t>
        </is>
      </c>
      <c r="F103" t="inlineStr">
        <is>
          <t>Saturday</t>
        </is>
      </c>
      <c r="G103" t="inlineStr">
        <is>
          <t>Winter</t>
        </is>
      </c>
      <c r="H103" t="inlineStr">
        <is>
          <t>Future divination, prophecy, death, endings, Samhain, Yule, cutting ties, releasing what must pass, karmic debts, Samhain/ancestral altars, Divination, Enhancing divination, Divinatory incense, Foretelling the future, Scrying, Dowsing,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Yule magic, Winter rituals, Yule rituals</t>
        </is>
      </c>
      <c r="I103" t="inlineStr">
        <is>
          <t>Yew, Mugwort, Wormwood, Valerian, Elder</t>
        </is>
      </c>
      <c r="J103" t="inlineStr">
        <is>
          <t>One of the three Norns — Skuld governs what shall be, the future and debt. Her name relates to the Old Norse word for debt or obligation. She can unravel the threads her sisters have woven if debts are owed. She is also a Valkyrie.</t>
        </is>
      </c>
      <c r="K103" t="inlineStr">
        <is>
          <t>Carries a scroll of what is yet to be — unread until the moment arrives. As a Valkyrie she walks battlefields determining who shall live and die. Has the power to unravel threads already woven by her sisters if the debt of fate demands it.</t>
        </is>
      </c>
      <c r="L103" t="inlineStr">
        <is>
          <t>The seed not yet planted, the potential not yet actualised. Her green energy is in the deep dormancy of winter — in the earth awaiting its appointed time, in the bare branches of the tree conserving energy for the spring that is written but not yet come.</t>
        </is>
      </c>
      <c r="M103" s="35" t="inlineStr">
        <is>
          <t>Apache Tears, Hematite, Obsidian, Serpentine</t>
        </is>
      </c>
      <c r="N103" s="36" t="n"/>
      <c r="O103" t="inlineStr">
        <is>
          <t>River hush with wind in high branches, where moon-sight gathers around SKULD. Opens Future divination without forcing it, letting prophecy rise from the green dark. A presence for spells that need the unseen made speakable.</t>
        </is>
      </c>
      <c r="P103" t="inlineStr">
        <is>
          <t>River hush with wind in high branches, with moon-sight turning through SKULD. Turns the spell through Future divination, moving its energy from what was into what must grow next. A guiding presence when the spell must shift, heal, end or begin.</t>
        </is>
      </c>
      <c r="Q103" t="inlineStr">
        <is>
          <t>Goddess</t>
        </is>
      </c>
    </row>
    <row r="104">
      <c r="A104" t="inlineStr">
        <is>
          <t>ULLR</t>
        </is>
      </c>
      <c r="B104" t="inlineStr">
        <is>
          <t>Deity</t>
        </is>
      </c>
      <c r="C104" t="inlineStr">
        <is>
          <t>Masculine</t>
        </is>
      </c>
      <c r="D104" t="inlineStr">
        <is>
          <t>Air/Earth</t>
        </is>
      </c>
      <c r="E104" t="inlineStr">
        <is>
          <t>Saturn</t>
        </is>
      </c>
      <c r="F104" t="inlineStr">
        <is>
          <t>Saturday</t>
        </is>
      </c>
      <c r="G104" t="inlineStr">
        <is>
          <t>Winter</t>
        </is>
      </c>
      <c r="H104" t="inlineStr">
        <is>
          <t>Hunting, archery, winter sports, oaths, protection in wilderness, single combat, survival, Yule rituals, Yule, Yule magic, Winter rituals</t>
        </is>
      </c>
      <c r="I104" t="inlineStr">
        <is>
          <t>Juniper, Pine, Yew, Cedar, Holly</t>
        </is>
      </c>
      <c r="J104" t="inlineStr">
        <is>
          <t>Norse god of hunting, archery, winter, and the ski. Son of Sif and stepson of Thor. Ullr is one of the oldest Norse gods and was once widely worshipped. He rules during the winter months and is an expert archer and hunter.</t>
        </is>
      </c>
      <c r="K104" t="inlineStr">
        <is>
          <t>Carved magical shields used as skis to cross vast distances in winter. Said to be so skilled with a bow that he could shoot a target across vast distances in total darkness. Oaths were sworn on his ring — to break an oath to Ullr brought terrible consequences.</t>
        </is>
      </c>
      <c r="L104" t="inlineStr">
        <is>
          <t>The spare, stripped-back green energy of conifers in winter — the yew and pine that remain green when all else sleeps. His energy is in survival, in the focussed intensity of the hunter waiting in silent snow-covered woodland.</t>
        </is>
      </c>
      <c r="M104" s="35" t="n"/>
      <c r="N104" s="36" t="n"/>
      <c r="O104" t="inlineStr">
        <is>
          <t>Wind in high branches with root, where old-root law gathers around ULLR. Opens the deeper thread of Hunting, letting what is buried inside the working show its true face. A presence for spells that need the unseen made speakable.</t>
        </is>
      </c>
      <c r="P104" t="inlineStr">
        <is>
          <t>Wind in high branches with root, with old-root law turning through ULLR. Turns the spell through Hunting, moving its energy from what was into what must grow next. A guiding presence when the spell must shift, heal, end or begin.</t>
        </is>
      </c>
      <c r="Q104" t="inlineStr">
        <is>
          <t>God</t>
        </is>
      </c>
    </row>
    <row r="105">
      <c r="A105" t="inlineStr">
        <is>
          <t>GEFN</t>
        </is>
      </c>
      <c r="B105" t="inlineStr">
        <is>
          <t>Deity</t>
        </is>
      </c>
      <c r="C105" t="inlineStr">
        <is>
          <t>Feminine</t>
        </is>
      </c>
      <c r="D105" t="inlineStr">
        <is>
          <t>Earth/Water</t>
        </is>
      </c>
      <c r="E105" t="inlineStr">
        <is>
          <t>Venus/Moon</t>
        </is>
      </c>
      <c r="F105" t="inlineStr">
        <is>
          <t>Friday</t>
        </is>
      </c>
      <c r="G105" t="inlineStr">
        <is>
          <t>Spring</t>
        </is>
      </c>
      <c r="H105" t="inlineStr">
        <is>
          <t>Virginity, abundance, land magic, ploughing, agriculture, transformation, prosperity, women's mysteries, Fertility, Female fertility, Fertility magic, Fertility charms, Aiding fertility, Increasing fertility, Fruitfulness, Virility, male virility, Abundant harvest, Wealth, Wealth/Prosperity, Attracting business, Business dealings, Financial arrangements, Aiding gain, Gain, PROSPERITY SPELLS, Increasing wealth, Money, Money spells, Attracting money, Drawing money, INCREASE MONEY, Breaking financial stagnation, Money mixtures, Protecting against poverty, Warding off poverty</t>
        </is>
      </c>
      <c r="I105" t="inlineStr">
        <is>
          <t>Flax, Elder, Apple Blossom, Primrose, Violet</t>
        </is>
      </c>
      <c r="J105" t="inlineStr">
        <is>
          <t>Norse goddess of abundance and virginity. She ploughed the land of Gylfi from Sweden, dragging it into the sea to form the island of Zealand (Denmark) using four giant oxen — her own sons transformed. She receives unmarried women after death.</t>
        </is>
      </c>
      <c r="K105" t="inlineStr">
        <is>
          <t>Transformed her four sons into oxen and used them to plough a vast tract of land from Sweden, dragging it across the sea to form the island of Zealand. This act of transformation — using her own children as instruments of creation — is one of the most powerful magical acts in Norse mythology.</t>
        </is>
      </c>
      <c r="L105" t="inlineStr">
        <is>
          <t>Her green energy is in the newly turned earth of spring ploughing — the rich dark soil broken open to receive seed. She is abundance waiting to be called forth, the latent fertility of land that has never been worked.</t>
        </is>
      </c>
      <c r="M105" s="35" t="n"/>
      <c r="N105" s="36" t="n"/>
      <c r="O105" t="inlineStr">
        <is>
          <t>River hush with root, where moon-sight gathers around GEFN. Opens women's mysteries without forcing it, letting the quiet message under the leaves rise from the green dark. A presence for spells that need the unseen made speakable.</t>
        </is>
      </c>
      <c r="P105" t="inlineStr">
        <is>
          <t>River hush with root, with moon-sight turning through GEFN. Turns transformation, feeding old energy into new growth back into the soil of the spell. A guiding presence when the spell must shift, heal, end or begin.</t>
        </is>
      </c>
      <c r="Q105" t="inlineStr">
        <is>
          <t>Goddess</t>
        </is>
      </c>
    </row>
    <row r="106">
      <c r="A106" t="inlineStr">
        <is>
          <t>URDL</t>
        </is>
      </c>
      <c r="B106" t="inlineStr">
        <is>
          <t>Deity — Norn variant</t>
        </is>
      </c>
      <c r="C106" t="inlineStr">
        <is>
          <t>Feminine</t>
        </is>
      </c>
      <c r="D106" t="inlineStr">
        <is>
          <t>Water/Earth</t>
        </is>
      </c>
      <c r="E106" t="inlineStr">
        <is>
          <t>Saturn/Moon</t>
        </is>
      </c>
      <c r="F106" t="inlineStr">
        <is>
          <t>Saturday</t>
        </is>
      </c>
      <c r="G106" t="inlineStr">
        <is>
          <t>All Seasons</t>
        </is>
      </c>
      <c r="H106" t="inlineStr">
        <is>
          <t>Past, fate, ancestry, karmic magic, the Well of Wyrd, ancestral memory, destiny, Samhain/ancestral altars, Divination,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Samhain rituals, death rites, Death and rebirth rites, Necromancy, Peaceful transition for the dead, ancestors, Crone magic, Seeing past lives, Reincarnation, Reincarnation knowledge, Past lives, Mabon/Samhain, Mabon rituals, Samhain, Enhancing divination, Divinatory incense, Foretelling the future, Future divination, Scrying, Dowsing, Prophecy</t>
        </is>
      </c>
      <c r="I106" t="inlineStr">
        <is>
          <t>Yew, Elder, Mugwort, Wormwood, Cypress</t>
        </is>
      </c>
      <c r="J106" t="inlineStr">
        <is>
          <t>Alternate spelling of Urd/Urðr — one of the three Norns who weaves fate at the Well of Urðr beneath Yggdrasil. Governs the past and ancestral memory. See URD for full entry.</t>
        </is>
      </c>
      <c r="K106" t="inlineStr">
        <is>
          <t>Weaves the threads of past fate at the Well of Urðr beneath Yggdrasil alongside her sisters Verdandi and Skuld.</t>
        </is>
      </c>
      <c r="L106" t="inlineStr">
        <is>
          <t>Deep root energy — the ancient wood and buried memory of the forest. Her green energy is in the compressed wisdom of centuries encoded in living wood.</t>
        </is>
      </c>
      <c r="M106" s="35" t="n"/>
      <c r="N106" s="36" t="n"/>
      <c r="O106" t="inlineStr">
        <is>
          <t>River hush with root, where moon-sight gathers around URDL. Opens the deeper thread of Past, letting what is buried inside the working show its true face. A presence for spells that need the unseen made speakable.</t>
        </is>
      </c>
      <c r="P106" t="inlineStr">
        <is>
          <t>River hush with root, with moon-sight turning through URDL. Turns the spell through Past, moving its energy from what was into what must grow next. A guiding presence when the spell must shift, heal, end or begin.</t>
        </is>
      </c>
      <c r="Q106" t="inlineStr">
        <is>
          <t>Goddess</t>
        </is>
      </c>
    </row>
  </sheetData>
  <autoFilter ref="A1:L1"/>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K5"/>
  <sheetViews>
    <sheetView zoomScaleNormal="100" workbookViewId="0">
      <pane xSplit="1" ySplit="1" topLeftCell="B2" activePane="bottomRight" state="frozen"/>
      <selection pane="bottomLeft" activeCell="A2" sqref="A2"/>
      <selection pane="topRight" activeCell="B1" sqref="B1"/>
      <selection pane="bottomRight" activeCell="A1" sqref="A1"/>
    </sheetView>
  </sheetViews>
  <sheetFormatPr baseColWidth="8" defaultColWidth="8.7421875" defaultRowHeight="15"/>
  <cols>
    <col width="13.98828125" customWidth="1" style="56" min="1" max="4"/>
    <col width="39.953125" customWidth="1" style="56" min="5" max="5"/>
  </cols>
  <sheetData>
    <row r="1" ht="31.5" customHeight="1" s="56">
      <c r="A1" s="1" t="inlineStr">
        <is>
          <t>Element</t>
        </is>
      </c>
      <c r="B1" s="1" t="inlineStr">
        <is>
          <t>Gender</t>
        </is>
      </c>
      <c r="C1" s="1" t="inlineStr">
        <is>
          <t>Direction</t>
        </is>
      </c>
      <c r="D1" s="1" t="inlineStr">
        <is>
          <t>Energy</t>
        </is>
      </c>
      <c r="E1" s="1" t="inlineStr">
        <is>
          <t>Colors</t>
        </is>
      </c>
      <c r="F1" s="46" t="inlineStr">
        <is>
          <t>Season</t>
        </is>
      </c>
      <c r="G1" s="46" t="inlineStr">
        <is>
          <t>Moon Phase</t>
        </is>
      </c>
      <c r="H1" s="46" t="inlineStr">
        <is>
          <t>Time of Day</t>
        </is>
      </c>
      <c r="K1" s="46" t="n"/>
    </row>
    <row r="2">
      <c r="A2" s="2" t="inlineStr">
        <is>
          <t>Air</t>
        </is>
      </c>
      <c r="B2" s="2" t="inlineStr">
        <is>
          <t>Masculine</t>
        </is>
      </c>
      <c r="C2" s="2" t="inlineStr">
        <is>
          <t>East</t>
        </is>
      </c>
      <c r="D2" s="2" t="inlineStr">
        <is>
          <t>Projective</t>
        </is>
      </c>
      <c r="E2" s="3" t="inlineStr">
        <is>
          <t>Yellow, white, crimson</t>
        </is>
      </c>
      <c r="F2" s="47" t="inlineStr">
        <is>
          <t>Spring</t>
        </is>
      </c>
      <c r="G2" s="47" t="inlineStr">
        <is>
          <t>Waxing Moon</t>
        </is>
      </c>
      <c r="H2" s="47" t="inlineStr">
        <is>
          <t>Sunrise</t>
        </is>
      </c>
    </row>
    <row r="3">
      <c r="A3" s="4" t="inlineStr">
        <is>
          <t>Fire</t>
        </is>
      </c>
      <c r="B3" s="4" t="inlineStr">
        <is>
          <t>Masculine</t>
        </is>
      </c>
      <c r="C3" s="4" t="inlineStr">
        <is>
          <t>South</t>
        </is>
      </c>
      <c r="D3" s="4" t="inlineStr">
        <is>
          <t>Projective</t>
        </is>
      </c>
      <c r="E3" s="5" t="inlineStr">
        <is>
          <t>Red, gold, crimson, orange, white</t>
        </is>
      </c>
      <c r="F3" s="47" t="inlineStr">
        <is>
          <t>Summer</t>
        </is>
      </c>
      <c r="G3" s="47" t="inlineStr">
        <is>
          <t>Full Moon</t>
        </is>
      </c>
      <c r="H3" s="47" t="inlineStr">
        <is>
          <t>Noon</t>
        </is>
      </c>
    </row>
    <row r="4">
      <c r="A4" s="2" t="inlineStr">
        <is>
          <t>Water</t>
        </is>
      </c>
      <c r="B4" s="2" t="inlineStr">
        <is>
          <t>Feminine</t>
        </is>
      </c>
      <c r="C4" s="2" t="inlineStr">
        <is>
          <t>West</t>
        </is>
      </c>
      <c r="D4" s="2" t="inlineStr">
        <is>
          <t>Receptive</t>
        </is>
      </c>
      <c r="E4" s="3" t="inlineStr">
        <is>
          <t>Blue, turquoise, green, grey, indigo, black</t>
        </is>
      </c>
      <c r="F4" s="47" t="inlineStr">
        <is>
          <t>Autumn</t>
        </is>
      </c>
      <c r="G4" s="47" t="inlineStr">
        <is>
          <t>Waning Moon</t>
        </is>
      </c>
      <c r="H4" s="47" t="inlineStr">
        <is>
          <t>Sunset</t>
        </is>
      </c>
    </row>
    <row r="5">
      <c r="A5" s="4" t="inlineStr">
        <is>
          <t>Earth</t>
        </is>
      </c>
      <c r="B5" s="4" t="inlineStr">
        <is>
          <t>Feminine</t>
        </is>
      </c>
      <c r="C5" s="4" t="inlineStr">
        <is>
          <t>North</t>
        </is>
      </c>
      <c r="D5" s="4" t="inlineStr">
        <is>
          <t>Receptive</t>
        </is>
      </c>
      <c r="E5" s="5" t="inlineStr">
        <is>
          <t>Black, green, yellow, brown</t>
        </is>
      </c>
      <c r="F5" s="47" t="inlineStr">
        <is>
          <t>Winter</t>
        </is>
      </c>
      <c r="G5" s="47" t="inlineStr">
        <is>
          <t>New Moon</t>
        </is>
      </c>
      <c r="H5" s="47" t="inlineStr">
        <is>
          <t>Midnight</t>
        </is>
      </c>
    </row>
  </sheetData>
  <autoFilter ref="A1:E1"/>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G14"/>
  <sheetViews>
    <sheetView zoomScaleNormal="100" workbookViewId="0">
      <pane xSplit="1" ySplit="1" topLeftCell="B2" activePane="bottomRight" state="frozen"/>
      <selection pane="bottomLeft" activeCell="A2" sqref="A2"/>
      <selection pane="topRight" activeCell="B1" sqref="B1"/>
      <selection pane="bottomRight" activeCell="D15" sqref="D15"/>
    </sheetView>
  </sheetViews>
  <sheetFormatPr baseColWidth="8" defaultColWidth="8.7421875" defaultRowHeight="15"/>
  <cols>
    <col width="16.0078125" customWidth="1" style="56" min="1" max="1"/>
    <col width="59.99609375" customWidth="1" style="56" min="2" max="2"/>
    <col width="20.04296875" customWidth="1" style="56" min="3" max="3"/>
    <col width="16.0078125" customWidth="1" style="56" min="4" max="4"/>
    <col width="25.9609375" customWidth="1" style="56" min="5" max="5"/>
    <col width="59.99609375" customWidth="1" style="56" min="6" max="6"/>
    <col width="22.05859375" customWidth="1" style="56" min="7" max="7"/>
  </cols>
  <sheetData>
    <row r="1" ht="31.5" customHeight="1" s="56">
      <c r="A1" s="1" t="inlineStr">
        <is>
          <t>Color</t>
        </is>
      </c>
      <c r="B1" s="1" t="inlineStr">
        <is>
          <t>Magical Uses</t>
        </is>
      </c>
      <c r="C1" s="1" t="inlineStr">
        <is>
          <t>Element</t>
        </is>
      </c>
      <c r="D1" s="1" t="inlineStr">
        <is>
          <t>Day of Week</t>
        </is>
      </c>
      <c r="E1" s="1" t="inlineStr">
        <is>
          <t>Sabbats</t>
        </is>
      </c>
      <c r="F1" s="1" t="inlineStr">
        <is>
          <t>Spiritual Uses</t>
        </is>
      </c>
      <c r="G1" s="1" t="inlineStr">
        <is>
          <t>Deity / God</t>
        </is>
      </c>
    </row>
    <row r="2" ht="25.5" customHeight="1" s="56">
      <c r="A2" s="2" t="inlineStr">
        <is>
          <t>White</t>
        </is>
      </c>
      <c r="B2" s="3" t="inlineStr">
        <is>
          <t>Balance, peace, purity, truth, spiritual enlightenment</t>
        </is>
      </c>
      <c r="C2" s="3" t="inlineStr">
        <is>
          <t>Water / Moon</t>
        </is>
      </c>
      <c r="D2" s="3" t="inlineStr">
        <is>
          <t>Monday</t>
        </is>
      </c>
      <c r="E2" s="3" t="inlineStr">
        <is>
          <t>Yule</t>
        </is>
      </c>
      <c r="F2" s="3" t="inlineStr">
        <is>
          <t>Meditation, truth seeking, spiritual enlightenment, summoning spirit guides, astral travel, psychic abilities. Can substitute for any colour.</t>
        </is>
      </c>
      <c r="G2" s="3" t="inlineStr">
        <is>
          <t>Goddess</t>
        </is>
      </c>
    </row>
    <row r="3" ht="25.5" customHeight="1" s="56">
      <c r="A3" s="4" t="inlineStr">
        <is>
          <t>Red</t>
        </is>
      </c>
      <c r="B3" s="5" t="inlineStr">
        <is>
          <t>Energy, love, passion, fertility, strength, defence</t>
        </is>
      </c>
      <c r="C3" s="5" t="inlineStr">
        <is>
          <t>Fire</t>
        </is>
      </c>
      <c r="D3" s="5" t="inlineStr">
        <is>
          <t>Tuesday</t>
        </is>
      </c>
      <c r="E3" s="5" t="inlineStr">
        <is>
          <t>Imbolc, Yule</t>
        </is>
      </c>
      <c r="F3" s="5" t="inlineStr">
        <is>
          <t>Defence magic, magnetism in rituals, courage, enthusiasm. Connected to blood, birth and death.</t>
        </is>
      </c>
      <c r="G3" s="5" t="inlineStr">
        <is>
          <t>God (Fire deities)</t>
        </is>
      </c>
    </row>
    <row r="4" ht="25.5" customHeight="1" s="56">
      <c r="A4" s="2" t="inlineStr">
        <is>
          <t>Pink</t>
        </is>
      </c>
      <c r="B4" s="3" t="inlineStr">
        <is>
          <t>Emotional love, nurturing relationships, romance, friendship</t>
        </is>
      </c>
      <c r="C4" s="3" t="inlineStr">
        <is>
          <t>Water</t>
        </is>
      </c>
      <c r="D4" s="3" t="n"/>
      <c r="E4" s="3" t="inlineStr">
        <is>
          <t>Imbolc</t>
        </is>
      </c>
      <c r="F4" s="3" t="inlineStr">
        <is>
          <t>Spiritual awakening, healing of the spirit, femininity, friendships, honour, morality. Draw affections, lively conversation.</t>
        </is>
      </c>
      <c r="G4" s="3" t="n"/>
    </row>
    <row r="5" ht="25.5" customHeight="1" s="56">
      <c r="A5" s="4" t="inlineStr">
        <is>
          <t>Orange</t>
        </is>
      </c>
      <c r="B5" s="5" t="inlineStr">
        <is>
          <t>Attraction, stimulation, personal strength, luck, change</t>
        </is>
      </c>
      <c r="C5" s="5" t="inlineStr">
        <is>
          <t>Fire</t>
        </is>
      </c>
      <c r="D5" s="5" t="n"/>
      <c r="E5" s="5" t="inlineStr">
        <is>
          <t>Lammas, Mabon</t>
        </is>
      </c>
      <c r="F5" s="5" t="inlineStr">
        <is>
          <t>Encouragement, adaptability, sudden changes. Attracts characteristics from other tools, spells and rituals.</t>
        </is>
      </c>
      <c r="G5" s="5" t="n"/>
    </row>
    <row r="6" ht="25.5" customHeight="1" s="56">
      <c r="A6" s="2" t="inlineStr">
        <is>
          <t>Yellow</t>
        </is>
      </c>
      <c r="B6" s="3" t="inlineStr">
        <is>
          <t>Creativity, intelligence, confidence, communication, energy</t>
        </is>
      </c>
      <c r="C6" s="3" t="inlineStr">
        <is>
          <t>Air</t>
        </is>
      </c>
      <c r="D6" s="3" t="inlineStr">
        <is>
          <t>Sunday</t>
        </is>
      </c>
      <c r="E6" s="3" t="inlineStr">
        <is>
          <t>Ostara, Lammas, Mabon</t>
        </is>
      </c>
      <c r="F6" s="3" t="inlineStr">
        <is>
          <t>Clairvoyance, divination, wisdom, learning, imagination, inspiration, concentration, communication.</t>
        </is>
      </c>
      <c r="G6" s="3" t="n"/>
    </row>
    <row r="7" ht="25.5" customHeight="1" s="56">
      <c r="A7" s="4" t="inlineStr">
        <is>
          <t>Green</t>
        </is>
      </c>
      <c r="B7" s="5" t="inlineStr">
        <is>
          <t>Nature, fertility, money, prosperity, luck, success</t>
        </is>
      </c>
      <c r="C7" s="5" t="inlineStr">
        <is>
          <t>Earth</t>
        </is>
      </c>
      <c r="D7" s="5" t="inlineStr">
        <is>
          <t>Friday</t>
        </is>
      </c>
      <c r="E7" s="5" t="inlineStr">
        <is>
          <t>Ostara, Beltane, Litha</t>
        </is>
      </c>
      <c r="F7" s="5" t="inlineStr">
        <is>
          <t>Financial issues, money, good fortune, prosperity, luck, ambition, success. Love, renewal, emotional soother. Counteract greed and jealousy.</t>
        </is>
      </c>
      <c r="G7" s="5" t="inlineStr">
        <is>
          <t>Goddess</t>
        </is>
      </c>
    </row>
    <row r="8" ht="25.5" customHeight="1" s="56">
      <c r="A8" s="2" t="inlineStr">
        <is>
          <t>Blue</t>
        </is>
      </c>
      <c r="B8" s="3" t="inlineStr">
        <is>
          <t>Wisdom, tranquility, harmony, peace, inner light, protection</t>
        </is>
      </c>
      <c r="C8" s="3" t="inlineStr">
        <is>
          <t>Water</t>
        </is>
      </c>
      <c r="D8" s="3" t="inlineStr">
        <is>
          <t>Thursday</t>
        </is>
      </c>
      <c r="E8" s="3" t="inlineStr">
        <is>
          <t>Litha</t>
        </is>
      </c>
      <c r="F8" s="3" t="inlineStr">
        <is>
          <t>Wisdom, tranquillity, harmony, inner light, truth. Inspiration, occult power, protection, patience, loyalty. Happiness, laughter, joviality.</t>
        </is>
      </c>
      <c r="G8" s="3" t="n"/>
    </row>
    <row r="9" ht="25.5" customHeight="1" s="56">
      <c r="A9" s="4" t="inlineStr">
        <is>
          <t>Indigo</t>
        </is>
      </c>
      <c r="B9" s="5" t="inlineStr">
        <is>
          <t>Cleansing spirit, removing fear, meditation, neutralizing</t>
        </is>
      </c>
      <c r="C9" s="5" t="inlineStr">
        <is>
          <t>Water</t>
        </is>
      </c>
      <c r="D9" s="5" t="n"/>
      <c r="E9" s="5" t="n"/>
      <c r="F9" s="5" t="inlineStr">
        <is>
          <t>Cleanse the spirit, remove fear. Deep meditative state, neutralise another's magic, counteract negative energy.</t>
        </is>
      </c>
      <c r="G9" s="5" t="n"/>
    </row>
    <row r="10" ht="25.5" customHeight="1" s="56">
      <c r="A10" s="2" t="inlineStr">
        <is>
          <t>Violet/Purple</t>
        </is>
      </c>
      <c r="B10" s="3" t="inlineStr">
        <is>
          <t>Mysticism, wisdom, ambition, household protection</t>
        </is>
      </c>
      <c r="C10" s="3" t="inlineStr">
        <is>
          <t>Air</t>
        </is>
      </c>
      <c r="D10" s="3" t="inlineStr">
        <is>
          <t>Wednesday</t>
        </is>
      </c>
      <c r="E10" s="3" t="n"/>
      <c r="F10" s="3" t="inlineStr">
        <is>
          <t>Mysticism, inspiration, wisdom, idealism, purification, success. Sensitivity, higher psychic talents, ambition, power, household protection.</t>
        </is>
      </c>
      <c r="G10" s="3" t="n"/>
    </row>
    <row r="11" ht="25.5" customHeight="1" s="56">
      <c r="A11" s="4" t="inlineStr">
        <is>
          <t>Magenta</t>
        </is>
      </c>
      <c r="B11" s="5" t="inlineStr">
        <is>
          <t>Immediate action, exorcism, quick changes</t>
        </is>
      </c>
      <c r="C11" s="5" t="inlineStr">
        <is>
          <t>Fire</t>
        </is>
      </c>
      <c r="D11" s="5" t="n"/>
      <c r="E11" s="5" t="n"/>
      <c r="F11" s="5" t="inlineStr">
        <is>
          <t>Immediate action and higher levels of power. Quick changes, exorcism, spiritual healing. Works quickly due to high vibrational frequency.</t>
        </is>
      </c>
      <c r="G11" s="5" t="n"/>
    </row>
    <row r="12" ht="25.5" customHeight="1" s="56">
      <c r="A12" s="2" t="inlineStr">
        <is>
          <t>Brown</t>
        </is>
      </c>
      <c r="B12" s="3" t="inlineStr">
        <is>
          <t>Money, financial success, stability, concentration, lost objects</t>
        </is>
      </c>
      <c r="C12" s="3" t="inlineStr">
        <is>
          <t>Earth</t>
        </is>
      </c>
      <c r="D12" s="3" t="inlineStr">
        <is>
          <t>Saturday</t>
        </is>
      </c>
      <c r="E12" s="3" t="inlineStr">
        <is>
          <t>Mabon</t>
        </is>
      </c>
      <c r="F12" s="3" t="inlineStr">
        <is>
          <t>Emotional stability, eliminate indecisiveness, concentration, study, intuition, telepathy. Finding lost objects. Protection of familiars and household pets.</t>
        </is>
      </c>
      <c r="G12" s="3" t="n"/>
    </row>
    <row r="13" ht="25.5" customHeight="1" s="56">
      <c r="A13" s="4" t="inlineStr">
        <is>
          <t>Gold</t>
        </is>
      </c>
      <c r="B13" s="5" t="inlineStr">
        <is>
          <t>Understanding, cosmic influences, intuition, luck</t>
        </is>
      </c>
      <c r="C13" s="5" t="inlineStr">
        <is>
          <t>Fire / Sun</t>
        </is>
      </c>
      <c r="D13" s="5" t="inlineStr">
        <is>
          <t>Sunday</t>
        </is>
      </c>
      <c r="E13" s="5" t="inlineStr">
        <is>
          <t>Ostara</t>
        </is>
      </c>
      <c r="F13" s="5" t="inlineStr">
        <is>
          <t>Understanding, cosmic influences, intuition, persuasion, charm, confidence. Fast luck, financial benefits. Honouring Solar Deities.</t>
        </is>
      </c>
      <c r="G13" s="5" t="inlineStr">
        <is>
          <t>Solar Deities</t>
        </is>
      </c>
    </row>
    <row r="14" ht="25.5" customHeight="1" s="56">
      <c r="A14" s="2" t="inlineStr">
        <is>
          <t>Silver or grey</t>
        </is>
      </c>
      <c r="B14" s="3" t="inlineStr">
        <is>
          <t>Neutralizing, stability, complex issues, psychic abilities</t>
        </is>
      </c>
      <c r="C14" s="3" t="inlineStr">
        <is>
          <t>Water / Moon</t>
        </is>
      </c>
      <c r="D14" s="3" t="n"/>
      <c r="E14" s="3" t="n"/>
      <c r="F14" s="3" t="inlineStr">
        <is>
          <t>Removes negative energy, encourages stability. Complex issues in meditation. Negate or neutralise. Develop psychic abilities.</t>
        </is>
      </c>
      <c r="G14" s="3" t="inlineStr">
        <is>
          <t>Goddess</t>
        </is>
      </c>
    </row>
  </sheetData>
  <autoFilter ref="A1:B1"/>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E10"/>
  <sheetViews>
    <sheetView zoomScaleNormal="100" workbookViewId="0">
      <pane xSplit="1" ySplit="1" topLeftCell="B2" activePane="bottomRight" state="frozen"/>
      <selection pane="bottomLeft" activeCell="A2" sqref="A2"/>
      <selection pane="topRight" activeCell="B1" sqref="B1"/>
      <selection pane="bottomRight" activeCell="A1" sqref="A1"/>
    </sheetView>
  </sheetViews>
  <sheetFormatPr baseColWidth="8" defaultColWidth="8.7421875" defaultRowHeight="15"/>
  <cols>
    <col width="9.953125" customWidth="1" style="56" min="1" max="1"/>
    <col width="13.98828125" customWidth="1" style="56" min="2" max="3"/>
    <col width="20.04296875" customWidth="1" style="56" min="4" max="4"/>
    <col width="55.01953125" customWidth="1" style="56" min="5" max="5"/>
  </cols>
  <sheetData>
    <row r="1" ht="31.5" customHeight="1" s="56">
      <c r="A1" s="1" t="inlineStr">
        <is>
          <t>Number</t>
        </is>
      </c>
      <c r="B1" s="1" t="inlineStr">
        <is>
          <t>Planet</t>
        </is>
      </c>
      <c r="C1" s="1" t="inlineStr">
        <is>
          <t>Element</t>
        </is>
      </c>
      <c r="D1" s="1" t="inlineStr">
        <is>
          <t>Letters</t>
        </is>
      </c>
      <c r="E1" s="1" t="inlineStr">
        <is>
          <t>Energies</t>
        </is>
      </c>
    </row>
    <row r="2">
      <c r="A2" s="2" t="inlineStr">
        <is>
          <t>1</t>
        </is>
      </c>
      <c r="B2" s="2" t="inlineStr">
        <is>
          <t>Sun</t>
        </is>
      </c>
      <c r="C2" s="2" t="inlineStr">
        <is>
          <t>Fire</t>
        </is>
      </c>
      <c r="D2" s="3" t="inlineStr">
        <is>
          <t>a, j, s</t>
        </is>
      </c>
      <c r="E2" s="3" t="inlineStr">
        <is>
          <t>Developing the self, the All, wholeness, unity, beginnings</t>
        </is>
      </c>
    </row>
    <row r="3">
      <c r="A3" s="4" t="inlineStr">
        <is>
          <t>2</t>
        </is>
      </c>
      <c r="B3" s="4" t="inlineStr">
        <is>
          <t>Moon</t>
        </is>
      </c>
      <c r="C3" s="4" t="inlineStr">
        <is>
          <t>Water</t>
        </is>
      </c>
      <c r="D3" s="5" t="inlineStr">
        <is>
          <t>b, k, t</t>
        </is>
      </c>
      <c r="E3" s="5" t="inlineStr">
        <is>
          <t>Duality, balance, couples, partnerships</t>
        </is>
      </c>
    </row>
    <row r="4">
      <c r="A4" s="2" t="inlineStr">
        <is>
          <t>3</t>
        </is>
      </c>
      <c r="B4" s="2" t="inlineStr">
        <is>
          <t>Jupiter</t>
        </is>
      </c>
      <c r="C4" s="2" t="inlineStr">
        <is>
          <t>Fire</t>
        </is>
      </c>
      <c r="D4" s="3" t="inlineStr">
        <is>
          <t>c, l, u</t>
        </is>
      </c>
      <c r="E4" s="3" t="inlineStr">
        <is>
          <t>Health, triple aspects, psychism</t>
        </is>
      </c>
    </row>
    <row r="5">
      <c r="A5" s="4" t="inlineStr">
        <is>
          <t>4</t>
        </is>
      </c>
      <c r="B5" s="4" t="inlineStr">
        <is>
          <t>Uranus</t>
        </is>
      </c>
      <c r="C5" s="4" t="inlineStr">
        <is>
          <t>Air</t>
        </is>
      </c>
      <c r="D5" s="5" t="inlineStr">
        <is>
          <t>d, m, v</t>
        </is>
      </c>
      <c r="E5" s="5" t="inlineStr">
        <is>
          <t>Quarters, foundations, the elements</t>
        </is>
      </c>
    </row>
    <row r="6">
      <c r="A6" s="2" t="inlineStr">
        <is>
          <t>5</t>
        </is>
      </c>
      <c r="B6" s="2" t="inlineStr">
        <is>
          <t>Mercury</t>
        </is>
      </c>
      <c r="C6" s="2" t="inlineStr">
        <is>
          <t>Air</t>
        </is>
      </c>
      <c r="D6" s="3" t="inlineStr">
        <is>
          <t>e, n, w</t>
        </is>
      </c>
      <c r="E6" s="3" t="inlineStr">
        <is>
          <t>Communication, fulfilment</t>
        </is>
      </c>
    </row>
    <row r="7">
      <c r="A7" s="4" t="inlineStr">
        <is>
          <t>6</t>
        </is>
      </c>
      <c r="B7" s="4" t="inlineStr">
        <is>
          <t>Venus</t>
        </is>
      </c>
      <c r="C7" s="4" t="inlineStr">
        <is>
          <t>Water</t>
        </is>
      </c>
      <c r="D7" s="5" t="inlineStr">
        <is>
          <t>f, o, x</t>
        </is>
      </c>
      <c r="E7" s="5" t="inlineStr">
        <is>
          <t>Emotions, magnetism, gods/goddesses, cats</t>
        </is>
      </c>
    </row>
    <row r="8">
      <c r="A8" s="2" t="inlineStr">
        <is>
          <t>7</t>
        </is>
      </c>
      <c r="B8" s="2" t="inlineStr">
        <is>
          <t>Neptune</t>
        </is>
      </c>
      <c r="C8" s="2" t="inlineStr">
        <is>
          <t>Water</t>
        </is>
      </c>
      <c r="D8" s="3" t="inlineStr">
        <is>
          <t>g, p, y</t>
        </is>
      </c>
      <c r="E8" s="3" t="inlineStr">
        <is>
          <t>Intuition, psychism, the dark side, shadow</t>
        </is>
      </c>
    </row>
    <row r="9">
      <c r="A9" s="4" t="inlineStr">
        <is>
          <t>8</t>
        </is>
      </c>
      <c r="B9" s="4" t="inlineStr">
        <is>
          <t>Saturn</t>
        </is>
      </c>
      <c r="C9" s="4" t="inlineStr">
        <is>
          <t>Earth</t>
        </is>
      </c>
      <c r="D9" s="5" t="inlineStr">
        <is>
          <t>h, q, z</t>
        </is>
      </c>
      <c r="E9" s="5" t="inlineStr">
        <is>
          <t>Material aspects, travel, protection, discipline</t>
        </is>
      </c>
    </row>
    <row r="10">
      <c r="A10" s="2" t="inlineStr">
        <is>
          <t>9</t>
        </is>
      </c>
      <c r="B10" s="2" t="inlineStr">
        <is>
          <t>Mars</t>
        </is>
      </c>
      <c r="C10" s="2" t="inlineStr">
        <is>
          <t>Fire</t>
        </is>
      </c>
      <c r="D10" s="3" t="inlineStr">
        <is>
          <t>i, r</t>
        </is>
      </c>
      <c r="E10" s="3" t="inlineStr">
        <is>
          <t>Aggression, conflict, dominance</t>
        </is>
      </c>
    </row>
  </sheetData>
  <autoFilter ref="A1:E1"/>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C169"/>
  <sheetViews>
    <sheetView zoomScaleNormal="100" workbookViewId="0">
      <pane xSplit="1" ySplit="1" topLeftCell="B2" activePane="bottomRight" state="frozen"/>
      <selection pane="bottomLeft" activeCell="A2" sqref="A2"/>
      <selection pane="topRight" activeCell="B1" sqref="B1"/>
      <selection pane="bottomRight" activeCell="A1" sqref="A1"/>
    </sheetView>
  </sheetViews>
  <sheetFormatPr baseColWidth="8" defaultColWidth="8.7421875" defaultRowHeight="15"/>
  <cols>
    <col width="13.98828125" customWidth="1" style="56" min="1" max="1"/>
    <col width="27.98046875" customWidth="1" style="56" min="2" max="2"/>
    <col width="16.0078125" customWidth="1" style="56" min="3" max="3"/>
  </cols>
  <sheetData>
    <row r="1" ht="31.5" customHeight="1" s="56">
      <c r="A1" s="1" t="inlineStr">
        <is>
          <t>Day</t>
        </is>
      </c>
      <c r="B1" s="1" t="inlineStr">
        <is>
          <t>Description</t>
        </is>
      </c>
      <c r="C1" s="1" t="inlineStr">
        <is>
          <t>Planet</t>
        </is>
      </c>
    </row>
    <row r="2">
      <c r="A2" s="2" t="inlineStr">
        <is>
          <t>Monday</t>
        </is>
      </c>
      <c r="B2" s="3" t="inlineStr">
        <is>
          <t>Sunrise</t>
        </is>
      </c>
      <c r="C2" s="2" t="inlineStr">
        <is>
          <t>Moon</t>
        </is>
      </c>
    </row>
    <row r="3">
      <c r="A3" s="4" t="inlineStr">
        <is>
          <t>Monday</t>
        </is>
      </c>
      <c r="B3" s="5" t="inlineStr">
        <is>
          <t>Sunrise + 1 hour</t>
        </is>
      </c>
      <c r="C3" s="4" t="inlineStr">
        <is>
          <t>Saturn</t>
        </is>
      </c>
    </row>
    <row r="4">
      <c r="A4" s="2" t="inlineStr">
        <is>
          <t>Monday</t>
        </is>
      </c>
      <c r="B4" s="3" t="inlineStr">
        <is>
          <t>Sunrise + 2 hours</t>
        </is>
      </c>
      <c r="C4" s="2" t="inlineStr">
        <is>
          <t>Jupiter</t>
        </is>
      </c>
    </row>
    <row r="5">
      <c r="A5" s="4" t="inlineStr">
        <is>
          <t>Monday</t>
        </is>
      </c>
      <c r="B5" s="5" t="inlineStr">
        <is>
          <t>Sunrise + 3 hours</t>
        </is>
      </c>
      <c r="C5" s="4" t="inlineStr">
        <is>
          <t>Mars</t>
        </is>
      </c>
    </row>
    <row r="6">
      <c r="A6" s="2" t="inlineStr">
        <is>
          <t>Monday</t>
        </is>
      </c>
      <c r="B6" s="3" t="inlineStr">
        <is>
          <t>Sunrise + 4 hours</t>
        </is>
      </c>
      <c r="C6" s="2" t="inlineStr">
        <is>
          <t>Sun</t>
        </is>
      </c>
    </row>
    <row r="7">
      <c r="A7" s="4" t="inlineStr">
        <is>
          <t>Monday</t>
        </is>
      </c>
      <c r="B7" s="5" t="inlineStr">
        <is>
          <t>Sunrise + 5 hours</t>
        </is>
      </c>
      <c r="C7" s="4" t="inlineStr">
        <is>
          <t>Venus</t>
        </is>
      </c>
    </row>
    <row r="8">
      <c r="A8" s="2" t="inlineStr">
        <is>
          <t>Monday</t>
        </is>
      </c>
      <c r="B8" s="3" t="inlineStr">
        <is>
          <t>Sunrise + 6 hours</t>
        </is>
      </c>
      <c r="C8" s="2" t="inlineStr">
        <is>
          <t>Mercury</t>
        </is>
      </c>
    </row>
    <row r="9">
      <c r="A9" s="4" t="inlineStr">
        <is>
          <t>Monday</t>
        </is>
      </c>
      <c r="B9" s="5" t="inlineStr">
        <is>
          <t>Sunrise + 7 hours</t>
        </is>
      </c>
      <c r="C9" s="4" t="inlineStr">
        <is>
          <t>Moon</t>
        </is>
      </c>
    </row>
    <row r="10">
      <c r="A10" s="2" t="inlineStr">
        <is>
          <t>Monday</t>
        </is>
      </c>
      <c r="B10" s="3" t="inlineStr">
        <is>
          <t>Sunrise + 8 hours</t>
        </is>
      </c>
      <c r="C10" s="2" t="inlineStr">
        <is>
          <t>Saturn</t>
        </is>
      </c>
    </row>
    <row r="11">
      <c r="A11" s="4" t="inlineStr">
        <is>
          <t>Monday</t>
        </is>
      </c>
      <c r="B11" s="5" t="inlineStr">
        <is>
          <t>Sunrise + 9 hours</t>
        </is>
      </c>
      <c r="C11" s="4" t="inlineStr">
        <is>
          <t>Jupiter</t>
        </is>
      </c>
    </row>
    <row r="12">
      <c r="A12" s="2" t="inlineStr">
        <is>
          <t>Monday</t>
        </is>
      </c>
      <c r="B12" s="3" t="inlineStr">
        <is>
          <t>Sunrise + 10 hours</t>
        </is>
      </c>
      <c r="C12" s="2" t="inlineStr">
        <is>
          <t>Mars</t>
        </is>
      </c>
    </row>
    <row r="13">
      <c r="A13" s="4" t="inlineStr">
        <is>
          <t>Monday</t>
        </is>
      </c>
      <c r="B13" s="5" t="inlineStr">
        <is>
          <t>Sunrise + 11 hours</t>
        </is>
      </c>
      <c r="C13" s="4" t="inlineStr">
        <is>
          <t>Sun</t>
        </is>
      </c>
    </row>
    <row r="14">
      <c r="A14" s="2" t="inlineStr">
        <is>
          <t>Monday</t>
        </is>
      </c>
      <c r="B14" s="3" t="inlineStr">
        <is>
          <t>Sunrise + 12 hours</t>
        </is>
      </c>
      <c r="C14" s="2" t="inlineStr">
        <is>
          <t>Venus</t>
        </is>
      </c>
    </row>
    <row r="15">
      <c r="A15" s="4" t="inlineStr">
        <is>
          <t>Monday</t>
        </is>
      </c>
      <c r="B15" s="5" t="inlineStr">
        <is>
          <t>Sunrise + 13 hours</t>
        </is>
      </c>
      <c r="C15" s="4" t="inlineStr">
        <is>
          <t>Mercury</t>
        </is>
      </c>
    </row>
    <row r="16">
      <c r="A16" s="2" t="inlineStr">
        <is>
          <t>Monday</t>
        </is>
      </c>
      <c r="B16" s="3" t="inlineStr">
        <is>
          <t>Sunrise + 14 hours</t>
        </is>
      </c>
      <c r="C16" s="2" t="inlineStr">
        <is>
          <t>Moon</t>
        </is>
      </c>
    </row>
    <row r="17">
      <c r="A17" s="4" t="inlineStr">
        <is>
          <t>Monday</t>
        </is>
      </c>
      <c r="B17" s="5" t="inlineStr">
        <is>
          <t>Sunrise + 15 hours</t>
        </is>
      </c>
      <c r="C17" s="4" t="inlineStr">
        <is>
          <t>Saturn</t>
        </is>
      </c>
    </row>
    <row r="18">
      <c r="A18" s="2" t="inlineStr">
        <is>
          <t>Monday</t>
        </is>
      </c>
      <c r="B18" s="3" t="inlineStr">
        <is>
          <t>Sunrise + 16 hours</t>
        </is>
      </c>
      <c r="C18" s="2" t="inlineStr">
        <is>
          <t>Jupiter</t>
        </is>
      </c>
    </row>
    <row r="19">
      <c r="A19" s="4" t="inlineStr">
        <is>
          <t>Monday</t>
        </is>
      </c>
      <c r="B19" s="5" t="inlineStr">
        <is>
          <t>Sunrise + 17 hours</t>
        </is>
      </c>
      <c r="C19" s="4" t="inlineStr">
        <is>
          <t>Mars</t>
        </is>
      </c>
    </row>
    <row r="20">
      <c r="A20" s="2" t="inlineStr">
        <is>
          <t>Monday</t>
        </is>
      </c>
      <c r="B20" s="3" t="inlineStr">
        <is>
          <t>Sunrise + 18 hours</t>
        </is>
      </c>
      <c r="C20" s="2" t="inlineStr">
        <is>
          <t>Sun</t>
        </is>
      </c>
    </row>
    <row r="21">
      <c r="A21" s="4" t="inlineStr">
        <is>
          <t>Monday</t>
        </is>
      </c>
      <c r="B21" s="5" t="inlineStr">
        <is>
          <t>Sunrise + 19 hours</t>
        </is>
      </c>
      <c r="C21" s="4" t="inlineStr">
        <is>
          <t>Venus</t>
        </is>
      </c>
    </row>
    <row r="22">
      <c r="A22" s="2" t="inlineStr">
        <is>
          <t>Monday</t>
        </is>
      </c>
      <c r="B22" s="3" t="inlineStr">
        <is>
          <t>Sunrise + 20 hours</t>
        </is>
      </c>
      <c r="C22" s="2" t="inlineStr">
        <is>
          <t>Mercury</t>
        </is>
      </c>
    </row>
    <row r="23">
      <c r="A23" s="4" t="inlineStr">
        <is>
          <t>Monday</t>
        </is>
      </c>
      <c r="B23" s="5" t="inlineStr">
        <is>
          <t>Sunrise + 21 hours</t>
        </is>
      </c>
      <c r="C23" s="4" t="inlineStr">
        <is>
          <t>Moon</t>
        </is>
      </c>
    </row>
    <row r="24">
      <c r="A24" s="2" t="inlineStr">
        <is>
          <t>Monday</t>
        </is>
      </c>
      <c r="B24" s="3" t="inlineStr">
        <is>
          <t>Sunrise + 22 hours</t>
        </is>
      </c>
      <c r="C24" s="2" t="inlineStr">
        <is>
          <t>Saturn</t>
        </is>
      </c>
    </row>
    <row r="25">
      <c r="A25" s="4" t="inlineStr">
        <is>
          <t>Monday</t>
        </is>
      </c>
      <c r="B25" s="5" t="inlineStr">
        <is>
          <t>Sunrise + 23 hours</t>
        </is>
      </c>
      <c r="C25" s="4" t="inlineStr">
        <is>
          <t>Jupiter</t>
        </is>
      </c>
    </row>
    <row r="26">
      <c r="A26" s="2" t="inlineStr">
        <is>
          <t>Tuesday</t>
        </is>
      </c>
      <c r="B26" s="3" t="inlineStr">
        <is>
          <t>Sunrise</t>
        </is>
      </c>
      <c r="C26" s="2" t="inlineStr">
        <is>
          <t>Mars</t>
        </is>
      </c>
    </row>
    <row r="27">
      <c r="A27" s="4" t="inlineStr">
        <is>
          <t>Tuesday</t>
        </is>
      </c>
      <c r="B27" s="5" t="inlineStr">
        <is>
          <t>Sunrise + 1 hour</t>
        </is>
      </c>
      <c r="C27" s="4" t="inlineStr">
        <is>
          <t>Sun</t>
        </is>
      </c>
    </row>
    <row r="28">
      <c r="A28" s="2" t="inlineStr">
        <is>
          <t>Tuesday</t>
        </is>
      </c>
      <c r="B28" s="3" t="inlineStr">
        <is>
          <t>Sunrise + 2 hours</t>
        </is>
      </c>
      <c r="C28" s="2" t="inlineStr">
        <is>
          <t>Venus</t>
        </is>
      </c>
    </row>
    <row r="29">
      <c r="A29" s="4" t="inlineStr">
        <is>
          <t>Tuesday</t>
        </is>
      </c>
      <c r="B29" s="5" t="inlineStr">
        <is>
          <t>Sunrise + 3 hours</t>
        </is>
      </c>
      <c r="C29" s="4" t="inlineStr">
        <is>
          <t>Mercury</t>
        </is>
      </c>
    </row>
    <row r="30">
      <c r="A30" s="2" t="inlineStr">
        <is>
          <t>Tuesday</t>
        </is>
      </c>
      <c r="B30" s="3" t="inlineStr">
        <is>
          <t>Sunrise + 4 hours</t>
        </is>
      </c>
      <c r="C30" s="2" t="inlineStr">
        <is>
          <t>Moon</t>
        </is>
      </c>
    </row>
    <row r="31">
      <c r="A31" s="4" t="inlineStr">
        <is>
          <t>Tuesday</t>
        </is>
      </c>
      <c r="B31" s="5" t="inlineStr">
        <is>
          <t>Sunrise + 5 hours</t>
        </is>
      </c>
      <c r="C31" s="4" t="inlineStr">
        <is>
          <t>Saturn</t>
        </is>
      </c>
    </row>
    <row r="32">
      <c r="A32" s="2" t="inlineStr">
        <is>
          <t>Tuesday</t>
        </is>
      </c>
      <c r="B32" s="3" t="inlineStr">
        <is>
          <t>Sunrise + 6 hours</t>
        </is>
      </c>
      <c r="C32" s="2" t="inlineStr">
        <is>
          <t>Jupiter</t>
        </is>
      </c>
    </row>
    <row r="33">
      <c r="A33" s="4" t="inlineStr">
        <is>
          <t>Tuesday</t>
        </is>
      </c>
      <c r="B33" s="5" t="inlineStr">
        <is>
          <t>Sunrise + 7 hours</t>
        </is>
      </c>
      <c r="C33" s="4" t="inlineStr">
        <is>
          <t>Mars</t>
        </is>
      </c>
    </row>
    <row r="34">
      <c r="A34" s="2" t="inlineStr">
        <is>
          <t>Tuesday</t>
        </is>
      </c>
      <c r="B34" s="3" t="inlineStr">
        <is>
          <t>Sunrise + 8 hours</t>
        </is>
      </c>
      <c r="C34" s="2" t="inlineStr">
        <is>
          <t>Sun</t>
        </is>
      </c>
    </row>
    <row r="35">
      <c r="A35" s="4" t="inlineStr">
        <is>
          <t>Tuesday</t>
        </is>
      </c>
      <c r="B35" s="5" t="inlineStr">
        <is>
          <t>Sunrise + 9 hours</t>
        </is>
      </c>
      <c r="C35" s="4" t="inlineStr">
        <is>
          <t>Venus</t>
        </is>
      </c>
    </row>
    <row r="36">
      <c r="A36" s="2" t="inlineStr">
        <is>
          <t>Tuesday</t>
        </is>
      </c>
      <c r="B36" s="3" t="inlineStr">
        <is>
          <t>Sunrise + 10 hours</t>
        </is>
      </c>
      <c r="C36" s="2" t="inlineStr">
        <is>
          <t>Mercury</t>
        </is>
      </c>
    </row>
    <row r="37">
      <c r="A37" s="4" t="inlineStr">
        <is>
          <t>Tuesday</t>
        </is>
      </c>
      <c r="B37" s="5" t="inlineStr">
        <is>
          <t>Sunrise + 11 hours</t>
        </is>
      </c>
      <c r="C37" s="4" t="inlineStr">
        <is>
          <t>Moon</t>
        </is>
      </c>
    </row>
    <row r="38">
      <c r="A38" s="2" t="inlineStr">
        <is>
          <t>Tuesday</t>
        </is>
      </c>
      <c r="B38" s="3" t="inlineStr">
        <is>
          <t>Sunrise + 12 hours</t>
        </is>
      </c>
      <c r="C38" s="2" t="inlineStr">
        <is>
          <t>Saturn</t>
        </is>
      </c>
    </row>
    <row r="39">
      <c r="A39" s="4" t="inlineStr">
        <is>
          <t>Tuesday</t>
        </is>
      </c>
      <c r="B39" s="5" t="inlineStr">
        <is>
          <t>Sunrise + 13 hours</t>
        </is>
      </c>
      <c r="C39" s="4" t="inlineStr">
        <is>
          <t>Jupiter</t>
        </is>
      </c>
    </row>
    <row r="40">
      <c r="A40" s="2" t="inlineStr">
        <is>
          <t>Tuesday</t>
        </is>
      </c>
      <c r="B40" s="3" t="inlineStr">
        <is>
          <t>Sunrise + 14 hours</t>
        </is>
      </c>
      <c r="C40" s="2" t="inlineStr">
        <is>
          <t>Mars</t>
        </is>
      </c>
    </row>
    <row r="41">
      <c r="A41" s="4" t="inlineStr">
        <is>
          <t>Tuesday</t>
        </is>
      </c>
      <c r="B41" s="5" t="inlineStr">
        <is>
          <t>Sunrise + 15 hours</t>
        </is>
      </c>
      <c r="C41" s="4" t="inlineStr">
        <is>
          <t>Sun</t>
        </is>
      </c>
    </row>
    <row r="42">
      <c r="A42" s="2" t="inlineStr">
        <is>
          <t>Tuesday</t>
        </is>
      </c>
      <c r="B42" s="3" t="inlineStr">
        <is>
          <t>Sunrise + 16 hours</t>
        </is>
      </c>
      <c r="C42" s="2" t="inlineStr">
        <is>
          <t>Venus</t>
        </is>
      </c>
    </row>
    <row r="43">
      <c r="A43" s="4" t="inlineStr">
        <is>
          <t>Tuesday</t>
        </is>
      </c>
      <c r="B43" s="5" t="inlineStr">
        <is>
          <t>Sunrise + 17 hours</t>
        </is>
      </c>
      <c r="C43" s="4" t="inlineStr">
        <is>
          <t>Mercury</t>
        </is>
      </c>
    </row>
    <row r="44">
      <c r="A44" s="2" t="inlineStr">
        <is>
          <t>Tuesday</t>
        </is>
      </c>
      <c r="B44" s="3" t="inlineStr">
        <is>
          <t>Sunrise + 18 hours</t>
        </is>
      </c>
      <c r="C44" s="2" t="inlineStr">
        <is>
          <t>Moon</t>
        </is>
      </c>
    </row>
    <row r="45">
      <c r="A45" s="4" t="inlineStr">
        <is>
          <t>Tuesday</t>
        </is>
      </c>
      <c r="B45" s="5" t="inlineStr">
        <is>
          <t>Sunrise + 19 hours</t>
        </is>
      </c>
      <c r="C45" s="4" t="inlineStr">
        <is>
          <t>Saturn</t>
        </is>
      </c>
    </row>
    <row r="46">
      <c r="A46" s="2" t="inlineStr">
        <is>
          <t>Tuesday</t>
        </is>
      </c>
      <c r="B46" s="3" t="inlineStr">
        <is>
          <t>Sunrise + 20 hours</t>
        </is>
      </c>
      <c r="C46" s="2" t="inlineStr">
        <is>
          <t>Jupiter</t>
        </is>
      </c>
    </row>
    <row r="47">
      <c r="A47" s="4" t="inlineStr">
        <is>
          <t>Tuesday</t>
        </is>
      </c>
      <c r="B47" s="5" t="inlineStr">
        <is>
          <t>Sunrise + 21 hours</t>
        </is>
      </c>
      <c r="C47" s="4" t="inlineStr">
        <is>
          <t>Mars</t>
        </is>
      </c>
    </row>
    <row r="48">
      <c r="A48" s="2" t="inlineStr">
        <is>
          <t>Tuesday</t>
        </is>
      </c>
      <c r="B48" s="3" t="inlineStr">
        <is>
          <t>Sunrise + 22 hours</t>
        </is>
      </c>
      <c r="C48" s="2" t="inlineStr">
        <is>
          <t>Sun</t>
        </is>
      </c>
    </row>
    <row r="49">
      <c r="A49" s="4" t="inlineStr">
        <is>
          <t>Tuesday</t>
        </is>
      </c>
      <c r="B49" s="5" t="inlineStr">
        <is>
          <t>Sunrise + 23 hours</t>
        </is>
      </c>
      <c r="C49" s="4" t="inlineStr">
        <is>
          <t>Venus</t>
        </is>
      </c>
    </row>
    <row r="50">
      <c r="A50" s="2" t="inlineStr">
        <is>
          <t>Wednesday</t>
        </is>
      </c>
      <c r="B50" s="3" t="inlineStr">
        <is>
          <t>Sunrise</t>
        </is>
      </c>
      <c r="C50" s="2" t="inlineStr">
        <is>
          <t>Mercury</t>
        </is>
      </c>
    </row>
    <row r="51">
      <c r="A51" s="4" t="inlineStr">
        <is>
          <t>Wednesday</t>
        </is>
      </c>
      <c r="B51" s="5" t="inlineStr">
        <is>
          <t>Sunrise + 1 hour</t>
        </is>
      </c>
      <c r="C51" s="4" t="inlineStr">
        <is>
          <t>Moon</t>
        </is>
      </c>
    </row>
    <row r="52">
      <c r="A52" s="2" t="inlineStr">
        <is>
          <t>Wednesday</t>
        </is>
      </c>
      <c r="B52" s="3" t="inlineStr">
        <is>
          <t>Sunrise + 2 hours</t>
        </is>
      </c>
      <c r="C52" s="2" t="inlineStr">
        <is>
          <t>Saturn</t>
        </is>
      </c>
    </row>
    <row r="53">
      <c r="A53" s="4" t="inlineStr">
        <is>
          <t>Wednesday</t>
        </is>
      </c>
      <c r="B53" s="5" t="inlineStr">
        <is>
          <t>Sunrise + 3 hours</t>
        </is>
      </c>
      <c r="C53" s="4" t="inlineStr">
        <is>
          <t>Jupiter</t>
        </is>
      </c>
    </row>
    <row r="54">
      <c r="A54" s="2" t="inlineStr">
        <is>
          <t>Wednesday</t>
        </is>
      </c>
      <c r="B54" s="3" t="inlineStr">
        <is>
          <t>Sunrise + 4 hours</t>
        </is>
      </c>
      <c r="C54" s="2" t="inlineStr">
        <is>
          <t>Mars</t>
        </is>
      </c>
    </row>
    <row r="55">
      <c r="A55" s="4" t="inlineStr">
        <is>
          <t>Wednesday</t>
        </is>
      </c>
      <c r="B55" s="5" t="inlineStr">
        <is>
          <t>Sunrise + 5 hours</t>
        </is>
      </c>
      <c r="C55" s="4" t="inlineStr">
        <is>
          <t>Sun</t>
        </is>
      </c>
    </row>
    <row r="56">
      <c r="A56" s="2" t="inlineStr">
        <is>
          <t>Wednesday</t>
        </is>
      </c>
      <c r="B56" s="3" t="inlineStr">
        <is>
          <t>Sunrise + 6 hours</t>
        </is>
      </c>
      <c r="C56" s="2" t="inlineStr">
        <is>
          <t>Venus</t>
        </is>
      </c>
    </row>
    <row r="57">
      <c r="A57" s="4" t="inlineStr">
        <is>
          <t>Wednesday</t>
        </is>
      </c>
      <c r="B57" s="5" t="inlineStr">
        <is>
          <t>Sunrise + 7 hours</t>
        </is>
      </c>
      <c r="C57" s="4" t="inlineStr">
        <is>
          <t>Mercury</t>
        </is>
      </c>
    </row>
    <row r="58">
      <c r="A58" s="2" t="inlineStr">
        <is>
          <t>Wednesday</t>
        </is>
      </c>
      <c r="B58" s="3" t="inlineStr">
        <is>
          <t>Sunrise + 8 hours</t>
        </is>
      </c>
      <c r="C58" s="2" t="inlineStr">
        <is>
          <t>Moon</t>
        </is>
      </c>
    </row>
    <row r="59">
      <c r="A59" s="4" t="inlineStr">
        <is>
          <t>Wednesday</t>
        </is>
      </c>
      <c r="B59" s="5" t="inlineStr">
        <is>
          <t>Sunrise + 9 hours</t>
        </is>
      </c>
      <c r="C59" s="4" t="inlineStr">
        <is>
          <t>Saturn</t>
        </is>
      </c>
    </row>
    <row r="60">
      <c r="A60" s="2" t="inlineStr">
        <is>
          <t>Wednesday</t>
        </is>
      </c>
      <c r="B60" s="3" t="inlineStr">
        <is>
          <t>Sunrise + 10 hours</t>
        </is>
      </c>
      <c r="C60" s="2" t="inlineStr">
        <is>
          <t>Jupiter</t>
        </is>
      </c>
    </row>
    <row r="61">
      <c r="A61" s="4" t="inlineStr">
        <is>
          <t>Wednesday</t>
        </is>
      </c>
      <c r="B61" s="5" t="inlineStr">
        <is>
          <t>Sunrise + 11 hours</t>
        </is>
      </c>
      <c r="C61" s="4" t="inlineStr">
        <is>
          <t>Mars</t>
        </is>
      </c>
    </row>
    <row r="62">
      <c r="A62" s="2" t="inlineStr">
        <is>
          <t>Wednesday</t>
        </is>
      </c>
      <c r="B62" s="3" t="inlineStr">
        <is>
          <t>Sunrise + 12 hours</t>
        </is>
      </c>
      <c r="C62" s="2" t="inlineStr">
        <is>
          <t>Sun</t>
        </is>
      </c>
    </row>
    <row r="63">
      <c r="A63" s="4" t="inlineStr">
        <is>
          <t>Wednesday</t>
        </is>
      </c>
      <c r="B63" s="5" t="inlineStr">
        <is>
          <t>Sunrise + 13 hours</t>
        </is>
      </c>
      <c r="C63" s="4" t="inlineStr">
        <is>
          <t>Venus</t>
        </is>
      </c>
    </row>
    <row r="64">
      <c r="A64" s="2" t="inlineStr">
        <is>
          <t>Wednesday</t>
        </is>
      </c>
      <c r="B64" s="3" t="inlineStr">
        <is>
          <t>Sunrise + 14 hours</t>
        </is>
      </c>
      <c r="C64" s="2" t="inlineStr">
        <is>
          <t>Mercury</t>
        </is>
      </c>
    </row>
    <row r="65">
      <c r="A65" s="4" t="inlineStr">
        <is>
          <t>Wednesday</t>
        </is>
      </c>
      <c r="B65" s="5" t="inlineStr">
        <is>
          <t>Sunrise + 15 hours</t>
        </is>
      </c>
      <c r="C65" s="4" t="inlineStr">
        <is>
          <t>Moon</t>
        </is>
      </c>
    </row>
    <row r="66">
      <c r="A66" s="2" t="inlineStr">
        <is>
          <t>Wednesday</t>
        </is>
      </c>
      <c r="B66" s="3" t="inlineStr">
        <is>
          <t>Sunrise + 16 hours</t>
        </is>
      </c>
      <c r="C66" s="2" t="inlineStr">
        <is>
          <t>Saturn</t>
        </is>
      </c>
    </row>
    <row r="67">
      <c r="A67" s="4" t="inlineStr">
        <is>
          <t>Wednesday</t>
        </is>
      </c>
      <c r="B67" s="5" t="inlineStr">
        <is>
          <t>Sunrise + 17 hours</t>
        </is>
      </c>
      <c r="C67" s="4" t="inlineStr">
        <is>
          <t>Jupiter</t>
        </is>
      </c>
    </row>
    <row r="68">
      <c r="A68" s="2" t="inlineStr">
        <is>
          <t>Wednesday</t>
        </is>
      </c>
      <c r="B68" s="3" t="inlineStr">
        <is>
          <t>Sunrise + 18 hours</t>
        </is>
      </c>
      <c r="C68" s="2" t="inlineStr">
        <is>
          <t>Mars</t>
        </is>
      </c>
    </row>
    <row r="69">
      <c r="A69" s="4" t="inlineStr">
        <is>
          <t>Wednesday</t>
        </is>
      </c>
      <c r="B69" s="5" t="inlineStr">
        <is>
          <t>Sunrise + 19 hours</t>
        </is>
      </c>
      <c r="C69" s="4" t="inlineStr">
        <is>
          <t>Sun</t>
        </is>
      </c>
    </row>
    <row r="70">
      <c r="A70" s="2" t="inlineStr">
        <is>
          <t>Wednesday</t>
        </is>
      </c>
      <c r="B70" s="3" t="inlineStr">
        <is>
          <t>Sunrise + 20 hours</t>
        </is>
      </c>
      <c r="C70" s="2" t="inlineStr">
        <is>
          <t>Venus</t>
        </is>
      </c>
    </row>
    <row r="71">
      <c r="A71" s="4" t="inlineStr">
        <is>
          <t>Wednesday</t>
        </is>
      </c>
      <c r="B71" s="5" t="inlineStr">
        <is>
          <t>Sunrise + 21 hours</t>
        </is>
      </c>
      <c r="C71" s="4" t="inlineStr">
        <is>
          <t>Mercury</t>
        </is>
      </c>
    </row>
    <row r="72">
      <c r="A72" s="2" t="inlineStr">
        <is>
          <t>Wednesday</t>
        </is>
      </c>
      <c r="B72" s="3" t="inlineStr">
        <is>
          <t>Sunrise + 22 hours</t>
        </is>
      </c>
      <c r="C72" s="2" t="inlineStr">
        <is>
          <t>Moon</t>
        </is>
      </c>
    </row>
    <row r="73">
      <c r="A73" s="4" t="inlineStr">
        <is>
          <t>Wednesday</t>
        </is>
      </c>
      <c r="B73" s="5" t="inlineStr">
        <is>
          <t>Sunrise + 23 hours</t>
        </is>
      </c>
      <c r="C73" s="4" t="inlineStr">
        <is>
          <t>Saturn</t>
        </is>
      </c>
    </row>
    <row r="74">
      <c r="A74" s="2" t="inlineStr">
        <is>
          <t>Thursday</t>
        </is>
      </c>
      <c r="B74" s="3" t="inlineStr">
        <is>
          <t>Sunrise</t>
        </is>
      </c>
      <c r="C74" s="2" t="inlineStr">
        <is>
          <t>Jupiter</t>
        </is>
      </c>
    </row>
    <row r="75">
      <c r="A75" s="4" t="inlineStr">
        <is>
          <t>Thursday</t>
        </is>
      </c>
      <c r="B75" s="5" t="inlineStr">
        <is>
          <t>Sunrise + 1 hour</t>
        </is>
      </c>
      <c r="C75" s="4" t="inlineStr">
        <is>
          <t>Mars</t>
        </is>
      </c>
    </row>
    <row r="76">
      <c r="A76" s="2" t="inlineStr">
        <is>
          <t>Thursday</t>
        </is>
      </c>
      <c r="B76" s="3" t="inlineStr">
        <is>
          <t>Sunrise + 2 hours</t>
        </is>
      </c>
      <c r="C76" s="2" t="inlineStr">
        <is>
          <t>Sun</t>
        </is>
      </c>
    </row>
    <row r="77">
      <c r="A77" s="4" t="inlineStr">
        <is>
          <t>Thursday</t>
        </is>
      </c>
      <c r="B77" s="5" t="inlineStr">
        <is>
          <t>Sunrise + 3 hours</t>
        </is>
      </c>
      <c r="C77" s="4" t="inlineStr">
        <is>
          <t>Venus</t>
        </is>
      </c>
    </row>
    <row r="78">
      <c r="A78" s="2" t="inlineStr">
        <is>
          <t>Thursday</t>
        </is>
      </c>
      <c r="B78" s="3" t="inlineStr">
        <is>
          <t>Sunrise + 4 hours</t>
        </is>
      </c>
      <c r="C78" s="2" t="inlineStr">
        <is>
          <t>Mercury</t>
        </is>
      </c>
    </row>
    <row r="79">
      <c r="A79" s="4" t="inlineStr">
        <is>
          <t>Thursday</t>
        </is>
      </c>
      <c r="B79" s="5" t="inlineStr">
        <is>
          <t>Sunrise + 5 hours</t>
        </is>
      </c>
      <c r="C79" s="4" t="inlineStr">
        <is>
          <t>Moon</t>
        </is>
      </c>
    </row>
    <row r="80">
      <c r="A80" s="2" t="inlineStr">
        <is>
          <t>Thursday</t>
        </is>
      </c>
      <c r="B80" s="3" t="inlineStr">
        <is>
          <t>Sunrise + 6 hours</t>
        </is>
      </c>
      <c r="C80" s="2" t="inlineStr">
        <is>
          <t>Saturn</t>
        </is>
      </c>
    </row>
    <row r="81">
      <c r="A81" s="4" t="inlineStr">
        <is>
          <t>Thursday</t>
        </is>
      </c>
      <c r="B81" s="5" t="inlineStr">
        <is>
          <t>Sunrise + 7 hours</t>
        </is>
      </c>
      <c r="C81" s="4" t="inlineStr">
        <is>
          <t>Jupiter</t>
        </is>
      </c>
    </row>
    <row r="82">
      <c r="A82" s="2" t="inlineStr">
        <is>
          <t>Thursday</t>
        </is>
      </c>
      <c r="B82" s="3" t="inlineStr">
        <is>
          <t>Sunrise + 8 hours</t>
        </is>
      </c>
      <c r="C82" s="2" t="inlineStr">
        <is>
          <t>Mars</t>
        </is>
      </c>
    </row>
    <row r="83">
      <c r="A83" s="4" t="inlineStr">
        <is>
          <t>Thursday</t>
        </is>
      </c>
      <c r="B83" s="5" t="inlineStr">
        <is>
          <t>Sunrise + 9 hours</t>
        </is>
      </c>
      <c r="C83" s="4" t="inlineStr">
        <is>
          <t>Sun</t>
        </is>
      </c>
    </row>
    <row r="84">
      <c r="A84" s="2" t="inlineStr">
        <is>
          <t>Thursday</t>
        </is>
      </c>
      <c r="B84" s="3" t="inlineStr">
        <is>
          <t>Sunrise + 10 hours</t>
        </is>
      </c>
      <c r="C84" s="2" t="inlineStr">
        <is>
          <t>Venus</t>
        </is>
      </c>
    </row>
    <row r="85">
      <c r="A85" s="4" t="inlineStr">
        <is>
          <t>Thursday</t>
        </is>
      </c>
      <c r="B85" s="5" t="inlineStr">
        <is>
          <t>Sunrise + 11 hours</t>
        </is>
      </c>
      <c r="C85" s="4" t="inlineStr">
        <is>
          <t>Mercury</t>
        </is>
      </c>
    </row>
    <row r="86">
      <c r="A86" s="2" t="inlineStr">
        <is>
          <t>Thursday</t>
        </is>
      </c>
      <c r="B86" s="3" t="inlineStr">
        <is>
          <t>Sunrise + 12 hours</t>
        </is>
      </c>
      <c r="C86" s="2" t="inlineStr">
        <is>
          <t>Moon</t>
        </is>
      </c>
    </row>
    <row r="87">
      <c r="A87" s="4" t="inlineStr">
        <is>
          <t>Thursday</t>
        </is>
      </c>
      <c r="B87" s="5" t="inlineStr">
        <is>
          <t>Sunrise + 13 hours</t>
        </is>
      </c>
      <c r="C87" s="4" t="inlineStr">
        <is>
          <t>Saturn</t>
        </is>
      </c>
    </row>
    <row r="88">
      <c r="A88" s="2" t="inlineStr">
        <is>
          <t>Thursday</t>
        </is>
      </c>
      <c r="B88" s="3" t="inlineStr">
        <is>
          <t>Sunrise + 14 hours</t>
        </is>
      </c>
      <c r="C88" s="2" t="inlineStr">
        <is>
          <t>Jupiter</t>
        </is>
      </c>
    </row>
    <row r="89">
      <c r="A89" s="4" t="inlineStr">
        <is>
          <t>Thursday</t>
        </is>
      </c>
      <c r="B89" s="5" t="inlineStr">
        <is>
          <t>Sunrise + 15 hours</t>
        </is>
      </c>
      <c r="C89" s="4" t="inlineStr">
        <is>
          <t>Mars</t>
        </is>
      </c>
    </row>
    <row r="90">
      <c r="A90" s="2" t="inlineStr">
        <is>
          <t>Thursday</t>
        </is>
      </c>
      <c r="B90" s="3" t="inlineStr">
        <is>
          <t>Sunrise + 16 hours</t>
        </is>
      </c>
      <c r="C90" s="2" t="inlineStr">
        <is>
          <t>Sun</t>
        </is>
      </c>
    </row>
    <row r="91">
      <c r="A91" s="4" t="inlineStr">
        <is>
          <t>Thursday</t>
        </is>
      </c>
      <c r="B91" s="5" t="inlineStr">
        <is>
          <t>Sunrise + 17 hours</t>
        </is>
      </c>
      <c r="C91" s="4" t="inlineStr">
        <is>
          <t>Venus</t>
        </is>
      </c>
    </row>
    <row r="92">
      <c r="A92" s="2" t="inlineStr">
        <is>
          <t>Thursday</t>
        </is>
      </c>
      <c r="B92" s="3" t="inlineStr">
        <is>
          <t>Sunrise + 18 hours</t>
        </is>
      </c>
      <c r="C92" s="2" t="inlineStr">
        <is>
          <t>Mercury</t>
        </is>
      </c>
    </row>
    <row r="93">
      <c r="A93" s="4" t="inlineStr">
        <is>
          <t>Thursday</t>
        </is>
      </c>
      <c r="B93" s="5" t="inlineStr">
        <is>
          <t>Sunrise + 19 hours</t>
        </is>
      </c>
      <c r="C93" s="4" t="inlineStr">
        <is>
          <t>Moon</t>
        </is>
      </c>
    </row>
    <row r="94">
      <c r="A94" s="2" t="inlineStr">
        <is>
          <t>Thursday</t>
        </is>
      </c>
      <c r="B94" s="3" t="inlineStr">
        <is>
          <t>Sunrise + 20 hours</t>
        </is>
      </c>
      <c r="C94" s="2" t="inlineStr">
        <is>
          <t>Saturn</t>
        </is>
      </c>
    </row>
    <row r="95">
      <c r="A95" s="4" t="inlineStr">
        <is>
          <t>Thursday</t>
        </is>
      </c>
      <c r="B95" s="5" t="inlineStr">
        <is>
          <t>Sunrise + 21 hours</t>
        </is>
      </c>
      <c r="C95" s="4" t="inlineStr">
        <is>
          <t>Jupiter</t>
        </is>
      </c>
    </row>
    <row r="96">
      <c r="A96" s="2" t="inlineStr">
        <is>
          <t>Thursday</t>
        </is>
      </c>
      <c r="B96" s="3" t="inlineStr">
        <is>
          <t>Sunrise + 22 hours</t>
        </is>
      </c>
      <c r="C96" s="2" t="inlineStr">
        <is>
          <t>Mars</t>
        </is>
      </c>
    </row>
    <row r="97">
      <c r="A97" s="4" t="inlineStr">
        <is>
          <t>Thursday</t>
        </is>
      </c>
      <c r="B97" s="5" t="inlineStr">
        <is>
          <t>Sunrise + 23 hours</t>
        </is>
      </c>
      <c r="C97" s="4" t="inlineStr">
        <is>
          <t>Sun</t>
        </is>
      </c>
    </row>
    <row r="98">
      <c r="A98" s="2" t="inlineStr">
        <is>
          <t>Friday</t>
        </is>
      </c>
      <c r="B98" s="3" t="inlineStr">
        <is>
          <t>Sunrise</t>
        </is>
      </c>
      <c r="C98" s="2" t="inlineStr">
        <is>
          <t>Venus</t>
        </is>
      </c>
    </row>
    <row r="99">
      <c r="A99" s="4" t="inlineStr">
        <is>
          <t>Friday</t>
        </is>
      </c>
      <c r="B99" s="5" t="inlineStr">
        <is>
          <t>Sunrise + 1 hour</t>
        </is>
      </c>
      <c r="C99" s="4" t="inlineStr">
        <is>
          <t>Mercury</t>
        </is>
      </c>
    </row>
    <row r="100">
      <c r="A100" s="2" t="inlineStr">
        <is>
          <t>Friday</t>
        </is>
      </c>
      <c r="B100" s="3" t="inlineStr">
        <is>
          <t>Sunrise + 2 hours</t>
        </is>
      </c>
      <c r="C100" s="2" t="inlineStr">
        <is>
          <t>Moon</t>
        </is>
      </c>
    </row>
    <row r="101">
      <c r="A101" s="4" t="inlineStr">
        <is>
          <t>Friday</t>
        </is>
      </c>
      <c r="B101" s="5" t="inlineStr">
        <is>
          <t>Sunrise + 3 hours</t>
        </is>
      </c>
      <c r="C101" s="4" t="inlineStr">
        <is>
          <t>Saturn</t>
        </is>
      </c>
    </row>
    <row r="102">
      <c r="A102" s="2" t="inlineStr">
        <is>
          <t>Friday</t>
        </is>
      </c>
      <c r="B102" s="3" t="inlineStr">
        <is>
          <t>Sunrise + 4 hours</t>
        </is>
      </c>
      <c r="C102" s="2" t="inlineStr">
        <is>
          <t>Jupiter</t>
        </is>
      </c>
    </row>
    <row r="103">
      <c r="A103" s="4" t="inlineStr">
        <is>
          <t>Friday</t>
        </is>
      </c>
      <c r="B103" s="5" t="inlineStr">
        <is>
          <t>Sunrise + 5 hours</t>
        </is>
      </c>
      <c r="C103" s="4" t="inlineStr">
        <is>
          <t>Mars</t>
        </is>
      </c>
    </row>
    <row r="104">
      <c r="A104" s="2" t="inlineStr">
        <is>
          <t>Friday</t>
        </is>
      </c>
      <c r="B104" s="3" t="inlineStr">
        <is>
          <t>Sunrise + 6 hours</t>
        </is>
      </c>
      <c r="C104" s="2" t="inlineStr">
        <is>
          <t>Sun</t>
        </is>
      </c>
    </row>
    <row r="105">
      <c r="A105" s="4" t="inlineStr">
        <is>
          <t>Friday</t>
        </is>
      </c>
      <c r="B105" s="5" t="inlineStr">
        <is>
          <t>Sunrise + 7 hours</t>
        </is>
      </c>
      <c r="C105" s="4" t="inlineStr">
        <is>
          <t>Venus</t>
        </is>
      </c>
    </row>
    <row r="106">
      <c r="A106" s="2" t="inlineStr">
        <is>
          <t>Friday</t>
        </is>
      </c>
      <c r="B106" s="3" t="inlineStr">
        <is>
          <t>Sunrise + 8 hours</t>
        </is>
      </c>
      <c r="C106" s="2" t="inlineStr">
        <is>
          <t>Mercury</t>
        </is>
      </c>
    </row>
    <row r="107">
      <c r="A107" s="4" t="inlineStr">
        <is>
          <t>Friday</t>
        </is>
      </c>
      <c r="B107" s="5" t="inlineStr">
        <is>
          <t>Sunrise + 9 hours</t>
        </is>
      </c>
      <c r="C107" s="4" t="inlineStr">
        <is>
          <t>Moon</t>
        </is>
      </c>
    </row>
    <row r="108">
      <c r="A108" s="2" t="inlineStr">
        <is>
          <t>Friday</t>
        </is>
      </c>
      <c r="B108" s="3" t="inlineStr">
        <is>
          <t>Sunrise + 10 hours</t>
        </is>
      </c>
      <c r="C108" s="2" t="inlineStr">
        <is>
          <t>Saturn</t>
        </is>
      </c>
    </row>
    <row r="109">
      <c r="A109" s="4" t="inlineStr">
        <is>
          <t>Friday</t>
        </is>
      </c>
      <c r="B109" s="5" t="inlineStr">
        <is>
          <t>Sunrise + 11 hours</t>
        </is>
      </c>
      <c r="C109" s="4" t="inlineStr">
        <is>
          <t>Jupiter</t>
        </is>
      </c>
    </row>
    <row r="110">
      <c r="A110" s="2" t="inlineStr">
        <is>
          <t>Friday</t>
        </is>
      </c>
      <c r="B110" s="3" t="inlineStr">
        <is>
          <t>Sunrise + 12 hours</t>
        </is>
      </c>
      <c r="C110" s="2" t="inlineStr">
        <is>
          <t>Mars</t>
        </is>
      </c>
    </row>
    <row r="111">
      <c r="A111" s="4" t="inlineStr">
        <is>
          <t>Friday</t>
        </is>
      </c>
      <c r="B111" s="5" t="inlineStr">
        <is>
          <t>Sunrise + 13 hours</t>
        </is>
      </c>
      <c r="C111" s="4" t="inlineStr">
        <is>
          <t>Sun</t>
        </is>
      </c>
    </row>
    <row r="112">
      <c r="A112" s="2" t="inlineStr">
        <is>
          <t>Friday</t>
        </is>
      </c>
      <c r="B112" s="3" t="inlineStr">
        <is>
          <t>Sunrise + 14 hours</t>
        </is>
      </c>
      <c r="C112" s="2" t="inlineStr">
        <is>
          <t>Venus</t>
        </is>
      </c>
    </row>
    <row r="113">
      <c r="A113" s="4" t="inlineStr">
        <is>
          <t>Friday</t>
        </is>
      </c>
      <c r="B113" s="5" t="inlineStr">
        <is>
          <t>Sunrise + 15 hours</t>
        </is>
      </c>
      <c r="C113" s="4" t="inlineStr">
        <is>
          <t>Mercury</t>
        </is>
      </c>
    </row>
    <row r="114">
      <c r="A114" s="2" t="inlineStr">
        <is>
          <t>Friday</t>
        </is>
      </c>
      <c r="B114" s="3" t="inlineStr">
        <is>
          <t>Sunrise + 16 hours</t>
        </is>
      </c>
      <c r="C114" s="2" t="inlineStr">
        <is>
          <t>Moon</t>
        </is>
      </c>
    </row>
    <row r="115">
      <c r="A115" s="4" t="inlineStr">
        <is>
          <t>Friday</t>
        </is>
      </c>
      <c r="B115" s="5" t="inlineStr">
        <is>
          <t>Sunrise + 17 hours</t>
        </is>
      </c>
      <c r="C115" s="4" t="inlineStr">
        <is>
          <t>Saturn</t>
        </is>
      </c>
    </row>
    <row r="116">
      <c r="A116" s="2" t="inlineStr">
        <is>
          <t>Friday</t>
        </is>
      </c>
      <c r="B116" s="3" t="inlineStr">
        <is>
          <t>Sunrise + 18 hours</t>
        </is>
      </c>
      <c r="C116" s="2" t="inlineStr">
        <is>
          <t>Jupiter</t>
        </is>
      </c>
    </row>
    <row r="117">
      <c r="A117" s="4" t="inlineStr">
        <is>
          <t>Friday</t>
        </is>
      </c>
      <c r="B117" s="5" t="inlineStr">
        <is>
          <t>Sunrise + 19 hours</t>
        </is>
      </c>
      <c r="C117" s="4" t="inlineStr">
        <is>
          <t>Mars</t>
        </is>
      </c>
    </row>
    <row r="118">
      <c r="A118" s="2" t="inlineStr">
        <is>
          <t>Friday</t>
        </is>
      </c>
      <c r="B118" s="3" t="inlineStr">
        <is>
          <t>Sunrise + 20 hours</t>
        </is>
      </c>
      <c r="C118" s="2" t="inlineStr">
        <is>
          <t>Sun</t>
        </is>
      </c>
    </row>
    <row r="119">
      <c r="A119" s="4" t="inlineStr">
        <is>
          <t>Friday</t>
        </is>
      </c>
      <c r="B119" s="5" t="inlineStr">
        <is>
          <t>Sunrise + 21 hours</t>
        </is>
      </c>
      <c r="C119" s="4" t="inlineStr">
        <is>
          <t>Venus</t>
        </is>
      </c>
    </row>
    <row r="120">
      <c r="A120" s="2" t="inlineStr">
        <is>
          <t>Friday</t>
        </is>
      </c>
      <c r="B120" s="3" t="inlineStr">
        <is>
          <t>Sunrise + 22 hours</t>
        </is>
      </c>
      <c r="C120" s="2" t="inlineStr">
        <is>
          <t>Mercury</t>
        </is>
      </c>
    </row>
    <row r="121">
      <c r="A121" s="4" t="inlineStr">
        <is>
          <t>Friday</t>
        </is>
      </c>
      <c r="B121" s="5" t="inlineStr">
        <is>
          <t>Sunrise + 23 hours</t>
        </is>
      </c>
      <c r="C121" s="4" t="inlineStr">
        <is>
          <t>Moon</t>
        </is>
      </c>
    </row>
    <row r="122">
      <c r="A122" s="2" t="inlineStr">
        <is>
          <t>Saturday</t>
        </is>
      </c>
      <c r="B122" s="3" t="inlineStr">
        <is>
          <t>Sunrise</t>
        </is>
      </c>
      <c r="C122" s="2" t="inlineStr">
        <is>
          <t>Saturn</t>
        </is>
      </c>
    </row>
    <row r="123">
      <c r="A123" s="4" t="inlineStr">
        <is>
          <t>Saturday</t>
        </is>
      </c>
      <c r="B123" s="5" t="inlineStr">
        <is>
          <t>Sunrise + 1 hour</t>
        </is>
      </c>
      <c r="C123" s="4" t="inlineStr">
        <is>
          <t>Jupiter</t>
        </is>
      </c>
    </row>
    <row r="124">
      <c r="A124" s="2" t="inlineStr">
        <is>
          <t>Saturday</t>
        </is>
      </c>
      <c r="B124" s="3" t="inlineStr">
        <is>
          <t>Sunrise + 2 hours</t>
        </is>
      </c>
      <c r="C124" s="2" t="inlineStr">
        <is>
          <t>Mars</t>
        </is>
      </c>
    </row>
    <row r="125">
      <c r="A125" s="4" t="inlineStr">
        <is>
          <t>Saturday</t>
        </is>
      </c>
      <c r="B125" s="5" t="inlineStr">
        <is>
          <t>Sunrise + 3 hours</t>
        </is>
      </c>
      <c r="C125" s="4" t="inlineStr">
        <is>
          <t>Sun</t>
        </is>
      </c>
    </row>
    <row r="126">
      <c r="A126" s="2" t="inlineStr">
        <is>
          <t>Saturday</t>
        </is>
      </c>
      <c r="B126" s="3" t="inlineStr">
        <is>
          <t>Sunrise + 4 hours</t>
        </is>
      </c>
      <c r="C126" s="2" t="inlineStr">
        <is>
          <t>Venus</t>
        </is>
      </c>
    </row>
    <row r="127">
      <c r="A127" s="4" t="inlineStr">
        <is>
          <t>Saturday</t>
        </is>
      </c>
      <c r="B127" s="5" t="inlineStr">
        <is>
          <t>Sunrise + 5 hours</t>
        </is>
      </c>
      <c r="C127" s="4" t="inlineStr">
        <is>
          <t>Mercury</t>
        </is>
      </c>
    </row>
    <row r="128">
      <c r="A128" s="2" t="inlineStr">
        <is>
          <t>Saturday</t>
        </is>
      </c>
      <c r="B128" s="3" t="inlineStr">
        <is>
          <t>Sunrise + 6 hours</t>
        </is>
      </c>
      <c r="C128" s="2" t="inlineStr">
        <is>
          <t>Moon</t>
        </is>
      </c>
    </row>
    <row r="129">
      <c r="A129" s="4" t="inlineStr">
        <is>
          <t>Saturday</t>
        </is>
      </c>
      <c r="B129" s="5" t="inlineStr">
        <is>
          <t>Sunrise + 7 hours</t>
        </is>
      </c>
      <c r="C129" s="4" t="inlineStr">
        <is>
          <t>Saturn</t>
        </is>
      </c>
    </row>
    <row r="130">
      <c r="A130" s="2" t="inlineStr">
        <is>
          <t>Saturday</t>
        </is>
      </c>
      <c r="B130" s="3" t="inlineStr">
        <is>
          <t>Sunrise + 8 hours</t>
        </is>
      </c>
      <c r="C130" s="2" t="inlineStr">
        <is>
          <t>Jupiter</t>
        </is>
      </c>
    </row>
    <row r="131">
      <c r="A131" s="4" t="inlineStr">
        <is>
          <t>Saturday</t>
        </is>
      </c>
      <c r="B131" s="5" t="inlineStr">
        <is>
          <t>Sunrise + 9 hours</t>
        </is>
      </c>
      <c r="C131" s="4" t="inlineStr">
        <is>
          <t>Mars</t>
        </is>
      </c>
    </row>
    <row r="132">
      <c r="A132" s="2" t="inlineStr">
        <is>
          <t>Saturday</t>
        </is>
      </c>
      <c r="B132" s="3" t="inlineStr">
        <is>
          <t>Sunrise + 10 hours</t>
        </is>
      </c>
      <c r="C132" s="2" t="inlineStr">
        <is>
          <t>Sun</t>
        </is>
      </c>
    </row>
    <row r="133">
      <c r="A133" s="4" t="inlineStr">
        <is>
          <t>Saturday</t>
        </is>
      </c>
      <c r="B133" s="5" t="inlineStr">
        <is>
          <t>Sunrise + 11 hours</t>
        </is>
      </c>
      <c r="C133" s="4" t="inlineStr">
        <is>
          <t>Venus</t>
        </is>
      </c>
    </row>
    <row r="134">
      <c r="A134" s="2" t="inlineStr">
        <is>
          <t>Saturday</t>
        </is>
      </c>
      <c r="B134" s="3" t="inlineStr">
        <is>
          <t>Sunrise + 12 hours</t>
        </is>
      </c>
      <c r="C134" s="2" t="inlineStr">
        <is>
          <t>Mercury</t>
        </is>
      </c>
    </row>
    <row r="135">
      <c r="A135" s="4" t="inlineStr">
        <is>
          <t>Saturday</t>
        </is>
      </c>
      <c r="B135" s="5" t="inlineStr">
        <is>
          <t>Sunrise + 13 hours</t>
        </is>
      </c>
      <c r="C135" s="4" t="inlineStr">
        <is>
          <t>Moon</t>
        </is>
      </c>
    </row>
    <row r="136">
      <c r="A136" s="2" t="inlineStr">
        <is>
          <t>Saturday</t>
        </is>
      </c>
      <c r="B136" s="3" t="inlineStr">
        <is>
          <t>Sunrise + 14 hours</t>
        </is>
      </c>
      <c r="C136" s="2" t="inlineStr">
        <is>
          <t>Saturn</t>
        </is>
      </c>
    </row>
    <row r="137">
      <c r="A137" s="4" t="inlineStr">
        <is>
          <t>Saturday</t>
        </is>
      </c>
      <c r="B137" s="5" t="inlineStr">
        <is>
          <t>Sunrise + 15 hours</t>
        </is>
      </c>
      <c r="C137" s="4" t="inlineStr">
        <is>
          <t>Jupiter</t>
        </is>
      </c>
    </row>
    <row r="138">
      <c r="A138" s="2" t="inlineStr">
        <is>
          <t>Saturday</t>
        </is>
      </c>
      <c r="B138" s="3" t="inlineStr">
        <is>
          <t>Sunrise + 16 hours</t>
        </is>
      </c>
      <c r="C138" s="2" t="inlineStr">
        <is>
          <t>Mars</t>
        </is>
      </c>
    </row>
    <row r="139">
      <c r="A139" s="4" t="inlineStr">
        <is>
          <t>Saturday</t>
        </is>
      </c>
      <c r="B139" s="5" t="inlineStr">
        <is>
          <t>Sunrise + 17 hours</t>
        </is>
      </c>
      <c r="C139" s="4" t="inlineStr">
        <is>
          <t>Sun</t>
        </is>
      </c>
    </row>
    <row r="140">
      <c r="A140" s="2" t="inlineStr">
        <is>
          <t>Saturday</t>
        </is>
      </c>
      <c r="B140" s="3" t="inlineStr">
        <is>
          <t>Sunrise + 18 hours</t>
        </is>
      </c>
      <c r="C140" s="2" t="inlineStr">
        <is>
          <t>Venus</t>
        </is>
      </c>
    </row>
    <row r="141">
      <c r="A141" s="4" t="inlineStr">
        <is>
          <t>Saturday</t>
        </is>
      </c>
      <c r="B141" s="5" t="inlineStr">
        <is>
          <t>Sunrise + 19 hours</t>
        </is>
      </c>
      <c r="C141" s="4" t="inlineStr">
        <is>
          <t>Mercury</t>
        </is>
      </c>
    </row>
    <row r="142">
      <c r="A142" s="2" t="inlineStr">
        <is>
          <t>Saturday</t>
        </is>
      </c>
      <c r="B142" s="3" t="inlineStr">
        <is>
          <t>Sunrise + 20 hours</t>
        </is>
      </c>
      <c r="C142" s="2" t="inlineStr">
        <is>
          <t>Moon</t>
        </is>
      </c>
    </row>
    <row r="143">
      <c r="A143" s="4" t="inlineStr">
        <is>
          <t>Saturday</t>
        </is>
      </c>
      <c r="B143" s="5" t="inlineStr">
        <is>
          <t>Sunrise + 21 hours</t>
        </is>
      </c>
      <c r="C143" s="4" t="inlineStr">
        <is>
          <t>Saturn</t>
        </is>
      </c>
    </row>
    <row r="144">
      <c r="A144" s="2" t="inlineStr">
        <is>
          <t>Saturday</t>
        </is>
      </c>
      <c r="B144" s="3" t="inlineStr">
        <is>
          <t>Sunrise + 22 hours</t>
        </is>
      </c>
      <c r="C144" s="2" t="inlineStr">
        <is>
          <t>Jupiter</t>
        </is>
      </c>
    </row>
    <row r="145">
      <c r="A145" s="4" t="inlineStr">
        <is>
          <t>Saturday</t>
        </is>
      </c>
      <c r="B145" s="5" t="inlineStr">
        <is>
          <t>Sunrise + 23 hours</t>
        </is>
      </c>
      <c r="C145" s="4" t="inlineStr">
        <is>
          <t>Mars</t>
        </is>
      </c>
    </row>
    <row r="146">
      <c r="A146" s="2" t="inlineStr">
        <is>
          <t>Sunday</t>
        </is>
      </c>
      <c r="B146" s="3" t="inlineStr">
        <is>
          <t>Sunrise</t>
        </is>
      </c>
      <c r="C146" s="2" t="inlineStr">
        <is>
          <t>Sun</t>
        </is>
      </c>
    </row>
    <row r="147">
      <c r="A147" s="4" t="inlineStr">
        <is>
          <t>Sunday</t>
        </is>
      </c>
      <c r="B147" s="5" t="inlineStr">
        <is>
          <t>Sunrise + 1 hour</t>
        </is>
      </c>
      <c r="C147" s="4" t="inlineStr">
        <is>
          <t>Venus</t>
        </is>
      </c>
    </row>
    <row r="148">
      <c r="A148" s="2" t="inlineStr">
        <is>
          <t>Sunday</t>
        </is>
      </c>
      <c r="B148" s="3" t="inlineStr">
        <is>
          <t>Sunrise + 2 hours</t>
        </is>
      </c>
      <c r="C148" s="2" t="inlineStr">
        <is>
          <t>Mercury</t>
        </is>
      </c>
    </row>
    <row r="149">
      <c r="A149" s="4" t="inlineStr">
        <is>
          <t>Sunday</t>
        </is>
      </c>
      <c r="B149" s="5" t="inlineStr">
        <is>
          <t>Sunrise + 3 hours</t>
        </is>
      </c>
      <c r="C149" s="4" t="inlineStr">
        <is>
          <t>Moon</t>
        </is>
      </c>
    </row>
    <row r="150">
      <c r="A150" s="2" t="inlineStr">
        <is>
          <t>Sunday</t>
        </is>
      </c>
      <c r="B150" s="3" t="inlineStr">
        <is>
          <t>Sunrise + 4 hours</t>
        </is>
      </c>
      <c r="C150" s="2" t="inlineStr">
        <is>
          <t>Saturn</t>
        </is>
      </c>
    </row>
    <row r="151">
      <c r="A151" s="4" t="inlineStr">
        <is>
          <t>Sunday</t>
        </is>
      </c>
      <c r="B151" s="5" t="inlineStr">
        <is>
          <t>Sunrise + 5 hours</t>
        </is>
      </c>
      <c r="C151" s="4" t="inlineStr">
        <is>
          <t>Jupiter</t>
        </is>
      </c>
    </row>
    <row r="152">
      <c r="A152" s="2" t="inlineStr">
        <is>
          <t>Sunday</t>
        </is>
      </c>
      <c r="B152" s="3" t="inlineStr">
        <is>
          <t>Sunrise + 6 hours</t>
        </is>
      </c>
      <c r="C152" s="2" t="inlineStr">
        <is>
          <t>Mars</t>
        </is>
      </c>
    </row>
    <row r="153">
      <c r="A153" s="4" t="inlineStr">
        <is>
          <t>Sunday</t>
        </is>
      </c>
      <c r="B153" s="5" t="inlineStr">
        <is>
          <t>Sunrise + 7 hours</t>
        </is>
      </c>
      <c r="C153" s="4" t="inlineStr">
        <is>
          <t>Sun</t>
        </is>
      </c>
    </row>
    <row r="154">
      <c r="A154" s="2" t="inlineStr">
        <is>
          <t>Sunday</t>
        </is>
      </c>
      <c r="B154" s="3" t="inlineStr">
        <is>
          <t>Sunrise + 8 hours</t>
        </is>
      </c>
      <c r="C154" s="2" t="inlineStr">
        <is>
          <t>Venus</t>
        </is>
      </c>
    </row>
    <row r="155">
      <c r="A155" s="4" t="inlineStr">
        <is>
          <t>Sunday</t>
        </is>
      </c>
      <c r="B155" s="5" t="inlineStr">
        <is>
          <t>Sunrise + 9 hours</t>
        </is>
      </c>
      <c r="C155" s="4" t="inlineStr">
        <is>
          <t>Mercury</t>
        </is>
      </c>
    </row>
    <row r="156">
      <c r="A156" s="2" t="inlineStr">
        <is>
          <t>Sunday</t>
        </is>
      </c>
      <c r="B156" s="3" t="inlineStr">
        <is>
          <t>Sunrise + 10 hours</t>
        </is>
      </c>
      <c r="C156" s="2" t="inlineStr">
        <is>
          <t>Moon</t>
        </is>
      </c>
    </row>
    <row r="157">
      <c r="A157" s="4" t="inlineStr">
        <is>
          <t>Sunday</t>
        </is>
      </c>
      <c r="B157" s="5" t="inlineStr">
        <is>
          <t>Sunrise + 11 hours</t>
        </is>
      </c>
      <c r="C157" s="4" t="inlineStr">
        <is>
          <t>Saturn</t>
        </is>
      </c>
    </row>
    <row r="158">
      <c r="A158" s="2" t="inlineStr">
        <is>
          <t>Sunday</t>
        </is>
      </c>
      <c r="B158" s="3" t="inlineStr">
        <is>
          <t>Sunrise + 12 hours</t>
        </is>
      </c>
      <c r="C158" s="2" t="inlineStr">
        <is>
          <t>Jupiter</t>
        </is>
      </c>
    </row>
    <row r="159">
      <c r="A159" s="4" t="inlineStr">
        <is>
          <t>Sunday</t>
        </is>
      </c>
      <c r="B159" s="5" t="inlineStr">
        <is>
          <t>Sunrise + 13 hours</t>
        </is>
      </c>
      <c r="C159" s="4" t="inlineStr">
        <is>
          <t>Mars</t>
        </is>
      </c>
    </row>
    <row r="160">
      <c r="A160" s="2" t="inlineStr">
        <is>
          <t>Sunday</t>
        </is>
      </c>
      <c r="B160" s="3" t="inlineStr">
        <is>
          <t>Sunrise + 14 hours</t>
        </is>
      </c>
      <c r="C160" s="2" t="inlineStr">
        <is>
          <t>Sun</t>
        </is>
      </c>
    </row>
    <row r="161">
      <c r="A161" s="4" t="inlineStr">
        <is>
          <t>Sunday</t>
        </is>
      </c>
      <c r="B161" s="5" t="inlineStr">
        <is>
          <t>Sunrise + 15 hours</t>
        </is>
      </c>
      <c r="C161" s="4" t="inlineStr">
        <is>
          <t>Venus</t>
        </is>
      </c>
    </row>
    <row r="162">
      <c r="A162" s="2" t="inlineStr">
        <is>
          <t>Sunday</t>
        </is>
      </c>
      <c r="B162" s="3" t="inlineStr">
        <is>
          <t>Sunrise + 16 hours</t>
        </is>
      </c>
      <c r="C162" s="2" t="inlineStr">
        <is>
          <t>Mercury</t>
        </is>
      </c>
    </row>
    <row r="163">
      <c r="A163" s="4" t="inlineStr">
        <is>
          <t>Sunday</t>
        </is>
      </c>
      <c r="B163" s="5" t="inlineStr">
        <is>
          <t>Sunrise + 17 hours</t>
        </is>
      </c>
      <c r="C163" s="4" t="inlineStr">
        <is>
          <t>Moon</t>
        </is>
      </c>
    </row>
    <row r="164">
      <c r="A164" s="2" t="inlineStr">
        <is>
          <t>Sunday</t>
        </is>
      </c>
      <c r="B164" s="3" t="inlineStr">
        <is>
          <t>Sunrise + 18 hours</t>
        </is>
      </c>
      <c r="C164" s="2" t="inlineStr">
        <is>
          <t>Saturn</t>
        </is>
      </c>
    </row>
    <row r="165">
      <c r="A165" s="4" t="inlineStr">
        <is>
          <t>Sunday</t>
        </is>
      </c>
      <c r="B165" s="5" t="inlineStr">
        <is>
          <t>Sunrise + 19 hours</t>
        </is>
      </c>
      <c r="C165" s="4" t="inlineStr">
        <is>
          <t>Jupiter</t>
        </is>
      </c>
    </row>
    <row r="166">
      <c r="A166" s="2" t="inlineStr">
        <is>
          <t>Sunday</t>
        </is>
      </c>
      <c r="B166" s="3" t="inlineStr">
        <is>
          <t>Sunrise + 20 hours</t>
        </is>
      </c>
      <c r="C166" s="2" t="inlineStr">
        <is>
          <t>Mars</t>
        </is>
      </c>
    </row>
    <row r="167">
      <c r="A167" s="4" t="inlineStr">
        <is>
          <t>Sunday</t>
        </is>
      </c>
      <c r="B167" s="5" t="inlineStr">
        <is>
          <t>Sunrise + 21 hours</t>
        </is>
      </c>
      <c r="C167" s="4" t="inlineStr">
        <is>
          <t>Sun</t>
        </is>
      </c>
    </row>
    <row r="168">
      <c r="A168" s="2" t="inlineStr">
        <is>
          <t>Sunday</t>
        </is>
      </c>
      <c r="B168" s="3" t="inlineStr">
        <is>
          <t>Sunrise + 22 hours</t>
        </is>
      </c>
      <c r="C168" s="2" t="inlineStr">
        <is>
          <t>Venus</t>
        </is>
      </c>
    </row>
    <row r="169">
      <c r="A169" s="4" t="inlineStr">
        <is>
          <t>Sunday</t>
        </is>
      </c>
      <c r="B169" s="5" t="inlineStr">
        <is>
          <t>Sunrise + 23 hours</t>
        </is>
      </c>
      <c r="C169" s="4" t="inlineStr">
        <is>
          <t>Mercury</t>
        </is>
      </c>
    </row>
  </sheetData>
  <autoFilter ref="A1:C1"/>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BM100"/>
  <sheetViews>
    <sheetView workbookViewId="0">
      <selection activeCell="A1" sqref="A1"/>
    </sheetView>
  </sheetViews>
  <sheetFormatPr baseColWidth="8" defaultRowHeight="15"/>
  <sheetData>
    <row r="1" ht="27.75" customHeight="1" s="56">
      <c r="A1" t="inlineStr">
        <is>
          <t>Name</t>
        </is>
      </c>
      <c r="B1" t="inlineStr">
        <is>
          <t>Ye Olde Name</t>
        </is>
      </c>
      <c r="C1" t="inlineStr">
        <is>
          <t>Latin Name</t>
        </is>
      </c>
      <c r="D1" t="inlineStr">
        <is>
          <t>Magical Uses</t>
        </is>
      </c>
      <c r="E1" t="inlineStr">
        <is>
          <t>Association</t>
        </is>
      </c>
      <c r="F1" t="inlineStr">
        <is>
          <t>Planet</t>
        </is>
      </c>
      <c r="G1" t="inlineStr">
        <is>
          <t>Element</t>
        </is>
      </c>
      <c r="H1" t="inlineStr">
        <is>
          <t>Energy</t>
        </is>
      </c>
      <c r="I1" t="inlineStr">
        <is>
          <t>Day</t>
        </is>
      </c>
      <c r="J1" t="inlineStr">
        <is>
          <t>Deity</t>
        </is>
      </c>
      <c r="K1" t="inlineStr">
        <is>
          <t>Sabbat</t>
        </is>
      </c>
      <c r="L1" t="inlineStr">
        <is>
          <t>Folk Lore</t>
        </is>
      </c>
      <c r="M1" t="inlineStr">
        <is>
          <t>Powers</t>
        </is>
      </c>
      <c r="N1" t="inlineStr">
        <is>
          <t>Spiritual Uses</t>
        </is>
      </c>
      <c r="O1" t="inlineStr">
        <is>
          <t>Description</t>
        </is>
      </c>
      <c r="P1" t="inlineStr">
        <is>
          <t>Oil Name</t>
        </is>
      </c>
      <c r="Q1" t="inlineStr">
        <is>
          <t>Geology</t>
        </is>
      </c>
      <c r="R1" t="inlineStr">
        <is>
          <t>Warning</t>
        </is>
      </c>
      <c r="S1" t="inlineStr">
        <is>
          <t>Rune 1 Name</t>
        </is>
      </c>
      <c r="T1" t="inlineStr">
        <is>
          <t>Rune 1 Letter</t>
        </is>
      </c>
      <c r="U1" t="inlineStr">
        <is>
          <t>Rune 1 Uses</t>
        </is>
      </c>
      <c r="V1" t="inlineStr">
        <is>
          <t>Rune 1 Powers</t>
        </is>
      </c>
      <c r="W1" t="inlineStr">
        <is>
          <t>Rune 1 Color</t>
        </is>
      </c>
      <c r="X1" t="inlineStr">
        <is>
          <t>Rune 2 Name</t>
        </is>
      </c>
      <c r="Y1" t="inlineStr">
        <is>
          <t>Rune 2 Letter</t>
        </is>
      </c>
      <c r="Z1" t="inlineStr">
        <is>
          <t>Rune 2 Uses</t>
        </is>
      </c>
      <c r="AA1" t="inlineStr">
        <is>
          <t>Rune 2 Powers</t>
        </is>
      </c>
      <c r="AB1" t="inlineStr">
        <is>
          <t>Rune 2 Color</t>
        </is>
      </c>
      <c r="AC1" t="inlineStr">
        <is>
          <t>Rune 3 Name</t>
        </is>
      </c>
      <c r="AD1" t="inlineStr">
        <is>
          <t>Rune 3 Letter</t>
        </is>
      </c>
      <c r="AE1" t="inlineStr">
        <is>
          <t>Rune 3 Uses</t>
        </is>
      </c>
      <c r="AF1" t="inlineStr">
        <is>
          <t>Rune 3 Powers</t>
        </is>
      </c>
      <c r="AG1" t="inlineStr">
        <is>
          <t>Rune 3 Color</t>
        </is>
      </c>
      <c r="AH1" t="inlineStr">
        <is>
          <t>Rune 4 Name</t>
        </is>
      </c>
      <c r="AI1" t="inlineStr">
        <is>
          <t>Rune 4 Letter</t>
        </is>
      </c>
      <c r="AJ1" t="inlineStr">
        <is>
          <t>Rune 4 Uses</t>
        </is>
      </c>
      <c r="AK1" t="inlineStr">
        <is>
          <t>Rune 4 Powers</t>
        </is>
      </c>
      <c r="AL1" t="inlineStr">
        <is>
          <t>Rune 4 Color</t>
        </is>
      </c>
      <c r="AM1" t="inlineStr">
        <is>
          <t>Crystal 1 Name</t>
        </is>
      </c>
      <c r="AN1" t="inlineStr">
        <is>
          <t>Crystal 1 Uses</t>
        </is>
      </c>
      <c r="AO1" t="inlineStr">
        <is>
          <t>Crystal 1 Powers</t>
        </is>
      </c>
      <c r="AP1" t="inlineStr">
        <is>
          <t>Crystal 2 Name</t>
        </is>
      </c>
      <c r="AQ1" t="inlineStr">
        <is>
          <t>Crystal 2 Uses</t>
        </is>
      </c>
      <c r="AR1" t="inlineStr">
        <is>
          <t>Crystal 2 Powers</t>
        </is>
      </c>
      <c r="AS1" t="inlineStr">
        <is>
          <t>Crystal 3 Name</t>
        </is>
      </c>
      <c r="AT1" t="inlineStr">
        <is>
          <t>Crystal 3 Uses</t>
        </is>
      </c>
      <c r="AU1" t="inlineStr">
        <is>
          <t>Crystal 3 Powers</t>
        </is>
      </c>
      <c r="AV1" t="inlineStr">
        <is>
          <t>Crystal 4 Name</t>
        </is>
      </c>
      <c r="AW1" t="inlineStr">
        <is>
          <t>Crystal 4 Uses</t>
        </is>
      </c>
      <c r="AX1" t="inlineStr">
        <is>
          <t>Crystal 4 Powers</t>
        </is>
      </c>
      <c r="AY1" t="inlineStr">
        <is>
          <t>Oil 1 Name</t>
        </is>
      </c>
      <c r="AZ1" t="inlineStr">
        <is>
          <t>Oil 1 Uses</t>
        </is>
      </c>
      <c r="BA1" t="inlineStr">
        <is>
          <t>Oil 1 Spiritual</t>
        </is>
      </c>
      <c r="BB1" t="inlineStr">
        <is>
          <t>Oil 1 Folklore</t>
        </is>
      </c>
      <c r="BC1" t="inlineStr">
        <is>
          <t>Oil 2 Name</t>
        </is>
      </c>
      <c r="BD1" t="inlineStr">
        <is>
          <t>Oil 2 Uses</t>
        </is>
      </c>
      <c r="BE1" t="inlineStr">
        <is>
          <t>Oil 2 Spiritual</t>
        </is>
      </c>
      <c r="BF1" t="inlineStr">
        <is>
          <t>Oil 2 Folklore</t>
        </is>
      </c>
      <c r="BG1" t="inlineStr">
        <is>
          <t>Oil 3 Name</t>
        </is>
      </c>
      <c r="BH1" t="inlineStr">
        <is>
          <t>Oil 3 Uses</t>
        </is>
      </c>
      <c r="BI1" t="inlineStr">
        <is>
          <t>Oil 3 Spiritual</t>
        </is>
      </c>
      <c r="BJ1" t="inlineStr">
        <is>
          <t>Oil 3 Folklore</t>
        </is>
      </c>
      <c r="BK1" t="inlineStr">
        <is>
          <t>Zodiac Sign</t>
        </is>
      </c>
      <c r="BM1" s="42" t="inlineStr">
        <is>
          <t>Greenman Energy</t>
        </is>
      </c>
    </row>
    <row r="2" ht="409.5" customHeight="1" s="56">
      <c r="A2" t="inlineStr">
        <is>
          <t>ACORN</t>
        </is>
      </c>
      <c r="B2" t="inlineStr">
        <is>
          <t>FAERY CUPS</t>
        </is>
      </c>
      <c r="C2" t="inlineStr">
        <is>
          <t>Quercus robur</t>
        </is>
      </c>
      <c r="D2" t="inlineStr">
        <is>
          <t>New beginning spells, Sabbat rituals, Invocation of the Lord, Transformation/Evolution, Physical Strength, Will Power, Lust/Sex, Leadership, Wealth/Prosperity, Courage, Good luck, Protection, Wisdom, Personal power, Breaking habits, Breaking bad habits, Ending negative self-talk, Letting go of relationships, Ending guilt, Release, Renewal, New beginnings, Fresh starts, Transformation, Change, rebirth, Breakthrough, Awakening, Growth, New ideas, Assisting transformation, Strength, Fortitude, Vitality, Inner power, and strength, Confidence, Self-confidence, Bravery, Determination, Leadership skills, Commanding, Aphrodisiac, Aphrodisiac tea, Sensuality, Lust, Passionate love-making, LOVING &amp; LUSTFUL ENERGIES, SEX MAGIC, RAISE SEXUAL ENERGY, Sexual energy, Fertility, Female fertility, Fertility magic, Fertility charms, Aiding fertility, Increasing fertility, Fruitfulness, Virility, male virility, Abundant harvest, Prosperity, Wealth,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Protective charm, Protective charms, Protective sachets, Protective wreaths, Protective incense, PROTECT AGAINST NEGATIVITY, Protection from negativity, Circle protection, Knowledge, Intelligence, Intuition, Mental clarity, Sharpening the wits, Sharpening the brain, Mental powers, MEM, Memory, Concentration, Focus, Illumination, Enlightenment</t>
        </is>
      </c>
      <c r="E2" t="inlineStr">
        <is>
          <t>HERMES, GREEN MAN, HORNED ONE</t>
        </is>
      </c>
      <c r="F2" t="inlineStr">
        <is>
          <t>SUN</t>
        </is>
      </c>
      <c r="G2" t="inlineStr">
        <is>
          <t>FIRE</t>
        </is>
      </c>
      <c r="H2" t="inlineStr">
        <is>
          <t>MASCULINE</t>
        </is>
      </c>
      <c r="I2" t="inlineStr">
        <is>
          <t>SUNDAY</t>
        </is>
      </c>
      <c r="J2" t="inlineStr">
        <is>
          <t>FATHER GOD</t>
        </is>
      </c>
      <c r="K2" t="inlineStr">
        <is>
          <t>LITHA, YULE</t>
        </is>
      </c>
      <c r="L2" t="inlineStr">
        <is>
          <t>To Wiccans the Acorn symbolizes the Lord or Great Father. Sacred to the Druids. Can be used as offerings to the Gods. Accepted magickal symbol.</t>
        </is>
      </c>
      <c r="M2" t="inlineStr">
        <is>
          <t>new beginning spells, Sabbat rituals involving the Lord (Father God), invocation of the Lord, transformation/evolution, physical strength, will power, lust/sex, leadership, wealth/prosperity (having enough to share is the key point of this aspect), and courage-enhancing spells.</t>
        </is>
      </c>
      <c r="N2" t="inlineStr">
        <is>
          <t>As a symbol, the acorn is magically used for: new beginning spells, Sabbat rituals involving the Lord (Father God), invocation of the Lord, transformation/evolution, physical strength, will power, lust/sex, leadership, wealth/prosperity (having enough to share is the key point of this aspect), and courage-enhancing spells.</t>
        </is>
      </c>
      <c r="O2" t="inlineStr">
        <is>
          <t>As a symbol, the acorn is magically used for: new beginning spells, Sabbat rituals involving the Lord (Father God), invocation of the Lord, transformation/evolution, physical strength, will power, lust/sex, leadership, wealth/prosperity (having enough to share is the key point of this aspect), and courage-enhancing spells. Acorns can be used in charms or spells for good luck, protection, wisdom, and personal power.</t>
        </is>
      </c>
      <c r="P2" t="inlineStr">
        <is>
          <t>Cedarwood</t>
        </is>
      </c>
      <c r="Q2" t="inlineStr">
        <is>
          <t>Europe, Western Asia, North Africa (Deciduous forests)</t>
        </is>
      </c>
      <c r="R2" t="inlineStr">
        <is>
          <t>Warning: Raw acorns are toxic due to tannins. Do not ingest raw. For magical use only.</t>
        </is>
      </c>
      <c r="AM2" t="inlineStr">
        <is>
          <t>Ametrine</t>
        </is>
      </c>
      <c r="AN2" t="inlineStr">
        <is>
          <t>Combines mental clarity with strength of will, making it a very powerful stone f, any magic user.</t>
        </is>
      </c>
      <c r="AO2" t="inlineStr">
        <is>
          <t>Astral travel, magickal power, meditation, removing negativity.</t>
        </is>
      </c>
      <c r="AP2" t="inlineStr">
        <is>
          <t>Carnelian</t>
        </is>
      </c>
      <c r="AQ2"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2" t="inlineStr">
        <is>
          <t>Happiness, Protection, energy, easing depression, promoting self-confidence, Peace, concentration, focus, Attraction, sexuality, Love, Healing, courage.</t>
        </is>
      </c>
      <c r="AS2" t="inlineStr">
        <is>
          <t>Citrine</t>
        </is>
      </c>
      <c r="AT2"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2"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2" t="inlineStr">
        <is>
          <t>Quartz Clear</t>
        </is>
      </c>
      <c r="AW2"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2" t="inlineStr">
        <is>
          <t>Protection, Healing, psychism, Strength, lactation</t>
        </is>
      </c>
      <c r="AY2" t="inlineStr">
        <is>
          <t>Cedarwood</t>
        </is>
      </c>
      <c r="AZ2" t="inlineStr">
        <is>
          <t>Purification, Protection, RID OF BAD DREAMS, Prosperity</t>
        </is>
      </c>
      <c r="BA2" t="inlineStr">
        <is>
          <t>New beginnings, REGROWTH, CALMING &amp; COMF, Attracting good spirits, STRENGTHENING</t>
        </is>
      </c>
      <c r="BB2"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C2" t="inlineStr">
        <is>
          <t>Frankincense</t>
        </is>
      </c>
      <c r="BD2" t="inlineStr">
        <is>
          <t>Luck, Protection, SPIRITUALITY, PROTECT AGAINST NEGATIVITY, EXC, Exorcism</t>
        </is>
      </c>
      <c r="BE2" t="inlineStr">
        <is>
          <t>ENLIGHTENMENT, INSPIRATION, INTROSPECTION, AIDS MEDITATION</t>
        </is>
      </c>
      <c r="BF2"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G2" t="inlineStr">
        <is>
          <t>Tea Tree</t>
        </is>
      </c>
      <c r="BH2" t="inlineStr">
        <is>
          <t>Strength</t>
        </is>
      </c>
      <c r="BI2" t="inlineStr">
        <is>
          <t>MEDICINAL</t>
        </is>
      </c>
      <c r="BJ2"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L2" t="inlineStr">
        <is>
          <t>ACORN</t>
        </is>
      </c>
      <c r="BM2" s="42" t="inlineStr">
        <is>
          <t>Fallen from the oldest oak, whole forest held in a single shell. Carries the Lord's own fire — transformation, strength of will, the turn of the great cycle. Sabbat workings and invocations of the masculine divine feel its weight. New beginnings root deeper with it present.</t>
        </is>
      </c>
    </row>
    <row r="3" ht="409.5" customHeight="1" s="56">
      <c r="A3" t="inlineStr">
        <is>
          <t>AGRIMONY</t>
        </is>
      </c>
      <c r="B3" t="inlineStr">
        <is>
          <t>STICKLE WORT</t>
        </is>
      </c>
      <c r="C3" t="inlineStr">
        <is>
          <t>Agrimonia eupatoria</t>
        </is>
      </c>
      <c r="D3" t="inlineStr">
        <is>
          <t>Exploring true feelings, Emotional balance, Protection, Psychic shielding, Reducing negativity, Banishing negative energies, Reversing harmful spells, Protective sachets, Cleansing the aura, Healing magic, Ritual baths, Tool cleansing, Banishing smudge, Exploring feelings, Emotional healing, Protective charm, Protective charms, Protective wreaths, Protective incense, PROTECT AGAINST NEGATIVITY, Protection from negativity, Circle protection, Protection (hexes/evil), Psychic protection,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 Cleansing before ritual, Purifying body and mind, Spell-breaking, Breaking spells, Hex breaking, Removing hexes, Removing curses, Removing jinxes, Removing bad luck, Breaking hexes, Returning hexes, hex-breaking, Removing hexes and curses, Removing a jinx, Luck, Good luck, Good luck in family matters, Fortune, Casino luck, WISHES, Wish magick, Carrying wishes, Transmuting wishes,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Healing, Healing spells, Healing sachets, Healing incenses, Healing mixtures, Healing rituals, Healing incense, Healing vibrations, healing after surgery, Aiding recovery, Aiding the ill, Improving health, Speeding recovery, Good health, health</t>
        </is>
      </c>
      <c r="E3" t="inlineStr">
        <is>
          <t>CANCER, SAGITTARIUS, PISCES</t>
        </is>
      </c>
      <c r="F3" t="inlineStr">
        <is>
          <t>JUPITER</t>
        </is>
      </c>
      <c r="G3" t="inlineStr">
        <is>
          <t>AIR</t>
        </is>
      </c>
      <c r="H3" t="inlineStr">
        <is>
          <t>MASCULINE</t>
        </is>
      </c>
      <c r="I3" t="inlineStr">
        <is>
          <t>THURSDAY</t>
        </is>
      </c>
      <c r="J3" t="inlineStr">
        <is>
          <t>ALL</t>
        </is>
      </c>
      <c r="K3" t="inlineStr">
        <is>
          <t>LAMMAS, MABON</t>
        </is>
      </c>
      <c r="L3" t="inlineStr">
        <is>
          <t>Believed to ensure a deep, dreamless sleep if added to pillows.</t>
        </is>
      </c>
      <c r="M3" t="inlineStr">
        <is>
          <t>spell work for those who need to explore their true feelings and to help balance the emotions applied to a situation.</t>
        </is>
      </c>
      <c r="N3" t="inlineStr">
        <is>
          <t>smudge or as a wash to cleanse the aura.</t>
        </is>
      </c>
      <c r="O3" t="inlineStr">
        <is>
          <t>Agrimony is useful for spell work for those who need to explore their true feelings and to help balance the emotions applied to a situation. The plant is also used in protection spells, to help build a psychic shield, to reduce the influence of another's negativity, and to banish negative energies and spirits. It is said to reverse harmful spells cast on you, causing them to rebound on the sender. Use in all protective sachets, spells, and medicine bags. It is useful also as a banishing smudge or as a wash to cleanse the aura. It is useful in healing magic as it enhances the strength of all healing spells, especially at a distance. You could use it in a ritual bath before beginning, as a wash for your tools, in a smudge, or simply decorate your altar with it.</t>
        </is>
      </c>
      <c r="P3" t="inlineStr">
        <is>
          <t>Peppermint</t>
        </is>
      </c>
      <c r="Q3" t="inlineStr">
        <is>
          <t>Europe, Asia (Meadows, hedge-rows)</t>
        </is>
      </c>
      <c r="R3" t="inlineStr">
        <is>
          <t>Generally considered safe for topical and ritual use. Avoid excessive internal use during pregnancy.</t>
        </is>
      </c>
      <c r="AY3" t="inlineStr">
        <is>
          <t>Peppermint</t>
        </is>
      </c>
      <c r="AZ3" t="inlineStr">
        <is>
          <t>Purification, PSYCHIC POWERS, Healing</t>
        </is>
      </c>
      <c r="BA3" t="inlineStr">
        <is>
          <t>ANTI-DEPRESSANT, MENTAL CLARITY</t>
        </is>
      </c>
      <c r="BB3" t="inlineStr">
        <is>
          <t>There is a story of a traveler who was exhausted and lost in the woods. He stumbled upon a patch of mint and, crushed by fatigue, fell asleep on it. When he woke, he felt as if his very blood had been renewed by the cool, sharp scent, giving him the strength to walk all the way home.</t>
        </is>
      </c>
      <c r="BC3" t="inlineStr">
        <is>
          <t>Clove Bud</t>
        </is>
      </c>
      <c r="BD3" t="inlineStr">
        <is>
          <t>Love, Prosperity, Protection, HELP ATTRACT OPPOSITE SEX, Purification</t>
        </is>
      </c>
      <c r="BE3" t="inlineStr">
        <is>
          <t>INNER WARMTH, INSPIRATION, REGENERATION, MENTAL POWERS</t>
        </is>
      </c>
      <c r="BF3"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G3" t="inlineStr">
        <is>
          <t>Cinnamon</t>
        </is>
      </c>
      <c r="BH3" t="inlineStr">
        <is>
          <t>Love, Prosperity, Protection, HELP ATTRACT OPPOSITE SEX, Purification</t>
        </is>
      </c>
      <c r="BI3" t="inlineStr">
        <is>
          <t>INNER WARMTH, INSPIRATION, REGENERATION, MENTAL POWERS</t>
        </is>
      </c>
      <c r="BJ3"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K3" t="inlineStr">
        <is>
          <t>CANCER, SAGITTARIUS, PISCES</t>
        </is>
      </c>
      <c r="BL3" t="inlineStr">
        <is>
          <t>AGRIMONY</t>
        </is>
      </c>
      <c r="BM3" s="42" t="inlineStr">
        <is>
          <t>Hedgerow gold, star-flowered and quietly fierce. Draws out what the emotions have buried, brings what is hidden into the light of honest feeling. Psychic shielding strengthened, negativity swept back to where it came from. The aura breathes more cleanly in its presence.</t>
        </is>
      </c>
    </row>
    <row r="4" ht="409.5" customHeight="1" s="56">
      <c r="A4" t="inlineStr">
        <is>
          <t>ANISE</t>
        </is>
      </c>
      <c r="B4" t="inlineStr">
        <is>
          <t>ANISE</t>
        </is>
      </c>
      <c r="C4" t="inlineStr">
        <is>
          <t>Pimpinella anisum</t>
        </is>
      </c>
      <c r="D4" t="inlineStr">
        <is>
          <t>Contacting other planes, Divination, Love, Passion, Preventing nightmares, Protection, Psychic development, Psychic protection, Purification, Clairvoyance, Cleansing, Consecration, Fertility, Gain, Good luck, Happiness, Money, Weddings, Contacting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Enhancing divination, Divinatory incense, Foretelling the future, Future divination, Scrying, Dowsing, Prophecy,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Desire, Nightmare prevention, Negating dreams, RID OF BAD DREAMS, Nightmares, Sleep, Rest, Encouraging sound sleep, Protective charm, Protective charms, Protective sachets, Protective wreaths, Protective incense, PROTECT AGAINST NEGATIVITY, Protection from negativity, Circle protection, Enhancing clairvoyance, Psychic powers, INCREASE PSYCHIC ABILITIES, Psychic awareness, Stimulating psychic senses, Disabling psychic phenomena, Psychic communication, communication and psychic abilities,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Female fertility, Fertility magic, Fertility charms, Aiding fertility, Increasing fertility, Fruitfulness, Virility, male virility, Abundant harvest, Prosperity, Wealth, Wealth/Prosperity, Attracting business, Business dealings, abundance, Financial arrangements, Aiding gain, PROSPERITY SPELLS, Increasing wealth,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Joy, Joyous celebrations, Contentment, Hand-fastings, Sacred union rites</t>
        </is>
      </c>
      <c r="E4" t="inlineStr">
        <is>
          <t>AQUARIUS, GEMINI, SATTITARIUS, PISCES, CANCER</t>
        </is>
      </c>
      <c r="F4" t="inlineStr">
        <is>
          <t>MERCURY, JUPITER</t>
        </is>
      </c>
      <c r="G4" t="inlineStr">
        <is>
          <t>AIR</t>
        </is>
      </c>
      <c r="H4" t="inlineStr">
        <is>
          <t>MASCULINE</t>
        </is>
      </c>
      <c r="I4" t="inlineStr">
        <is>
          <t>MONDAY,THURSDAY</t>
        </is>
      </c>
      <c r="J4" t="inlineStr">
        <is>
          <t>MERCURY, NUIT, LOKI</t>
        </is>
      </c>
      <c r="K4" t="inlineStr">
        <is>
          <t>OSTARA</t>
        </is>
      </c>
      <c r="L4" t="inlineStr">
        <is>
          <t>Believed it should be partnered with amber stones for best effect.</t>
        </is>
      </c>
      <c r="M4" t="inlineStr">
        <is>
          <t>Contacting other planes, divination, love, passion, preventing nightmares, protection, psychic development, psychic protection, purification. Other magical uses: clairvoyance, cleansing, consecration, fertility, gain, good luck, happiness, money, and weddings.</t>
        </is>
      </c>
      <c r="N4" t="inlineStr">
        <is>
          <t>Contacting other planes, divination, love, passion, preventing nightmares, protection, psychic development, psychic protection, purification.</t>
        </is>
      </c>
      <c r="O4" t="inlineStr">
        <is>
          <t>Contacting other planes, divination, love, passion, preventing nightmares, protection, psychic development, psychic protection, purification. Other magical uses: clairvoyance, cleansing, consecration, fertility, gain, good luck, happiness, money, and weddings. It was believed that it should be partnered with amber stones for best effect.</t>
        </is>
      </c>
      <c r="P4" t="inlineStr">
        <is>
          <t>Sandalwood w.i.</t>
        </is>
      </c>
      <c r="Q4" t="inlineStr">
        <is>
          <t>Eastern Mediterranean, Southwest Asia (Cultivated globally)</t>
        </is>
      </c>
      <c r="R4" t="inlineStr">
        <is>
          <t>Generally safe in culinary amounts. Avoid if allergic to anethole. Avoid excessive use during pregnancy.</t>
        </is>
      </c>
      <c r="S4" t="inlineStr">
        <is>
          <t>ANSUZ</t>
        </is>
      </c>
      <c r="T4" t="inlineStr">
        <is>
          <t>A</t>
        </is>
      </c>
      <c r="U4" t="inlineStr">
        <is>
          <t>Divination, Prophetic dreams, Communication, Wisdom, Clairvoyance, Star magick, Truth</t>
        </is>
      </c>
      <c r="V4" t="inlineStr">
        <is>
          <t>Knowledge. Wisdom. Communication. The mouth. A message. Divine power and revelation.</t>
        </is>
      </c>
      <c r="W4" t="inlineStr">
        <is>
          <t>Dark Blue</t>
        </is>
      </c>
      <c r="X4" t="inlineStr">
        <is>
          <t>PERTH</t>
        </is>
      </c>
      <c r="Y4" t="inlineStr">
        <is>
          <t>P</t>
        </is>
      </c>
      <c r="Z4" t="inlineStr">
        <is>
          <t>Divination, Mystery, Clairvoyance, Secrets, Star magick, Chance, Hidden knowledge, Truth</t>
        </is>
      </c>
      <c r="AA4" t="inlineStr">
        <is>
          <t>Mystery, chance, secrets, hidden knowledge, disclosure, science.</t>
        </is>
      </c>
      <c r="AB4" t="inlineStr">
        <is>
          <t>Black</t>
        </is>
      </c>
      <c r="AC4" t="inlineStr">
        <is>
          <t>MANNAZ</t>
        </is>
      </c>
      <c r="AD4" t="inlineStr">
        <is>
          <t>M</t>
        </is>
      </c>
      <c r="AE4" t="inlineStr">
        <is>
          <t>Self-w, Breaking habits, Wisdom, Intelligence, Communication, Humanity, Truth, Clarity of thought</t>
        </is>
      </c>
      <c r="AF4" t="inlineStr">
        <is>
          <t>Humanity, self, mind, intelligence, speech, cooperation, creativity.</t>
        </is>
      </c>
      <c r="AG4" t="inlineStr">
        <is>
          <t>Deep Red</t>
        </is>
      </c>
      <c r="AH4" t="inlineStr">
        <is>
          <t>LAGUZ</t>
        </is>
      </c>
      <c r="AI4" t="inlineStr">
        <is>
          <t>L</t>
        </is>
      </c>
      <c r="AJ4" t="inlineStr">
        <is>
          <t>Divination, Water magick, Cleansing, Healing, Psychic w, Breaking habits, Clairvoyance, Negating dreams, Emotion</t>
        </is>
      </c>
      <c r="AK4" t="inlineStr">
        <is>
          <t>Water, intuition, emotion, fluidity, psychic ability, unconscious mind.</t>
        </is>
      </c>
      <c r="AL4" t="inlineStr">
        <is>
          <t>Dark Green</t>
        </is>
      </c>
      <c r="AM4" t="inlineStr">
        <is>
          <t>Aventurine</t>
        </is>
      </c>
      <c r="AN4"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O4" t="inlineStr">
        <is>
          <t>Creativity, motivation, inner peace, business success, intellect, perception, soothing emotions, heartache, clarity, imagination, independence, Happiness, sexuality, Strength, Prosperity, romance.</t>
        </is>
      </c>
      <c r="AY4" t="inlineStr">
        <is>
          <t>Sandalwood w.i.</t>
        </is>
      </c>
      <c r="AZ4" t="inlineStr">
        <is>
          <t>Protection, EXC, SISM</t>
        </is>
      </c>
      <c r="BA4" t="inlineStr">
        <is>
          <t>SPIRITUALITY, HARMONISING</t>
        </is>
      </c>
      <c r="BB4"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BC4" t="inlineStr">
        <is>
          <t>Marjoram</t>
        </is>
      </c>
      <c r="BD4" t="inlineStr">
        <is>
          <t>Happiness, Healing, Love, Prosperity, Protection</t>
        </is>
      </c>
      <c r="BE4" t="inlineStr">
        <is>
          <t>Harmony, Peace, PERSEVERANCE</t>
        </is>
      </c>
      <c r="BF4"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G4" t="inlineStr">
        <is>
          <t>Bergamot</t>
        </is>
      </c>
      <c r="BH4" t="inlineStr">
        <is>
          <t>PROSPERITY SPELLS, Prosperity</t>
        </is>
      </c>
      <c r="BI4" t="inlineStr">
        <is>
          <t>Harmony, Happiness, Strength</t>
        </is>
      </c>
      <c r="BJ4" t="inlineStr">
        <is>
          <t>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t>
        </is>
      </c>
      <c r="BK4" t="inlineStr">
        <is>
          <t>AQUARIUS, GEMINI, SATTITARIUS, PISCES, CANCER</t>
        </is>
      </c>
      <c r="BL4" t="inlineStr">
        <is>
          <t>ANISE</t>
        </is>
      </c>
      <c r="BM4" s="42" t="inlineStr">
        <is>
          <t>Sharp and clean, the breath of high air and open sky. Opens the door between worlds — the veil thins, the sight sharpens, the spirit moves freely. Nightmares lose their hold at the threshold. Love and passion find their way in on the same clear current.</t>
        </is>
      </c>
    </row>
    <row r="5" ht="409.5" customHeight="1" s="56">
      <c r="A5" t="inlineStr">
        <is>
          <t>APPLE BLOSSOM</t>
        </is>
      </c>
      <c r="B5" t="inlineStr">
        <is>
          <t>TREE OF LOVE</t>
        </is>
      </c>
      <c r="C5" t="inlineStr">
        <is>
          <t>Malus domestica</t>
        </is>
      </c>
      <c r="D5" t="inlineStr">
        <is>
          <t>Love spells, Peace, Contentment, Success, Relaxation, Bath magic,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Happiness, Joy, Joyous celebrations, Victory, victory in battle, Conquest, Overcoming opposition, Courtroom success, Legal matters, Justice</t>
        </is>
      </c>
      <c r="E5" t="inlineStr">
        <is>
          <t>VENUS, APHRODITE</t>
        </is>
      </c>
      <c r="F5" t="inlineStr">
        <is>
          <t>VENUS</t>
        </is>
      </c>
      <c r="G5" t="inlineStr">
        <is>
          <t>AIR</t>
        </is>
      </c>
      <c r="H5" t="inlineStr">
        <is>
          <t>FEMININE</t>
        </is>
      </c>
      <c r="I5" t="inlineStr">
        <is>
          <t>FRIDAY</t>
        </is>
      </c>
      <c r="J5" t="inlineStr">
        <is>
          <t>APHRODITE</t>
        </is>
      </c>
      <c r="K5" t="inlineStr">
        <is>
          <t>OSTARA, BELTANE</t>
        </is>
      </c>
      <c r="L5" t="inlineStr">
        <is>
          <t>Often used in bridal bouquets as a representation of fertility.</t>
        </is>
      </c>
      <c r="M5" t="inlineStr">
        <is>
          <t>peace, general contentment, and success.</t>
        </is>
      </c>
      <c r="N5" t="inlineStr">
        <is>
          <t>Used in love rituals and spring ceremonies. Placed on altars at Ostara and Beltane; offered to Aphrodite and Venus in devotional work.</t>
        </is>
      </c>
      <c r="O5" t="inlineStr">
        <is>
          <t>Apple blossom is used in love spells. It is delicate and faintly seductive, more of an invitation than a proposition. It can also be used for peace, general contentment, and success. Add it to the bath to aid relaxation.</t>
        </is>
      </c>
      <c r="P5" t="inlineStr">
        <is>
          <t>Apple</t>
        </is>
      </c>
      <c r="Q5" t="inlineStr">
        <is>
          <t>Central Asia (Temperate regions globally)</t>
        </is>
      </c>
      <c r="R5" t="inlineStr">
        <is>
          <t>Generally safe for ritual use. Apple seeds contain cyanogenic compounds — do not ingest seeds.</t>
        </is>
      </c>
      <c r="S5" t="inlineStr">
        <is>
          <t>FEHU</t>
        </is>
      </c>
      <c r="T5" t="inlineStr">
        <is>
          <t>F</t>
        </is>
      </c>
      <c r="U5" t="inlineStr">
        <is>
          <t>Increasing wealth, Prosperity, Anti-theft, Fortune, Luck, New beginnings, Confidence, Sun God offerings, Attraction</t>
        </is>
      </c>
      <c r="V5" t="inlineStr">
        <is>
          <t>Realized ambition. Good health. Wealth. Love fulfilled. Good fortune. Show charity and compassion.</t>
        </is>
      </c>
      <c r="W5" t="inlineStr">
        <is>
          <t>Light Red</t>
        </is>
      </c>
      <c r="X5" t="inlineStr">
        <is>
          <t>GEBO</t>
        </is>
      </c>
      <c r="Y5" t="inlineStr">
        <is>
          <t>G</t>
        </is>
      </c>
      <c r="Z5" t="inlineStr">
        <is>
          <t>Love spells, Love rituals, Love, Gift-giving, Anti-theft, giveness, Attraction, Peace</t>
        </is>
      </c>
      <c r="AA5" t="inlineStr">
        <is>
          <t>Generosity in men is to honour and praise and dignity a prop.</t>
        </is>
      </c>
      <c r="AB5" t="inlineStr">
        <is>
          <t>Dark Blue</t>
        </is>
      </c>
      <c r="AC5" t="inlineStr">
        <is>
          <t>WUNJO</t>
        </is>
      </c>
      <c r="AD5" t="inlineStr">
        <is>
          <t>W/V</t>
        </is>
      </c>
      <c r="AE5" t="inlineStr">
        <is>
          <t>Happiness, Prosperity, Harmony, Love, Celebration, Confidence, Luck</t>
        </is>
      </c>
      <c r="AF5" t="inlineStr">
        <is>
          <t>Understanding, realisation of ambition, success in romance and good health. Partnerships flourish. New beginnings are blessed with joyfulness. Your eyes are opened to the truth.</t>
        </is>
      </c>
      <c r="AG5" t="inlineStr">
        <is>
          <t>Light Blue</t>
        </is>
      </c>
      <c r="AH5" t="inlineStr">
        <is>
          <t>JERA</t>
        </is>
      </c>
      <c r="AI5" t="inlineStr">
        <is>
          <t>J/Y</t>
        </is>
      </c>
      <c r="AJ5" t="inlineStr">
        <is>
          <t>Harvest spells, Fertility, Fruitfulness, Prosperity, Cycles, Justice, Reward</t>
        </is>
      </c>
      <c r="AK5" t="inlineStr">
        <is>
          <t>Success in endeavours, fruition of plans. Good spirits. Just rewards for past efforts. Inventiveness, talent or skill. Great reward to those who work with their hands or on the land.</t>
        </is>
      </c>
      <c r="AL5" t="inlineStr">
        <is>
          <t>Light Blue</t>
        </is>
      </c>
      <c r="AM5" t="inlineStr">
        <is>
          <t>quartz Rose</t>
        </is>
      </c>
      <c r="AN5" t="inlineStr">
        <is>
          <t>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t>
        </is>
      </c>
      <c r="AO5" t="inlineStr">
        <is>
          <t>Confidence, Peace, Fertility, creativity, Love, compassion, beauty, Fidelity, Happiness</t>
        </is>
      </c>
      <c r="AP5" t="inlineStr">
        <is>
          <t>Seraphinite</t>
        </is>
      </c>
      <c r="AQ5" t="inlineStr">
        <is>
          <t>Seraphinite is a powerful healing stone which is becoming increasingly popular. It is an excellent healing stone which boosts the energy of both the healer, the patient. Some people even say that it causes regeneration, miraculous healings.</t>
        </is>
      </c>
      <c r="AR5" t="inlineStr">
        <is>
          <t>Purification, centering, compassion, healing.</t>
        </is>
      </c>
      <c r="AY5" t="inlineStr">
        <is>
          <t>Apple</t>
        </is>
      </c>
      <c r="AZ5" t="inlineStr">
        <is>
          <t>Love, Happiness, WISDOM IN MAGICK</t>
        </is>
      </c>
      <c r="BA5" t="inlineStr">
        <is>
          <t>UPLIFTING</t>
        </is>
      </c>
      <c r="BB5"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C5" t="inlineStr">
        <is>
          <t>Geranium</t>
        </is>
      </c>
      <c r="BD5" t="inlineStr">
        <is>
          <t>Love, Fertility, Healing, Protection</t>
        </is>
      </c>
      <c r="BE5" t="inlineStr">
        <is>
          <t>ASSURANCE, Harmony, Peace, ANTI-DEPRESSANT</t>
        </is>
      </c>
      <c r="BF5"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G5" t="inlineStr">
        <is>
          <t>Thyme</t>
        </is>
      </c>
      <c r="BH5" t="inlineStr">
        <is>
          <t>Healing, Love, Purification, Confidence</t>
        </is>
      </c>
      <c r="BI5" t="inlineStr">
        <is>
          <t>Harmony, STRENGTHENS, SUPP, Amulets/talismans</t>
        </is>
      </c>
      <c r="BJ5" t="inlineStr">
        <is>
          <t>In the stories of the knights, Thyme was the herb of bravery. Before a battle, they would wear a sprig of thyme near their hearts, believing the herb would gift them the heart of a lion and ensure their courage never failed when the steel was drawn.</t>
        </is>
      </c>
      <c r="BL5" t="inlineStr">
        <is>
          <t>APPLE BLOSSOM</t>
        </is>
      </c>
      <c r="BM5" s="42" t="inlineStr">
        <is>
          <t>Spring orchard at dawn, petals falling on still water. Love drawn in softly, peace and contentment settling like blossom on the altar. Success comes quietly in its company. Beltane and Ostara both breathe this energy — the sweetness of what is arriving.</t>
        </is>
      </c>
    </row>
    <row r="6" ht="409.5" customHeight="1" s="56">
      <c r="A6" t="inlineStr">
        <is>
          <t>APPLEWOOD CHIPS</t>
        </is>
      </c>
      <c r="B6" t="inlineStr">
        <is>
          <t>APPLEWOOD CHIPS</t>
        </is>
      </c>
      <c r="C6" t="inlineStr">
        <is>
          <t>Malus domestica</t>
        </is>
      </c>
      <c r="D6" t="inlineStr">
        <is>
          <t>Wand making, Love spells, Mabon rituals, Samhain rituals, Honouring the dead, Ancestral altars, Spirit offerings, Contacting planes, Contacting other planes, Communion with spirits, Communing with the departed, Communing with otherworldly entities, Spirit work, Nether-realm travel, Walking between worlds, SISM, contacting a specific person, Samhain/ancestral altars, Ancestor rituals, Rituals for the dead, ancestral magic, ancestral memory, death rites, Death and rebirth rites, Necromancy, Peaceful transition for the dead, ancestors, Crone magic, Seeing past lives, Reincarnation, Reincarnation knowledge, Past lives, Mabon/Samhain, Samhain,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6" t="inlineStr">
        <is>
          <t>VENUS, APHRODITE</t>
        </is>
      </c>
      <c r="F6" t="inlineStr">
        <is>
          <t>VENUS</t>
        </is>
      </c>
      <c r="G6" t="inlineStr">
        <is>
          <t>AIR</t>
        </is>
      </c>
      <c r="H6" t="inlineStr">
        <is>
          <t>FEMININE</t>
        </is>
      </c>
      <c r="I6" t="inlineStr">
        <is>
          <t>FRIDAY</t>
        </is>
      </c>
      <c r="J6" t="inlineStr">
        <is>
          <t>APHRODITE</t>
        </is>
      </c>
      <c r="K6" t="inlineStr">
        <is>
          <t>MABON, SAMHAIN</t>
        </is>
      </c>
      <c r="L6" t="inlineStr">
        <is>
          <t>Eating an apple opens the gateway into other realms. Dreaming of apples symbolizes prosperity and the good life. Symbols of Avalon.</t>
        </is>
      </c>
      <c r="M6" t="inlineStr">
        <is>
          <t>Wand making, Love spells, Mabon rituals, Samhain rituals, Honouring the dead, Ancestral altars, Spirit offerings</t>
        </is>
      </c>
      <c r="N6" t="inlineStr">
        <is>
          <t>in altars — Samhain is sometimes known as the "Feast of Apples".</t>
        </is>
      </c>
      <c r="O6" t="inlineStr">
        <is>
          <t>It is a great wood for a magical wand and is a favourite witch tree. The fruit is used at Mabon and Samhain, and for love spells. The apple is also considered one of the foods of the dead, so they are often piled high on Samhain altars — Samhain is sometimes known as the "Feast of Apples".</t>
        </is>
      </c>
      <c r="P6" t="inlineStr">
        <is>
          <t>Apple</t>
        </is>
      </c>
      <c r="Q6" t="inlineStr">
        <is>
          <t>Central/South Asia, Africa (Warm temperate regions)</t>
        </is>
      </c>
      <c r="R6" t="inlineStr">
        <is>
          <t>Safe for ritual and incense use. Do not ingest.</t>
        </is>
      </c>
      <c r="AM6" t="inlineStr">
        <is>
          <t>quartz Rose</t>
        </is>
      </c>
      <c r="AN6" t="inlineStr">
        <is>
          <t>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t>
        </is>
      </c>
      <c r="AO6" t="inlineStr">
        <is>
          <t>Confidence, Peace, Fertility, creativity, Love, compassion, beauty, Fidelity, Happiness</t>
        </is>
      </c>
      <c r="AP6" t="inlineStr">
        <is>
          <t>Seraphinite</t>
        </is>
      </c>
      <c r="AQ6" t="inlineStr">
        <is>
          <t>Seraphinite is a powerful healing stone which is becoming increasingly popular. It is an excellent healing stone which boosts the energy of both the healer, the patient. Some people even say that it causes regeneration, miraculous healings.</t>
        </is>
      </c>
      <c r="AR6" t="inlineStr">
        <is>
          <t>Purification, centering, compassion, healing.</t>
        </is>
      </c>
      <c r="AY6" t="inlineStr">
        <is>
          <t>Apple</t>
        </is>
      </c>
      <c r="AZ6" t="inlineStr">
        <is>
          <t>Love, Happiness, WISDOM IN MAGICK</t>
        </is>
      </c>
      <c r="BA6" t="inlineStr">
        <is>
          <t>UPLIFTING</t>
        </is>
      </c>
      <c r="BB6"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C6" t="inlineStr">
        <is>
          <t>Geranium</t>
        </is>
      </c>
      <c r="BD6" t="inlineStr">
        <is>
          <t>Love, Fertility, Healing, Protection</t>
        </is>
      </c>
      <c r="BE6" t="inlineStr">
        <is>
          <t>ASSURANCE, Harmony, Peace, ANTI-DEPRESSANT</t>
        </is>
      </c>
      <c r="BF6"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G6" t="inlineStr">
        <is>
          <t>Lavender</t>
        </is>
      </c>
      <c r="BH6" t="inlineStr">
        <is>
          <t>MEM, Clairvoyance, PEACE &amp; HAPPINESS, Purification, Happiness</t>
        </is>
      </c>
      <c r="BI6" t="inlineStr">
        <is>
          <t>REST, ATIVE, Peace, BALANCING, STIMULATING</t>
        </is>
      </c>
      <c r="BJ6"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L6" t="inlineStr">
        <is>
          <t>APPLEWOOD CHIPS</t>
        </is>
      </c>
      <c r="BM6" s="42" t="inlineStr">
        <is>
          <t>The feast of apples, the orchard gate between the living and those who have passed. Sacred wood for wands and staves — carries the weight of ancestral memory. Love spells find it generous. Samhain and Mabon workings feel its presence at every turning.</t>
        </is>
      </c>
    </row>
    <row r="7" ht="409.5" customHeight="1" s="56">
      <c r="A7" t="inlineStr">
        <is>
          <t>BASIL</t>
        </is>
      </c>
      <c r="B7" t="inlineStr">
        <is>
          <t>ST. JOSEPH'S WORT</t>
        </is>
      </c>
      <c r="C7" t="inlineStr">
        <is>
          <t>Ocimum basilicum</t>
        </is>
      </c>
      <c r="D7"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Enhancing divination, Divinatory incense, Foretelling the future, Future divination, Scrying, Dowsing, Prophecy,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Faithfulness, Loyalty, Promoting fidelity, Ensuring a lover returns love,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Joy, Joyous celebrations, Contentment, Serenity, Ensuring joy in the home, PEACE &amp; HAPPINESS,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Calming, Soothing, Calm, Calmness, Relaxation, Calming energies, Calming the mind, Calming stormy situations, AID MEDITATION,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Desire, Protective charm, Protective charms, Protective wreaths, Protective incense, PROTECT AGAINST NEGATIVITY, Protection from negativity, Circle protection, Enhancing clairvoyance, Psychic powers, INCREASE PSYCHIC ABILITIES, Psychic awareness, Stimulating psychic senses, Disabling psychic phenomena, Psychic communication, communication and psychic abilities,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Physical Strength, Fortitude, Vitality, Inner power, and strength, Victory, victory in battle, Conquest, Overcoming opposition, Courtroom success, Legal matters, Justice, Confidence, Self-confidence, Bravery, Determination, Will Power, Leadership, Leadership skills, Personal power, Prophetic dreams, Invoking dreams, Dream work, Dreams, Visions, Seeing the unseen, Seeing manifestations, Truth, Removing deception, Subconscious work, Digging into the subconscious, Uprooting what is hidden, Treasure seeking, Lost object finding, Anti-theft, Protection against theft, Contacting planes, Contacting other planes, Communion with spirits, Communing with the departed, Communing with otherworldly entities, Spirit work, SISM, contacting a specific person, Samhain/ancestral altars, Ancestral altars, Ancestor rituals,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E7" t="inlineStr">
        <is>
          <t>VISHNU, KRISHNA, IMBOLC</t>
        </is>
      </c>
      <c r="F7" t="inlineStr">
        <is>
          <t>MARS</t>
        </is>
      </c>
      <c r="G7" t="inlineStr">
        <is>
          <t>FIRE</t>
        </is>
      </c>
      <c r="H7" t="inlineStr">
        <is>
          <t>MASCULINE</t>
        </is>
      </c>
      <c r="I7" t="inlineStr">
        <is>
          <t>Tuesday</t>
        </is>
      </c>
      <c r="J7" t="inlineStr">
        <is>
          <t>VISHNU</t>
        </is>
      </c>
      <c r="K7" t="inlineStr">
        <is>
          <t>IMBOLC</t>
        </is>
      </c>
      <c r="L7" t="inlineStr">
        <is>
          <t>Said to be attractive to dragons, salamanders, and other fire-oriented creatures.</t>
        </is>
      </c>
      <c r="M7" t="inlineStr">
        <is>
          <t>consecration, divination (especially about love), exorcism, fertility, fidelity, good luck, happiness, harmony, love, money, passion, peace, prosperity, protection, psychic development, psychic protection, purification, strength, success, tranquillity, clairvoyance, commanding, courage, grieving, ha</t>
        </is>
      </c>
      <c r="N7" t="inlineStr">
        <is>
          <t>for consecration, divination (especially about love), exorcism, fertility, fidelity, good luck, happiness, harmony, love, money, passion, peace, prosperity, protection, psychic development, psychic pr</t>
        </is>
      </c>
      <c r="O7" t="inlineStr">
        <is>
          <t>Use for consecration, divination (especially about love), exorcism, fertility, fidelity, good luck, happiness, harmony, love, money, passion, peace, prosperity, protection, psychic development, psychic protection, purification, strength, success, tranquillity, clairvoyance, commanding, courage, grieving, hatred, honesty, initiation, inspiration, and invocation. It is said to prevent theft. Basil is often used in rituals for the dead and in spell-breaking.</t>
        </is>
      </c>
      <c r="P7" t="inlineStr">
        <is>
          <t>Pine</t>
        </is>
      </c>
      <c r="Q7" t="inlineStr">
        <is>
          <t>Mediterranean region (Coastal forests)</t>
        </is>
      </c>
      <c r="R7" t="inlineStr">
        <is>
          <t>Generally considered safe for culinary and ritual use. Avoid medicinal doses during pregnancy.</t>
        </is>
      </c>
      <c r="S7" t="inlineStr">
        <is>
          <t>FEHU</t>
        </is>
      </c>
      <c r="T7" t="inlineStr">
        <is>
          <t>F</t>
        </is>
      </c>
      <c r="U7" t="inlineStr">
        <is>
          <t>Increasing wealth, Prosperity, Anti-theft, Fortune, Luck, New beginnings, Confidence, Sun God offerings, Attraction</t>
        </is>
      </c>
      <c r="V7" t="inlineStr">
        <is>
          <t>Realized ambition. Good health. Wealth. Love fulfilled. Good fortune. Show charity and compassion.</t>
        </is>
      </c>
      <c r="W7" t="inlineStr">
        <is>
          <t>Light Red</t>
        </is>
      </c>
      <c r="X7" t="inlineStr">
        <is>
          <t>GEBO</t>
        </is>
      </c>
      <c r="Y7" t="inlineStr">
        <is>
          <t>G</t>
        </is>
      </c>
      <c r="Z7" t="inlineStr">
        <is>
          <t>Love spells, Love rituals, Love, Gift-giving, Anti-theft, giveness, Attraction, Peace</t>
        </is>
      </c>
      <c r="AA7" t="inlineStr">
        <is>
          <t>Generosity in men is to honour and praise and dignity a prop.</t>
        </is>
      </c>
      <c r="AB7" t="inlineStr">
        <is>
          <t>Dark Blue</t>
        </is>
      </c>
      <c r="AC7" t="inlineStr">
        <is>
          <t>TIWAZ</t>
        </is>
      </c>
      <c r="AD7" t="inlineStr">
        <is>
          <t>T</t>
        </is>
      </c>
      <c r="AE7" t="inlineStr">
        <is>
          <t>Confidence, Justice, Strength, Protection, Dedication, Vict, Clairvoyance, Warri, Star magick</t>
        </is>
      </c>
      <c r="AF7" t="inlineStr">
        <is>
          <t>Tactical genius, courage, bravery, dedication, daring. Protection on sea voyages. Negotiating and legislative ability.</t>
        </is>
      </c>
      <c r="AG7" t="inlineStr">
        <is>
          <t>Bright Red</t>
        </is>
      </c>
      <c r="AM7" t="inlineStr">
        <is>
          <t>Bloodstone</t>
        </is>
      </c>
      <c r="AN7"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O7" t="inlineStr">
        <is>
          <t>Healing, Prosperity, Confidence, physical strength, stress relief, help in business, legal matters, revitalization, guidance, rain, ganization.</t>
        </is>
      </c>
      <c r="AP7" t="inlineStr">
        <is>
          <t>Garnet</t>
        </is>
      </c>
      <c r="AQ7"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R7" t="inlineStr">
        <is>
          <t>Healing, cheery disposition, Confidence, Love, business success, past life regression, consistency of love &amp; friendship, travel protection, Happiness, Peace, Harmony, patience, inspiration, persistence, wisdom, fertility.</t>
        </is>
      </c>
      <c r="AS7" t="inlineStr">
        <is>
          <t>Pyrite (Fool's Gold)</t>
        </is>
      </c>
      <c r="AT7"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AU7" t="inlineStr">
        <is>
          <t>Logic, clarity, mem, Clairvoyance, Prosperity, will power, grounding, Harmony, Strength</t>
        </is>
      </c>
      <c r="AV7" t="inlineStr">
        <is>
          <t>Red Jasper</t>
        </is>
      </c>
      <c r="AW7"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AX7" t="inlineStr">
        <is>
          <t>Beauty, grace, increasing mental processes, Luck, easing pain of childbirth, Anti-theft, ming barrier against dangerous whims &amp; desires.</t>
        </is>
      </c>
      <c r="AY7" t="inlineStr">
        <is>
          <t>Pine</t>
        </is>
      </c>
      <c r="AZ7" t="inlineStr">
        <is>
          <t>PROSPERITY SPELLS, Prosperity</t>
        </is>
      </c>
      <c r="BA7" t="inlineStr">
        <is>
          <t>Harmony, Happiness, Strength</t>
        </is>
      </c>
      <c r="BB7"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7" t="inlineStr">
        <is>
          <t>Ginger</t>
        </is>
      </c>
      <c r="BD7" t="inlineStr">
        <is>
          <t>Prosperity, Healing, Love, Strength</t>
        </is>
      </c>
      <c r="BE7" t="inlineStr">
        <is>
          <t>Confidence, EMPATHY, LIBERATION, OPTIMISM, STRENGTHENS</t>
        </is>
      </c>
      <c r="BF7" t="inlineStr">
        <is>
          <t>It is said that Ginger grew where a drop of liquid sun hit the earth. Because of its fiery taste, it was believed to grant the eater the 'fire of the gut,' helping them digest not just food, but life experiences, turning bitterness into wisdom.</t>
        </is>
      </c>
      <c r="BG7" t="inlineStr">
        <is>
          <t>Cedarwood</t>
        </is>
      </c>
      <c r="BH7" t="inlineStr">
        <is>
          <t>Purification, Protection, RID OF BAD DREAMS, Prosperity</t>
        </is>
      </c>
      <c r="BI7" t="inlineStr">
        <is>
          <t>New beginnings, REGROWTH, CALMING &amp; COMF, Attracting good spirits, STRENGTHENING</t>
        </is>
      </c>
      <c r="BJ7"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L7" t="inlineStr">
        <is>
          <t>BASIL</t>
        </is>
      </c>
      <c r="BM7" s="42" t="inlineStr">
        <is>
          <t>Dark green and sun-warmed, the Mediterranean noon in a leaf. Fire energy generous and giving — consecration, fidelity, love, exorcism all welcome it. Money flows more easily, harmony settles, fertility stirs. Rarely asked to do one thing when it can do many.</t>
        </is>
      </c>
    </row>
    <row r="8" ht="409.5" customHeight="1" s="56">
      <c r="A8" t="inlineStr">
        <is>
          <t>BAY LAUREL</t>
        </is>
      </c>
      <c r="B8" t="inlineStr">
        <is>
          <t>SWEET BAY</t>
        </is>
      </c>
      <c r="C8" t="inlineStr">
        <is>
          <t>Laurus nobilis</t>
        </is>
      </c>
      <c r="D8" t="inlineStr">
        <is>
          <t>Clairvoyance, Consecration, Divination, Dreams, Exorcism, Healing, Love, Passion, Protection, Psychic protection, Purification, Wisdom, Wishes, Winter rituals, Yule magic, Enhancing clairvoyance, Psychic development, Psychic powers, INCREASE PSYCHIC ABILITIES, Psychic awareness, Stimulating psychic senses, Disabling psychic phenomena, Psychic communication, communication and psychic abilities,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Enhancing divination, Divinatory incense, Foretelling the future, Future divination, Scrying, Dowsing, Prophecy, Prophetic dreams, Invoking dreams, Dream work, Visions, Seeing the unseen, Seeing manifestations, Truth, Honesty, Removing deception, Subconscious work, Digging into the subconscious, Uprooting what is hidden, Treasure seeking, Lost object finding,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Desire, Protective charm, Protective charms,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Knowledge, Intelligence, Intuition, Mental clarity, Sharpening the wits, Sharpening the brain, Mental powers, MEM, Memory, Illumination, Enlightenment, Yule, Yule rituals</t>
        </is>
      </c>
      <c r="E8" t="inlineStr">
        <is>
          <t>APOLLO, AESCIEPIUS, CERES, CERRIDWEN, SOL</t>
        </is>
      </c>
      <c r="F8" t="inlineStr">
        <is>
          <t>SUN</t>
        </is>
      </c>
      <c r="G8" t="inlineStr">
        <is>
          <t>FIRE</t>
        </is>
      </c>
      <c r="H8" t="inlineStr">
        <is>
          <t>MASCULINE</t>
        </is>
      </c>
      <c r="I8" t="inlineStr">
        <is>
          <t>SUNDAY</t>
        </is>
      </c>
      <c r="J8" t="inlineStr">
        <is>
          <t>CERES, CERRIDWEN, SOL</t>
        </is>
      </c>
      <c r="K8" t="inlineStr">
        <is>
          <t>YULE</t>
        </is>
      </c>
      <c r="L8" t="inlineStr">
        <is>
          <t>Sacred Greek plant. Associated with Daphne and Apollo.</t>
        </is>
      </c>
      <c r="M8" t="inlineStr">
        <is>
          <t>clairvoyance, consecration, divination, dreams, exorcism, healing, love, passion, protection, psychic protection, purification, wisdom, and wishes.</t>
        </is>
      </c>
      <c r="N8" t="inlineStr">
        <is>
          <t>It is used for clairvoyance, consecration, divination, dreams, exorcism, healing, love, passion, protection, psychic protection, purification, wisdom, and wishes.</t>
        </is>
      </c>
      <c r="O8" t="inlineStr">
        <is>
          <t>It is used for clairvoyance, consecration, divination, dreams, exorcism, healing, love, passion, protection, psychic protection, purification, wisdom, and wishes. Use at winter rituals such as Yule.</t>
        </is>
      </c>
      <c r="P8" t="inlineStr">
        <is>
          <t>Cedarwood</t>
        </is>
      </c>
      <c r="Q8" t="inlineStr">
        <is>
          <t>Sumatra, Java (Tropical rainforests)</t>
        </is>
      </c>
      <c r="R8" t="inlineStr">
        <is>
          <t>Generally safe for culinary use. The essential oil is toxic — do not ingest. Avoid during pregnancy in large doses.</t>
        </is>
      </c>
      <c r="S8" t="inlineStr">
        <is>
          <t>THURISAZ</t>
        </is>
      </c>
      <c r="T8" t="inlineStr">
        <is>
          <t>TH</t>
        </is>
      </c>
      <c r="U8" t="inlineStr">
        <is>
          <t>Protection, Protection (hexes/evil), Banishing, Warding, Exorcism, Magical power, Strength</t>
        </is>
      </c>
      <c r="V8" t="inlineStr">
        <is>
          <t>Magical power, the forces of chaos or of evil. Temptation. A Warning. Protective barrier.</t>
        </is>
      </c>
      <c r="W8" t="inlineStr">
        <is>
          <t>Bright Red</t>
        </is>
      </c>
      <c r="X8" t="inlineStr">
        <is>
          <t>ANSUZ</t>
        </is>
      </c>
      <c r="Y8" t="inlineStr">
        <is>
          <t>A</t>
        </is>
      </c>
      <c r="Z8" t="inlineStr">
        <is>
          <t>Divination, Prophetic dreams, Communication, Wisdom, Clairvoyance, Star magick, Truth</t>
        </is>
      </c>
      <c r="AA8" t="inlineStr">
        <is>
          <t>Knowledge. Wisdom. Communication. The mouth. A message. Divine power and revelation.</t>
        </is>
      </c>
      <c r="AB8" t="inlineStr">
        <is>
          <t>Dark Blue</t>
        </is>
      </c>
      <c r="AC8" t="inlineStr">
        <is>
          <t>KAUNO</t>
        </is>
      </c>
      <c r="AD8" t="inlineStr">
        <is>
          <t>K/C</t>
        </is>
      </c>
      <c r="AE8" t="inlineStr">
        <is>
          <t>Fire magick, Enlightenment, Illumination, Clarity, Healing, Dispelling sickness, Inspiration</t>
        </is>
      </c>
      <c r="AF8" t="inlineStr">
        <is>
          <t>Light, warmth, enlightenment and knowledge. Understanding must lead to action.</t>
        </is>
      </c>
      <c r="AG8" t="inlineStr">
        <is>
          <t>Light Red</t>
        </is>
      </c>
      <c r="AH8" t="inlineStr">
        <is>
          <t>PERTH</t>
        </is>
      </c>
      <c r="AI8" t="inlineStr">
        <is>
          <t>P</t>
        </is>
      </c>
      <c r="AJ8" t="inlineStr">
        <is>
          <t>Divination, Mystery, Clairvoyance, Secrets, Star magick, Chance, Hidden knowledge, Truth</t>
        </is>
      </c>
      <c r="AK8" t="inlineStr">
        <is>
          <t>Mystery, chance, secrets, hidden knowledge, disclosure, science.</t>
        </is>
      </c>
      <c r="AL8" t="inlineStr">
        <is>
          <t>Black</t>
        </is>
      </c>
      <c r="AM8" t="inlineStr">
        <is>
          <t>Ametrine</t>
        </is>
      </c>
      <c r="AN8" t="inlineStr">
        <is>
          <t>Combines mental clarity with strength of will, making it a very powerful stone f, any magic user.</t>
        </is>
      </c>
      <c r="AO8" t="inlineStr">
        <is>
          <t>Astral travel, magickal power, meditation, removing negativity.</t>
        </is>
      </c>
      <c r="AP8" t="inlineStr">
        <is>
          <t>Carnelian</t>
        </is>
      </c>
      <c r="AQ8"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8" t="inlineStr">
        <is>
          <t>Happiness, Protection, energy, easing depression, promoting self-confidence, Peace, concentration, focus, Attraction, sexuality, Love, Healing, courage.</t>
        </is>
      </c>
      <c r="AS8" t="inlineStr">
        <is>
          <t>Citrine</t>
        </is>
      </c>
      <c r="AT8"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8"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8" t="inlineStr">
        <is>
          <t>Quartz Clear</t>
        </is>
      </c>
      <c r="AW8"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8" t="inlineStr">
        <is>
          <t>Protection, Healing, psychism, Strength, lactation</t>
        </is>
      </c>
      <c r="AY8" t="inlineStr">
        <is>
          <t>Cedarwood</t>
        </is>
      </c>
      <c r="AZ8" t="inlineStr">
        <is>
          <t>Purification, Protection, RID OF BAD DREAMS, Prosperity</t>
        </is>
      </c>
      <c r="BA8" t="inlineStr">
        <is>
          <t>New beginnings, REGROWTH, CALMING &amp; COMF, Attracting good spirits, STRENGTHENING</t>
        </is>
      </c>
      <c r="BB8"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C8" t="inlineStr">
        <is>
          <t>Frankincense</t>
        </is>
      </c>
      <c r="BD8" t="inlineStr">
        <is>
          <t>Luck, Protection, SPIRITUALITY, PROTECT AGAINST NEGATIVITY, EXC, Exorcism</t>
        </is>
      </c>
      <c r="BE8" t="inlineStr">
        <is>
          <t>ENLIGHTENMENT, INSPIRATION, INTROSPECTION, AIDS MEDITATION</t>
        </is>
      </c>
      <c r="BF8"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G8" t="inlineStr">
        <is>
          <t>Juniper</t>
        </is>
      </c>
      <c r="BH8" t="inlineStr">
        <is>
          <t>AID MEDITATION, Healing, Love, Protection</t>
        </is>
      </c>
      <c r="BI8" t="inlineStr">
        <is>
          <t>ENLIGHTENMENT, INNER VISION, SINCERITY, UPLIFTING, CENTRING</t>
        </is>
      </c>
      <c r="BJ8"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BL8" t="inlineStr">
        <is>
          <t>BAY LAUREL</t>
        </is>
      </c>
      <c r="BM8" s="42" t="inlineStr">
        <is>
          <t>Victory wreath and prophet's crown, sun concentrated into a single leaf. Clairvoyance sharpened, prophetic dreams invited in. Exorcism and psychic protection hold firmer with it burning. Love and healing both find it a willing companion.</t>
        </is>
      </c>
    </row>
    <row r="9" ht="409.5" customHeight="1" s="56">
      <c r="A9" t="inlineStr">
        <is>
          <t>BENZOIN</t>
        </is>
      </c>
      <c r="B9" t="inlineStr">
        <is>
          <t>GUM BENJAMIN</t>
        </is>
      </c>
      <c r="C9" t="inlineStr">
        <is>
          <t>Styrax benzoin</t>
        </is>
      </c>
      <c r="D9" t="inlineStr">
        <is>
          <t>Purification, Sanctifying an area, Attracting business, Incense base, Substitute for storax, Focus, Concentration, Purifying ritual areas, Purifying  Purifying new homes, Purifying new homes, Purifying the home, Self-purification, Purifying ritual spaces, Purification rituals,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Fertility, Female fertility, Fertility magic, Fertility charms, Aiding fertility, Increasing fertility, Fruitfulness, Virility, male virility, Abundant harvest, Prosperity, Wealth, Wealth/Prosperity, Business dealings, abundance, Financial arrangements, Aiding gain, Gain, PROSPERITY SPELLS, Increasing wealth,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E9" t="inlineStr">
        <is>
          <t>VENUS, APHRODITE, MUT, HECATE,AQUARIUS</t>
        </is>
      </c>
      <c r="F9" t="inlineStr">
        <is>
          <t>SUN</t>
        </is>
      </c>
      <c r="G9" t="inlineStr">
        <is>
          <t>AIR</t>
        </is>
      </c>
      <c r="H9" t="inlineStr">
        <is>
          <t>MASCULINE</t>
        </is>
      </c>
      <c r="I9" t="inlineStr">
        <is>
          <t>SATURDAY</t>
        </is>
      </c>
      <c r="J9" t="inlineStr">
        <is>
          <t>APHRODITE, HECATE</t>
        </is>
      </c>
      <c r="K9" t="inlineStr">
        <is>
          <t>LITHA, YULE</t>
        </is>
      </c>
      <c r="L9" t="inlineStr">
        <is>
          <t>Associated with Imbolc and Mabon. Desirable herb for astral world journeys. Promotes generosity.</t>
        </is>
      </c>
      <c r="M9" t="inlineStr">
        <is>
          <t>Purification, Sanctifying an area, Attracting business, Incense base, Substitute for storax, Focus, Concentration</t>
        </is>
      </c>
      <c r="N9" t="inlineStr">
        <is>
          <t>burned in incense to sanctify an area.</t>
        </is>
      </c>
      <c r="O9" t="inlineStr">
        <is>
          <t>An herb of purification, burned in incense to sanctify an area. The scent is also used to attract business when combined with basil, peony, or cinnamon. Benzoin is often used as a base for incenses and can be a substitute for storax, to which it is related. Benzoin is best used to provide focus and enhance concentration.</t>
        </is>
      </c>
      <c r="P9" t="inlineStr">
        <is>
          <t>Orange Bitter</t>
        </is>
      </c>
      <c r="Q9" t="inlineStr">
        <is>
          <t>East Asia (Mountainous regions)</t>
        </is>
      </c>
      <c r="R9" t="inlineStr">
        <is>
          <t>Warning: May cause skin sensitisation or allergic reactions. Avoid contact with eyes.</t>
        </is>
      </c>
      <c r="AY9" t="inlineStr">
        <is>
          <t>Orange Bitter</t>
        </is>
      </c>
      <c r="AZ9" t="inlineStr">
        <is>
          <t>Divination, Love, Luck, Prosperity</t>
        </is>
      </c>
      <c r="BA9" t="inlineStr">
        <is>
          <t>CREATIVITY, LIGHTHEARTEDNESS, POSITIVITY, SENSUAL</t>
        </is>
      </c>
      <c r="BB9" t="inlineStr">
        <is>
          <t>It was whispered that the bitter orange was the fruit of the sun’s own garden. Because it grew in the heat, it was believed to hold the fire of the sun, and those who bathed in its essence would find their spirits lightened, as if they were walking in perpetual midday.</t>
        </is>
      </c>
      <c r="BC9" t="inlineStr">
        <is>
          <t>Fir Needle</t>
        </is>
      </c>
      <c r="BD9" t="inlineStr">
        <is>
          <t>Purification, Cleansing, Protection, Healing</t>
        </is>
      </c>
      <c r="BE9" t="inlineStr">
        <is>
          <t>Used in ritual and ceremonial magic for purification, cleansing, protection, healing</t>
        </is>
      </c>
      <c r="BF9" t="inlineStr">
        <is>
          <t>In the deep northern forests, it was said that the fir tree never slept. While other trees lost their leaves, the fir remained green to act as a sentinel. Villagers would hang branches over their doors, believing the tree’s spirit would stand watch and sweep away any restless or wandering spirits that tried to disturb the home.</t>
        </is>
      </c>
      <c r="BG9" t="inlineStr">
        <is>
          <t>Cedarwood</t>
        </is>
      </c>
      <c r="BH9" t="inlineStr">
        <is>
          <t>Purification, Protection, RID OF BAD DREAMS, Prosperity</t>
        </is>
      </c>
      <c r="BI9" t="inlineStr">
        <is>
          <t>New beginnings, REGROWTH, CALMING &amp; COMF, Attracting good spirits, STRENGTHENING</t>
        </is>
      </c>
      <c r="BJ9"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K9" t="inlineStr">
        <is>
          <t>AQUARIUS</t>
        </is>
      </c>
      <c r="BL9" t="inlineStr">
        <is>
          <t>BENZOIN</t>
        </is>
      </c>
      <c r="BM9" s="42" t="inlineStr">
        <is>
          <t>Sweet resin of the sanctified space, the incense base that lifts everything it joins. Purification carried deep into the working. Concentration sharpened, business drawn in on its rising smoke. The space knows the difference when this burns.</t>
        </is>
      </c>
    </row>
    <row r="10" ht="403.5" customHeight="1" s="56">
      <c r="A10" t="inlineStr">
        <is>
          <t>BLACK TEA</t>
        </is>
      </c>
      <c r="B10" t="inlineStr">
        <is>
          <t>ST GEORGES HERB</t>
        </is>
      </c>
      <c r="C10" t="inlineStr">
        <is>
          <t>Camellia sinensis</t>
        </is>
      </c>
      <c r="D10" t="inlineStr">
        <is>
          <t>Prosperity, Strength, Fortitude, Good health, Divination, Emotional healing, Calming, Soothing, Reviving, Invigorating,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Vitality, Inner power, and strength, Healing, Healing magic, Healing spells, Healing sachets, Healing incenses, Healing mixtures, Healing rituals, Healing incense, Healing vibrations, healing after surgery, Aiding recovery, Aiding the ill, Improving health, Speeding recovery, health, Enhancing divination, Divinatory incense, Foretelling the future, Future divination, Scrying, Dowsing, Prophecy, Exploring feelings, Exploring true feelings, Emotional balance,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10" t="inlineStr">
        <is>
          <t>prosperity, strength, fortitude</t>
        </is>
      </c>
      <c r="F10" t="inlineStr">
        <is>
          <t>Sun</t>
        </is>
      </c>
      <c r="G10" t="inlineStr">
        <is>
          <t>Fire</t>
        </is>
      </c>
      <c r="H10" t="inlineStr">
        <is>
          <t>MASCULINE</t>
        </is>
      </c>
      <c r="I10" t="inlineStr">
        <is>
          <t>Sunday</t>
        </is>
      </c>
      <c r="J10" t="inlineStr">
        <is>
          <t>ALL, BRIGID</t>
        </is>
      </c>
      <c r="K10" t="inlineStr">
        <is>
          <t>LITHA, YULE</t>
        </is>
      </c>
      <c r="L10" t="inlineStr">
        <is>
          <t>Believed to have miraculous properties for minor ailments.</t>
        </is>
      </c>
      <c r="M10" t="inlineStr">
        <is>
          <t>Black tea is used in magic for prosperity, strength, and fortitude.</t>
        </is>
      </c>
      <c r="N10" t="inlineStr">
        <is>
          <t>Used in ancestral rituals and as an offering to deities of strength and fortitude. Brew and pour as a libation on the altar.</t>
        </is>
      </c>
      <c r="O10" t="inlineStr">
        <is>
          <t>Black tea is used in magic for prosperity, strength, and fortitude. It is often burned near the room of a sick person to open the doors to good health; its leaves are used in divination. Tea is also an essential remedy for all social and psychological ills, from a bruised ego to the trauma of a divorce or bereavement. This magical drink can be used effectively as a sedative or stimulant, to calm and soothe or to revive and invigorate. Whatever your mental and physical state, what you need is a nice cup of tea.</t>
        </is>
      </c>
      <c r="P10" t="inlineStr">
        <is>
          <t>Cedarwood</t>
        </is>
      </c>
      <c r="Q10" t="inlineStr">
        <is>
          <t>Europe, temperate Asia (Hedges, thickets)</t>
        </is>
      </c>
      <c r="R10" t="inlineStr">
        <is>
          <t>Generally safe. High caffeine content — avoid excessive use. Not recommended for children in large amounts.</t>
        </is>
      </c>
      <c r="S10" t="inlineStr">
        <is>
          <t>FEHU</t>
        </is>
      </c>
      <c r="T10" t="inlineStr">
        <is>
          <t>F</t>
        </is>
      </c>
      <c r="U10" t="inlineStr">
        <is>
          <t>Increasing wealth, Prosperity, Anti-theft, Fortune, Luck, New beginnings, Confidence, Sun God offerings, Attraction</t>
        </is>
      </c>
      <c r="V10" t="inlineStr">
        <is>
          <t>Realized ambition. Good health. Wealth. Love fulfilled. Good fortune. Show charity and compassion.</t>
        </is>
      </c>
      <c r="W10" t="inlineStr">
        <is>
          <t>Light Red</t>
        </is>
      </c>
      <c r="X10" t="inlineStr">
        <is>
          <t>WUNJO</t>
        </is>
      </c>
      <c r="Y10" t="inlineStr">
        <is>
          <t>W/V</t>
        </is>
      </c>
      <c r="Z10" t="inlineStr">
        <is>
          <t>Happiness, Prosperity, Harmony, Love, Celebration, Confidence, Luck</t>
        </is>
      </c>
      <c r="AA10" t="inlineStr">
        <is>
          <t>Understanding, realisation of ambition, success in romance and good health. Partnerships flourish. New beginnings are blessed with joyfulness. Your eyes are opened to the truth.</t>
        </is>
      </c>
      <c r="AB10" t="inlineStr">
        <is>
          <t>Light Blue</t>
        </is>
      </c>
      <c r="AC10" t="inlineStr">
        <is>
          <t>NAUDIZ</t>
        </is>
      </c>
      <c r="AD10" t="inlineStr">
        <is>
          <t>N</t>
        </is>
      </c>
      <c r="AE10" t="inlineStr">
        <is>
          <t>Strength, Perseverance, Inner power, Confidence, Healing, Necessity</t>
        </is>
      </c>
      <c r="AF10" t="inlineStr">
        <is>
          <t>Control your emotions. Do not give in to cravings. Your health is at risk especially from dietary aberrations. Ensure your love is not misplaced. Beware extraordinary demands on your time or generosity.</t>
        </is>
      </c>
      <c r="AG10" t="inlineStr">
        <is>
          <t>Black</t>
        </is>
      </c>
      <c r="AH10" t="inlineStr">
        <is>
          <t>ISA</t>
        </is>
      </c>
      <c r="AI10" t="inlineStr">
        <is>
          <t>I</t>
        </is>
      </c>
      <c r="AJ10" t="inlineStr">
        <is>
          <t>Binding spells, Stillness, Stagnation breaking, Freezing (hexes), Protection, Patience</t>
        </is>
      </c>
      <c r="AK10" t="inlineStr">
        <is>
          <t>Ice, cold, freezing. Lack of change. Stagnation. Preservation and binding.</t>
        </is>
      </c>
      <c r="AL10" t="inlineStr">
        <is>
          <t>Black</t>
        </is>
      </c>
      <c r="AM10" t="inlineStr">
        <is>
          <t>Ametrine</t>
        </is>
      </c>
      <c r="AN10" t="inlineStr">
        <is>
          <t>Combines mental clarity with strength of will, making it a very powerful stone f, any magic user.</t>
        </is>
      </c>
      <c r="AO10" t="inlineStr">
        <is>
          <t>Astral travel, magickal power, meditation, removing negativity.</t>
        </is>
      </c>
      <c r="AP10" t="inlineStr">
        <is>
          <t>Carnelian</t>
        </is>
      </c>
      <c r="AQ10"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10" t="inlineStr">
        <is>
          <t>Happiness, Protection, energy, easing depression, promoting self-confidence, Peace, concentration, focus, Attraction, sexuality, Love, Healing, courage.</t>
        </is>
      </c>
      <c r="AS10" t="inlineStr">
        <is>
          <t>Citrine</t>
        </is>
      </c>
      <c r="AT10"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10"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10" t="inlineStr">
        <is>
          <t>Quartz Clear</t>
        </is>
      </c>
      <c r="AW10"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10" t="inlineStr">
        <is>
          <t>Protection, Healing, psychism, Strength, lactation</t>
        </is>
      </c>
      <c r="AY10" t="inlineStr">
        <is>
          <t>Cedarwood</t>
        </is>
      </c>
      <c r="AZ10" t="inlineStr">
        <is>
          <t>Purification, Protection, RID OF BAD DREAMS, Prosperity</t>
        </is>
      </c>
      <c r="BA10" t="inlineStr">
        <is>
          <t>New beginnings, REGROWTH, CALMING &amp; COMF, Attracting good spirits, STRENGTHENING</t>
        </is>
      </c>
      <c r="BB10"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C10" t="inlineStr">
        <is>
          <t>Frankincense</t>
        </is>
      </c>
      <c r="BD10" t="inlineStr">
        <is>
          <t>Luck, Protection, SPIRITUALITY, PROTECT AGAINST NEGATIVITY, EXC, Exorcism</t>
        </is>
      </c>
      <c r="BE10" t="inlineStr">
        <is>
          <t>ENLIGHTENMENT, INSPIRATION, INTROSPECTION, AIDS MEDITATION</t>
        </is>
      </c>
      <c r="BF10"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G10" t="inlineStr">
        <is>
          <t>Tea Tree</t>
        </is>
      </c>
      <c r="BH10" t="inlineStr">
        <is>
          <t>Strength</t>
        </is>
      </c>
      <c r="BI10" t="inlineStr">
        <is>
          <t>MEDICINAL</t>
        </is>
      </c>
      <c r="BJ10"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L10" t="inlineStr">
        <is>
          <t>BLACK TEA</t>
        </is>
      </c>
      <c r="BM10" s="42" t="inlineStr">
        <is>
          <t>Dark earth brewed strong, the cup that steadies before ritual. Prosperity and fortitude held in its depth. Ancestral spirits receive it as offering. Emotional healing and divination both find it grounding. Quietly powerful, never showy.</t>
        </is>
      </c>
    </row>
    <row r="11" ht="409.5" customHeight="1" s="56">
      <c r="A11" t="inlineStr">
        <is>
          <t>BLACKBERRY LEAVES</t>
        </is>
      </c>
      <c r="B11" t="inlineStr">
        <is>
          <t>DEWBERRY</t>
        </is>
      </c>
      <c r="C11" t="inlineStr">
        <is>
          <t>Rubus fruticosus</t>
        </is>
      </c>
      <c r="D11" t="inlineStr">
        <is>
          <t>Protection, Protective wreaths, Mojo bags, Household protection, Prosperity, Female fertility, Aphrodisiac tea, Abundant harvest, Magical cooking, Protective charm, Protective charms, Protective sachets, Protective incense, PROTECT AGAINST NEGATIVITY, Protection from negativity, Circle protection,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Sachets,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Healing altars, Home blessing, Ensuring joy in the home, Tranquillity in the home, Blessing guests, Blessing domestic animals, Meditation, Contemplation, Concentration, Focus, Sun God offerings, Solar spells, Fertility, Fertility magic, Fertility charms, Aiding fertility, Increasing fertility, Fruitfulness, Virility, male virility,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Aphrodisiac, Sensuality, Lust, Lust/Sex, Passionate love-making, LOVING &amp; LUSTFUL ENERGIES, SEX MAGIC, RAISE SEXUAL ENERGY, Sexual energy</t>
        </is>
      </c>
      <c r="E11" t="inlineStr">
        <is>
          <t>APHRODITE, BRIGID, VENUS, ARIES, SCORPIO</t>
        </is>
      </c>
      <c r="F11" t="inlineStr">
        <is>
          <t>VENUS</t>
        </is>
      </c>
      <c r="G11" t="inlineStr">
        <is>
          <t>WATER, FIRE</t>
        </is>
      </c>
      <c r="H11" t="inlineStr">
        <is>
          <t>FEMININE</t>
        </is>
      </c>
      <c r="I11" t="inlineStr">
        <is>
          <t>FRIDAY</t>
        </is>
      </c>
      <c r="J11" t="inlineStr">
        <is>
          <t>APHRODITE, BRIGID</t>
        </is>
      </c>
      <c r="K11" t="inlineStr">
        <is>
          <t>OSTARA, BELTANE</t>
        </is>
      </c>
      <c r="L11" t="inlineStr">
        <is>
          <t>Baked into pies for first harvest festivals. Dreaming of blackberries represents loss/sorrow.</t>
        </is>
      </c>
      <c r="M11" t="inlineStr">
        <is>
          <t>everything related to female fertility.</t>
        </is>
      </c>
      <c r="N11" t="inlineStr">
        <is>
          <t>Woven into protective wreaths for the home and altar. Used in Lughnasadh and harvest rituals; sacred to Brigid in healing rites.</t>
        </is>
      </c>
      <c r="O11" t="inlineStr">
        <is>
          <t>Different parts of the blackberry plant have different correspondences. The thorny branches are ruled by Aries and fire and are used for protection. Blackberry vines can be woven into protective wreaths, especially in combination with rowan and ivy; the thorns and leaves can also be added to mojo bags and other preparations for general household protection and prosperity. Blackberry leaves are ruled by Venus, Scorpio, and the element of water, and are used for everything related to female fertility. The tea from the leaf is also said to work as a mild aphrodisiac. The berries themselves are feminine in nature and ruled by the element of earth — they represent an abundant harvest and can be used in spells and magical cooking for prosperity.</t>
        </is>
      </c>
      <c r="P11" t="inlineStr">
        <is>
          <t>Ylang Ylang</t>
        </is>
      </c>
      <c r="Q11" t="inlineStr">
        <is>
          <t>Northern Hemisphere (Wetlands, marshes)</t>
        </is>
      </c>
      <c r="R11" t="inlineStr">
        <is>
          <t>Generally safe for external and ritual use. High tannin content — avoid excessive internal use.</t>
        </is>
      </c>
      <c r="S11" t="inlineStr">
        <is>
          <t>URUZ</t>
        </is>
      </c>
      <c r="T11" t="inlineStr">
        <is>
          <t>U/OO</t>
        </is>
      </c>
      <c r="U11" t="inlineStr">
        <is>
          <t>Strength, Bolstering spells, Healing, Confidence, Protection, Fertility, Fruitfulness</t>
        </is>
      </c>
      <c r="V11" t="inlineStr">
        <is>
          <t>Terminations, new beginnings. An opportunity disguised as a threat. Mental agility. Physical development, mental and bodily health. Power.</t>
        </is>
      </c>
      <c r="W11" t="inlineStr">
        <is>
          <t>Dark Green</t>
        </is>
      </c>
      <c r="X11" t="inlineStr">
        <is>
          <t>RAIDO</t>
        </is>
      </c>
      <c r="Y11" t="inlineStr">
        <is>
          <t>R</t>
        </is>
      </c>
      <c r="Z11" t="inlineStr">
        <is>
          <t>Journey spells, New beginnings, Movement, Cycles, Luck, Progress, Harmony</t>
        </is>
      </c>
      <c r="AA11" t="inlineStr">
        <is>
          <t>Travel is indicated. New friends or old friends return. Jobs connected with transport or overseas locations.</t>
        </is>
      </c>
      <c r="AB11" t="inlineStr">
        <is>
          <t>Bright Red</t>
        </is>
      </c>
      <c r="AC11" t="inlineStr">
        <is>
          <t>HAGALAZ</t>
        </is>
      </c>
      <c r="AD11" t="inlineStr">
        <is>
          <t>H</t>
        </is>
      </c>
      <c r="AE11" t="inlineStr">
        <is>
          <t>Protection, Banishing, Warding, Exorcism, Strength, Challenges, Disruption</t>
        </is>
      </c>
      <c r="AF11" t="inlineStr">
        <is>
          <t>Challenge, disruption, interference, hardship, elemental forces.</t>
        </is>
      </c>
      <c r="AG11" t="inlineStr">
        <is>
          <t>Light Blue</t>
        </is>
      </c>
      <c r="AH11" t="inlineStr">
        <is>
          <t>ALGIZ</t>
        </is>
      </c>
      <c r="AI11" t="inlineStr">
        <is>
          <t>Z/S</t>
        </is>
      </c>
      <c r="AJ11" t="inlineStr">
        <is>
          <t>Protection, Warding, Protection (hexes/evil), Banishing, Alertness, Strength, Opp, tunity</t>
        </is>
      </c>
      <c r="AK11" t="inlineStr">
        <is>
          <t>Protection, safe refuge, opportunity, alertness, rapid growth, success.</t>
        </is>
      </c>
      <c r="AL11" t="inlineStr">
        <is>
          <t>Gold</t>
        </is>
      </c>
      <c r="AM11" t="inlineStr">
        <is>
          <t>Chrysocolla</t>
        </is>
      </c>
      <c r="AN11"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11" t="inlineStr">
        <is>
          <t>Clarity, Peace, patience, Love, wisdom, Negating dreams, Harmony, Prosperity, growth, hope, intimacy, Divination, tolerance, sleep, creativity, self-awareness.</t>
        </is>
      </c>
      <c r="AP11" t="inlineStr">
        <is>
          <t>Copper flakes</t>
        </is>
      </c>
      <c r="AQ11" t="inlineStr">
        <is>
          <t>Use copper in rituals, Bolstering spells, amulets to promote love, sensuality, friendship, positive relationships of any kind, negotiations, peace.</t>
        </is>
      </c>
      <c r="AR11" t="inlineStr">
        <is>
          <t>Love, Peace, friendships</t>
        </is>
      </c>
      <c r="AS11" t="inlineStr">
        <is>
          <t>Fuchsite</t>
        </is>
      </c>
      <c r="AT11" t="inlineStr">
        <is>
          <t>It is known as the Healers Stone as it is particularly good f, healers... especially those who regularly try to save others from themselves, when it might be better to let the person to take responsibility f, their own health concerns.a stone that will generally help you by stimulating your mind. This may intensify inspiration, aid with problem solving..., help to develop your intuition.</t>
        </is>
      </c>
      <c r="AU11" t="inlineStr">
        <is>
          <t>Healing, wisdom, intellect, productivity, independence, problem solving, balance in the family, equilibrium in relationships, reducing mood swings</t>
        </is>
      </c>
      <c r="AV11" t="inlineStr">
        <is>
          <t>Goldstone</t>
        </is>
      </c>
      <c r="AW11"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X11" t="inlineStr">
        <is>
          <t>Hope, protection.</t>
        </is>
      </c>
      <c r="AY11" t="inlineStr">
        <is>
          <t>Ylang Ylang</t>
        </is>
      </c>
      <c r="AZ11" t="inlineStr">
        <is>
          <t>SEX MAGIC, Protection, LOVE &amp; PEACE, CLEARING NEGATIVITY</t>
        </is>
      </c>
      <c r="BA11" t="inlineStr">
        <is>
          <t>Peace, ENTHUSIASM, Happiness, UPLIFTMENT</t>
        </is>
      </c>
      <c r="BB11"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11" t="inlineStr">
        <is>
          <t>Thyme</t>
        </is>
      </c>
      <c r="BD11" t="inlineStr">
        <is>
          <t>Healing, Love, Purification, Confidence</t>
        </is>
      </c>
      <c r="BE11" t="inlineStr">
        <is>
          <t>Harmony, STRENGTHENS, SUPP, Amulets/talismans</t>
        </is>
      </c>
      <c r="BF11" t="inlineStr">
        <is>
          <t>In the stories of the knights, Thyme was the herb of bravery. Before a battle, they would wear a sprig of thyme near their hearts, believing the herb would gift them the heart of a lion and ensure their courage never failed when the steel was drawn.</t>
        </is>
      </c>
      <c r="BG11" t="inlineStr">
        <is>
          <t>Vanilla</t>
        </is>
      </c>
      <c r="BH11" t="inlineStr">
        <is>
          <t>MENTAL POWERS, LOVING &amp; LUSTFUL ENERGIES</t>
        </is>
      </c>
      <c r="BI11" t="inlineStr">
        <is>
          <t>SOOTHES NERVES, CALMS, RELAXES</t>
        </is>
      </c>
      <c r="BJ11"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K11" t="inlineStr">
        <is>
          <t>ARIES, SCORPIO</t>
        </is>
      </c>
      <c r="BL11" t="inlineStr">
        <is>
          <t>BLACKBERRY LEAVES</t>
        </is>
      </c>
      <c r="BM11" s="42" t="inlineStr">
        <is>
          <t>Wild thorns and dark fruit, the hedgerow's own fierce abundance. Female fertility energy runs deep in its roots. Protective wreaths woven from it hold the home. Harvest magic and Lughnasadh feel its presence — abundance and the warning to approach with respect.</t>
        </is>
      </c>
    </row>
    <row r="12" ht="409.5" customHeight="1" s="56">
      <c r="A12" t="inlineStr">
        <is>
          <t>CALAMUS ROOT</t>
        </is>
      </c>
      <c r="B12" t="inlineStr">
        <is>
          <t>BACH ROOT</t>
        </is>
      </c>
      <c r="C12" t="inlineStr">
        <is>
          <t>Acorus calamus</t>
        </is>
      </c>
      <c r="D12" t="inlineStr">
        <is>
          <t>Aphrodisiac, Harmony, Love, Peace, Tranquillity, Strengthening spells, Binding spells, Healing incenses, Healing sachets, Emotional exhaustion, Self-confidence, Success, Aphrodisiac tea, Sensuality, Lust, Lust/Sex, Passionate love-making, LOVING &amp; LUSTFUL ENERGIES, SEX MAGIC, RAISE SEXUAL ENERGY, Sexual energy,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Magical power, Increasing magical power, Increasing spell power, Power amplification, Bolstering spells, Bolstering incense, Potency, Power, Magic, WISDOM IN MAGICK, defensive magic, Healing, Healing magic, Healing spells, Healing mixtures, Healing rituals, Healing incense, Healing vibrations, healing after surgery, Aiding recovery, Aiding the ill, Improving health, Speeding recovery, Good health, health, Confidence, Courage, Bravery, Determination, Will Power, Leadership, Leadership skills, Commanding, Personal power, Victory, victory in battle, Conquest, Overcoming opposition, Courtroom success, Legal matters, Justice</t>
        </is>
      </c>
      <c r="E12" t="inlineStr">
        <is>
          <t>CANCER, PISCES</t>
        </is>
      </c>
      <c r="F12" t="inlineStr">
        <is>
          <t>SUN, MOON</t>
        </is>
      </c>
      <c r="G12" t="inlineStr">
        <is>
          <t>WATER</t>
        </is>
      </c>
      <c r="H12" t="inlineStr">
        <is>
          <t>FEMININE</t>
        </is>
      </c>
      <c r="I12" t="inlineStr">
        <is>
          <t>MONDAY</t>
        </is>
      </c>
      <c r="J12" t="inlineStr">
        <is>
          <t>THOR</t>
        </is>
      </c>
      <c r="K12" t="inlineStr">
        <is>
          <t>SAMHAIN</t>
        </is>
      </c>
      <c r="L12" t="inlineStr">
        <is>
          <t>Used for protection against snakes and evil spirits. Considered nourishment for the Kundalini snake.</t>
        </is>
      </c>
      <c r="M12" t="inlineStr">
        <is>
          <t>It can be used as an aphrodisiac and in workings involving harmony, love, peace, tranquillity, and strengthening and binding spells. Helpful in times of emotional exhaustion; burning calamus incense strengthens self-confidence and promotes success.</t>
        </is>
      </c>
      <c r="N12" t="inlineStr">
        <is>
          <t>Used in rituals of love and harmony. Burned as incense to create sacred space; used in anointing blends for consecrating ritual tools.</t>
        </is>
      </c>
      <c r="O12" t="inlineStr">
        <is>
          <t>It can be used as an aphrodisiac and in workings involving harmony, love, peace, tranquillity, and strengthening and binding spells. Calamus or sweet flag root may be powdered and used in healing incenses and sachets. Helpful in times of emotional exhaustion; burning calamus incense strengthens self-confidence and promotes success. Used to strengthen and bind spells.</t>
        </is>
      </c>
      <c r="P12" t="inlineStr">
        <is>
          <t>Rosemary</t>
        </is>
      </c>
      <c r="Q12" t="inlineStr">
        <is>
          <t>East Asia (Warm temperate forests)</t>
        </is>
      </c>
      <c r="R12" t="inlineStr">
        <is>
          <t>Warning: Calamus is poisonous. Use with caution and do not ingest.</t>
        </is>
      </c>
      <c r="S12" t="inlineStr">
        <is>
          <t>URUZ</t>
        </is>
      </c>
      <c r="T12" t="inlineStr">
        <is>
          <t>U/OO</t>
        </is>
      </c>
      <c r="U12" t="inlineStr">
        <is>
          <t>Strength, Bolstering spells, Healing, Confidence, Protection, Fertility, Fruitfulness</t>
        </is>
      </c>
      <c r="V12" t="inlineStr">
        <is>
          <t>Terminations, new beginnings. An opportunity disguised as a threat. Mental agility. Physical development, mental and bodily health. Power.</t>
        </is>
      </c>
      <c r="W12" t="inlineStr">
        <is>
          <t>Dark Green</t>
        </is>
      </c>
      <c r="X12" t="inlineStr">
        <is>
          <t>NAUDIZ</t>
        </is>
      </c>
      <c r="Y12" t="inlineStr">
        <is>
          <t>N</t>
        </is>
      </c>
      <c r="Z12" t="inlineStr">
        <is>
          <t>Strength, Perseverance, Inner power, Confidence, Healing, Necessity</t>
        </is>
      </c>
      <c r="AA12" t="inlineStr">
        <is>
          <t>Control your emotions. Do not give in to cravings. Your health is at risk especially from dietary aberrations. Ensure your love is not misplaced. Beware extraordinary demands on your time or generosity.</t>
        </is>
      </c>
      <c r="AB12" t="inlineStr">
        <is>
          <t>Black</t>
        </is>
      </c>
      <c r="AC12" t="inlineStr">
        <is>
          <t>IHWAZ</t>
        </is>
      </c>
      <c r="AD12" t="inlineStr">
        <is>
          <t>Y/I</t>
        </is>
      </c>
      <c r="AE12" t="inlineStr">
        <is>
          <t>Transf, mation, Protection, Banishing, Healing, Strength, Change, New beginnings</t>
        </is>
      </c>
      <c r="AF12" t="inlineStr">
        <is>
          <t>Transformation, defense, protection, magical power, continuity, endurance.</t>
        </is>
      </c>
      <c r="AG12" t="inlineStr">
        <is>
          <t>Magenta</t>
        </is>
      </c>
      <c r="AH12" t="inlineStr">
        <is>
          <t>TIWAZ</t>
        </is>
      </c>
      <c r="AI12" t="inlineStr">
        <is>
          <t>T</t>
        </is>
      </c>
      <c r="AJ12" t="inlineStr">
        <is>
          <t>Confidence, Justice, Strength, Protection, Dedication, Vict, Clairvoyance, Warri, Star magick</t>
        </is>
      </c>
      <c r="AK12" t="inlineStr">
        <is>
          <t>Tactical genius, courage, bravery, dedication, daring. Protection on sea voyages. Negotiating and legislative ability.</t>
        </is>
      </c>
      <c r="AL12" t="inlineStr">
        <is>
          <t>Bright Red</t>
        </is>
      </c>
      <c r="AM12" t="inlineStr">
        <is>
          <t>Aquamarine</t>
        </is>
      </c>
      <c r="AN12"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12" t="inlineStr">
        <is>
          <t>Psychism, Peace, Confidence, Purification</t>
        </is>
      </c>
      <c r="AP12" t="inlineStr">
        <is>
          <t>Calcite</t>
        </is>
      </c>
      <c r="AQ12"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12" t="inlineStr">
        <is>
          <t>Luck, Prosperity, problem resolution, gambling, Healing, creativity, business success, attracting love.</t>
        </is>
      </c>
      <c r="AS12" t="inlineStr">
        <is>
          <t>Quartz Clear</t>
        </is>
      </c>
      <c r="AT12"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12" t="inlineStr">
        <is>
          <t>Protection, Healing, psychism, Strength, lactation</t>
        </is>
      </c>
      <c r="AV12" t="inlineStr">
        <is>
          <t>Moonstone</t>
        </is>
      </c>
      <c r="AW12"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12"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12" t="inlineStr">
        <is>
          <t>Rosemary</t>
        </is>
      </c>
      <c r="AZ12" t="inlineStr">
        <is>
          <t>Healing, Love, Protection, Purification</t>
        </is>
      </c>
      <c r="BA12" t="inlineStr">
        <is>
          <t>CLARITY, ENERGY, STRENGTH OF CHARACTER, Confidence</t>
        </is>
      </c>
      <c r="BB12"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BC12" t="inlineStr">
        <is>
          <t>Melissa</t>
        </is>
      </c>
      <c r="BD12" t="inlineStr">
        <is>
          <t>Love, Healing, Prosperity</t>
        </is>
      </c>
      <c r="BE12" t="inlineStr">
        <is>
          <t>GENTLENESS, Peace, PROGRESSIVENESS</t>
        </is>
      </c>
      <c r="BF12" t="inlineStr">
        <is>
          <t>Called the 'Bee’s Delight,' it is said that if you hold a leaf of Melissa in your hand, bees will not sting you. The plant was gifted to humans by the bees themselves, who wanted to share the secret of their own contentment and the sweet hum of life.</t>
        </is>
      </c>
      <c r="BG12" t="inlineStr">
        <is>
          <t>Honeysuckle</t>
        </is>
      </c>
      <c r="BH12" t="inlineStr">
        <is>
          <t>INCREASE PSYCHIC ABILITIES, INCREASE MONEY, Protection</t>
        </is>
      </c>
      <c r="BI12" t="inlineStr">
        <is>
          <t>RELAXING, SOOTHING, UPLIFTING, PSYCHIC POWERS</t>
        </is>
      </c>
      <c r="BJ12" t="inlineStr">
        <is>
          <t>In the language of the fae, honeysuckle is known as the 'honey of the woods.' It is said that if you place a blossom under your pillow, you will dream of the location of hidden treasures—not just of gold, but of lost loves and forgotten truths.</t>
        </is>
      </c>
      <c r="BK12" t="inlineStr">
        <is>
          <t>CANCER, PISCES</t>
        </is>
      </c>
      <c r="BL12" t="inlineStr">
        <is>
          <t>CALAMUS ROOT</t>
        </is>
      </c>
      <c r="BM12" s="42" t="inlineStr">
        <is>
          <t>Water reed and still pool, the plant that harmonises what the emotions have tangled. Aphrodisiac energy and deep peace carried together. Love deepened, tranquillity restored. Spells already cast are strengthened in its presence. Binding work finds it willing.</t>
        </is>
      </c>
    </row>
    <row r="13" ht="409.5" customHeight="1" s="56">
      <c r="A13" t="inlineStr">
        <is>
          <t>CAMPHOR SYNTHETIC</t>
        </is>
      </c>
      <c r="B13" t="inlineStr">
        <is>
          <t>CAREUM</t>
        </is>
      </c>
      <c r="C13" t="inlineStr">
        <is>
          <t>Cinnamomum camphora</t>
        </is>
      </c>
      <c r="D13" t="inlineStr">
        <is>
          <t>Cleansing, Banishing, Warding off advances, Healing, Stimulating psychic senses, Consecration, Purification, Funeral rites, Clairvoyance, Breaking habits, Removing dark energies, Cleansing tools, Prophetic dreams, Scrying,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the home, Cleansing space, Pre-ritual cleansing,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Disabling psychic phenomena, Psychic communication, communication and psychic abilities,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Breaking bad habits, Ending negative self-talk, Letting go of relationships, Ending guilt, Release, Renewal, New beginnings,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Dowsing, Treasure seeking, Lost object finding</t>
        </is>
      </c>
      <c r="E13" t="inlineStr">
        <is>
          <t>MOON GODDESS</t>
        </is>
      </c>
      <c r="F13" t="inlineStr">
        <is>
          <t>MOON</t>
        </is>
      </c>
      <c r="G13" t="inlineStr">
        <is>
          <t>AIR</t>
        </is>
      </c>
      <c r="H13" t="inlineStr">
        <is>
          <t>FEMININE</t>
        </is>
      </c>
      <c r="I13" t="inlineStr">
        <is>
          <t>MONDAY</t>
        </is>
      </c>
      <c r="J13" t="inlineStr">
        <is>
          <t>ALL</t>
        </is>
      </c>
      <c r="K13" t="inlineStr">
        <is>
          <t>IMBOLC, SAMHAIN</t>
        </is>
      </c>
      <c r="L13" t="inlineStr">
        <is>
          <t>Sacred to Buddha. In voodoo rituals, burned for love.</t>
        </is>
      </c>
      <c r="M13" t="inlineStr">
        <is>
          <t>It can be used to ward off unwanted advances from others, in healing, and to stimulate psychic senses. Camphor is also an herb of consecration, purification, and funerary work, and a visionary herb.</t>
        </is>
      </c>
      <c r="N13" t="inlineStr">
        <is>
          <t>for ritual cleansing prior to moving into a new home or setting up your altar.</t>
        </is>
      </c>
      <c r="O13" t="inlineStr">
        <is>
          <t>Obtained from the evergreen tree, this fragrant white compound holds many spiritual properties. It is one of the most sacred substances to offer to the moon goddess on a new moon to thank her for her abundant blessings. Use to totally cleanse and banish. It can be used to ward off unwanted advances from others, in healing, and to stimulate psychic senses. Camphor is also an herb of consecration, purification, and funerary work, and a visionary herb. It is ideally suited for ritual cleansing prior to moving into a new home or setting up your altar. Use it to cleanse ritual tools by burning camphor as incense or rubbing them with its oil. Camphor also has divinatory properties when burned on charcoal during meditation in a quest for prophetic dreams, and it may be added to water used for scrying.</t>
        </is>
      </c>
      <c r="P13" t="inlineStr">
        <is>
          <t>Melissa</t>
        </is>
      </c>
      <c r="Q13" t="inlineStr">
        <is>
          <t>Europe, Western Asia (Meadows, grasslands)</t>
        </is>
      </c>
      <c r="R13" t="inlineStr">
        <is>
          <t>Warning: Toxic if ingested. Can be fatal in large doses. Keep away from children. External ritual use only.</t>
        </is>
      </c>
      <c r="AM13" t="inlineStr">
        <is>
          <t>quartz snow</t>
        </is>
      </c>
      <c r="AN13" t="inlineStr">
        <is>
          <t>Because Quartz is so good at abs, bing energy you must take care to cleanse it th, oughly after w, king with it. Nobody should be allowed to touch your personal Quartz without your permission, unless perhaps you need to capture their energy f, some reason. Snow Quartz is an excellent stone f, transmitting healing energy, especially f, emotional healing.Snow quartz is often used f, purification.</t>
        </is>
      </c>
      <c r="AO13" t="inlineStr">
        <is>
          <t>A very personal magical stone used to develop scrying ability, Magical power, to focus spell casting f, increased success.  Healing, drawing out pain, protection from negative vibrations, meditation, psychic powers, Harmony, magickal strength.</t>
        </is>
      </c>
      <c r="AY13" t="inlineStr">
        <is>
          <t>Melissa</t>
        </is>
      </c>
      <c r="AZ13" t="inlineStr">
        <is>
          <t>Love, Healing, Prosperity</t>
        </is>
      </c>
      <c r="BA13" t="inlineStr">
        <is>
          <t>GENTLENESS, Peace, PROGRESSIVENESS</t>
        </is>
      </c>
      <c r="BB13" t="inlineStr">
        <is>
          <t>Called the 'Bee’s Delight,' it is said that if you hold a leaf of Melissa in your hand, bees will not sting you. The plant was gifted to humans by the bees themselves, who wanted to share the secret of their own contentment and the sweet hum of life.</t>
        </is>
      </c>
      <c r="BC13" t="inlineStr">
        <is>
          <t>Geranium</t>
        </is>
      </c>
      <c r="BD13" t="inlineStr">
        <is>
          <t>Love, Fertility, Healing, Protection</t>
        </is>
      </c>
      <c r="BE13" t="inlineStr">
        <is>
          <t>ASSURANCE, Harmony, Peace, ANTI-DEPRESSANT</t>
        </is>
      </c>
      <c r="BF13"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G13" t="inlineStr">
        <is>
          <t>Lavender</t>
        </is>
      </c>
      <c r="BH13" t="inlineStr">
        <is>
          <t>MEM, Clairvoyance, PEACE &amp; HAPPINESS, Purification, Happiness</t>
        </is>
      </c>
      <c r="BI13" t="inlineStr">
        <is>
          <t>REST, ATIVE, Peace, BALANCING, STIMULATING</t>
        </is>
      </c>
      <c r="BJ13"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L13" t="inlineStr">
        <is>
          <t>CAMPHOR SYNTHETIC</t>
        </is>
      </c>
      <c r="BM13" s="42" t="inlineStr">
        <is>
          <t>Cold air and clean edges, the sharp clarity that follows a storm. New spaces purified, altar tools consecrated, psychic senses stirred awake. Funeral rites and the crossing of sacred thresholds both find it essential. No shadows linger where this burns.</t>
        </is>
      </c>
    </row>
    <row r="14" ht="409.5" customHeight="1" s="56">
      <c r="A14" t="inlineStr">
        <is>
          <t>CARAWAY</t>
        </is>
      </c>
      <c r="B14" t="inlineStr">
        <is>
          <t>MERIDIAN FENNEL</t>
        </is>
      </c>
      <c r="C14" t="inlineStr">
        <is>
          <t>Carum carvi</t>
        </is>
      </c>
      <c r="D14" t="inlineStr">
        <is>
          <t>Fidelity, Love, Memory, Passion, Preventing theft, Protection, Retention, Sensuality, Consecration, Fertility, Gain, Honesty, Keeping secrets, Peace of mind, Faithfulness, Loyalty, Promoting fidelity, Ensuring a lover returns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Wisdom, Knowledge, Intelligence, Intuition, Mental clarity, Sharpening the wits, Sharpening the brain, Mental powers, MEM, Illumination, Enlightenment, Desire, Anti-theft, Protection against theft, Protective charm, Protective charms, Protective sachets, Protective wreaths, Protective incense, PROTECT AGAINST NEGATIVITY, Protection from negativity, Circle protection, Aphrodisiac, Aphrodisiac tea, Lust, Lust/Sex, Passionate love-making, LOVING &amp; LUSTFUL ENERGIES, SEX MAGIC, RAISE SEXUAL ENERGY, Sexual energy, Purification,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Female fertility, Fertility magic, Fertility charms, Aiding fertility, Increasing fertility, Fruitfulness, Virility, male virility, Abundant harvest, Prosperity, Wealth, Wealth/Prosperity, Attracting business, Business dealings, abundance, Financial arrangements, Aiding gain, PROSPERITY SPELLS, Increasing wealth, Money, Money spells, Attracting money, Drawing money, INCREASE MONEY, Breaking financial stagnation, Money mixtures, Protecting against poverty, Warding off poverty, Prophetic dreams, Invoking dreams, Dream work, Dreams, Visions, Seeing the unseen, Seeing manifestations, Truth, Removing deception, Subconscious work, Digging into the subconscious, Uprooting what is hidden, Scrying, Dowsing, Treasure seeking, Lost object finding</t>
        </is>
      </c>
      <c r="E14" t="inlineStr">
        <is>
          <t>VIRGO, GEMINI</t>
        </is>
      </c>
      <c r="F14" t="inlineStr">
        <is>
          <t>MERCURY</t>
        </is>
      </c>
      <c r="G14" t="inlineStr">
        <is>
          <t>AIR</t>
        </is>
      </c>
      <c r="H14" t="inlineStr">
        <is>
          <t>FEMININE</t>
        </is>
      </c>
      <c r="I14" t="inlineStr">
        <is>
          <t>WEDNESDAY</t>
        </is>
      </c>
      <c r="J14" t="inlineStr">
        <is>
          <t>ALL</t>
        </is>
      </c>
      <c r="K14" t="inlineStr">
        <is>
          <t>OSTARA, MABON</t>
        </is>
      </c>
      <c r="L14" t="inlineStr">
        <is>
          <t>Used at weddings for fertility/love/passion.</t>
        </is>
      </c>
      <c r="M14" t="inlineStr">
        <is>
          <t>It is said to aid in preventing theft, protection, retention, sensuality, consecration, fertility, gain, honesty, keeping secrets, and peace of mind.</t>
        </is>
      </c>
      <c r="N14" t="inlineStr">
        <is>
          <t>Consecration</t>
        </is>
      </c>
      <c r="O14" t="inlineStr">
        <is>
          <t>Used in fidelity, love, memory, and passion spells. It is said to aid in preventing theft, protection, retention, sensuality, consecration, fertility, gain, honesty, keeping secrets, and peace of mind.</t>
        </is>
      </c>
      <c r="P14" t="inlineStr">
        <is>
          <t>Lavender</t>
        </is>
      </c>
      <c r="Q14" t="inlineStr">
        <is>
          <t>Lebanon, Mediterranean (Mountainous regions)</t>
        </is>
      </c>
      <c r="R14" t="inlineStr">
        <is>
          <t>Generally safe in culinary amounts. Avoid medicinal doses during pregnancy.</t>
        </is>
      </c>
      <c r="AM14" t="inlineStr">
        <is>
          <t>Aventurine</t>
        </is>
      </c>
      <c r="AN14"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O14" t="inlineStr">
        <is>
          <t>Creativity, motivation, inner peace, business success, intellect, perception, soothing emotions, heartache, clarity, imagination, independence, Happiness, sexuality, Strength, Prosperity, romance.</t>
        </is>
      </c>
      <c r="AY14" t="inlineStr">
        <is>
          <t>Lavender</t>
        </is>
      </c>
      <c r="AZ14" t="inlineStr">
        <is>
          <t>MEM, Clairvoyance, PEACE &amp; HAPPINESS, Purification, Happiness</t>
        </is>
      </c>
      <c r="BA14" t="inlineStr">
        <is>
          <t>REST, ATIVE, Peace, BALANCING, STIMULATING</t>
        </is>
      </c>
      <c r="BB14"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C14" t="inlineStr">
        <is>
          <t>Neroli</t>
        </is>
      </c>
      <c r="BD14" t="inlineStr">
        <is>
          <t>Prosperity</t>
        </is>
      </c>
      <c r="BE14" t="inlineStr">
        <is>
          <t>Peace, Happiness</t>
        </is>
      </c>
      <c r="BF14" t="inlineStr">
        <is>
          <t>In the palaces of old, orange blossoms were the sign of a royal wedding. It was said that the flower holds the promise of eternal spring, and that a bride wearing the blossoms would be granted a lifetime of fertility and the grace of a blooming garden.</t>
        </is>
      </c>
      <c r="BG14" t="inlineStr">
        <is>
          <t>Marjoram</t>
        </is>
      </c>
      <c r="BH14" t="inlineStr">
        <is>
          <t>Happiness, Healing, Love, Prosperity, Protection</t>
        </is>
      </c>
      <c r="BI14" t="inlineStr">
        <is>
          <t>Harmony, Peace, PERSEVERANCE</t>
        </is>
      </c>
      <c r="BJ14"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K14" t="inlineStr">
        <is>
          <t>VIRGO, GEMINI</t>
        </is>
      </c>
      <c r="BL14" t="inlineStr">
        <is>
          <t>CARAWAY</t>
        </is>
      </c>
      <c r="BM14" s="42" t="inlineStr">
        <is>
          <t>Small seed, strong hold — fidelity and retention compressed into something easily overlooked. What matters stays close. Theft finds no foothold. Consecration and fertility both welcome its quiet insistence. Sensuality and commitment carried in the same tiny seed.</t>
        </is>
      </c>
    </row>
    <row r="15" ht="409.5" customHeight="1" s="56">
      <c r="A15" t="inlineStr">
        <is>
          <t>CEDARWOOD (HIMALAYAN)</t>
        </is>
      </c>
      <c r="B15" t="inlineStr">
        <is>
          <t>TREE OF LIFE</t>
        </is>
      </c>
      <c r="C15" t="inlineStr">
        <is>
          <t>Cedrus libani or Cedrus spp.</t>
        </is>
      </c>
      <c r="D15" t="inlineStr">
        <is>
          <t>Cleansing atmospheres, Creating sacred spaces, Longevity, Protection, Preservation, Summoning spirits, Invocations, Propriety, Long life, Growth, Dedicating sacred spaces, Solar spells, Strengthening focus, Illumination,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objects, Cleansing body and spirit, Sweeping sacred spaces, Cleansing ritual areas, Cleansing negativity, Ritual baths, Ritual bath, Cleansing before ritual, Purifying body and mind, Purification, Purifying ritual areas, Purifying  Purifying new homes, Purifying new homes, Purifying the home, Self-purification, Purifying ritual spaces, Purification rituals, Sanctifying an area,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Immortality, Eternal youth, Rejuvenation, Vigorous old age, Lengthening lifespan, Life, Protective charm, Protective charms, Protective wreaths, Protective incense, PROTECT AGAINST NEGATIVITY, Protection from negativity, Circle protection,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Breaking habits, Breaking bad habits, Ending negative self-talk, Letting go of relationships, Ending guilt, Release, Renewal, New beginnings, New beginning spells, Fresh starts, Transformation, Change, rebirth, Breakthrough, Awakening, New ideas, Assisting transformation, Transformation/Evolution, Wisdom, Knowledge, Intelligence, Intuition, Mental clarity, Sharpening the wits, Sharpening the brain, Mental powers, MEM, Memory, Enlightenment</t>
        </is>
      </c>
      <c r="E15" t="inlineStr">
        <is>
          <t>ARTEMIS, SEZH, PERSPHONE, ARIES, CANCER, LEO</t>
        </is>
      </c>
      <c r="F15" t="inlineStr">
        <is>
          <t>SUN</t>
        </is>
      </c>
      <c r="G15" t="inlineStr">
        <is>
          <t>FIRE, EARTH</t>
        </is>
      </c>
      <c r="H15" t="inlineStr">
        <is>
          <t>MASCULINE</t>
        </is>
      </c>
      <c r="I15" t="inlineStr">
        <is>
          <t>SATURDAY</t>
        </is>
      </c>
      <c r="J15" t="inlineStr">
        <is>
          <t>ARTEMIS</t>
        </is>
      </c>
      <c r="K15" t="inlineStr">
        <is>
          <t>IMBOLC</t>
        </is>
      </c>
      <c r="L15" t="inlineStr">
        <is>
          <t>Sacred tree of Celtic Astrology. Druids associated with Tree of Life. Sacred to Persephone and Sezh.</t>
        </is>
      </c>
      <c r="M15" t="inlineStr">
        <is>
          <t>the creation of sacred spaces and is related to longevity, protection, and preservation.</t>
        </is>
      </c>
      <c r="N15" t="inlineStr">
        <is>
          <t>burned to dedicate sacred spaces.</t>
        </is>
      </c>
      <c r="O15" t="inlineStr">
        <is>
          <t>Cedar is sacred to the feast of Imbolc. Cedar wands cleanse negative atmospheres. Cedar wood is used for the creation of sacred spaces and is related to longevity, protection, and preservation. It is often used to summon helpful spirits during rituals and invocations. Use cedar as a symbol, charm, and talisman to represent propriety, long life, and growth. Cedar shavings can be ritually burned to dedicate sacred spaces. Use cedar wood in solar spells of all kinds designed to strengthen and illuminate your focus.</t>
        </is>
      </c>
      <c r="P15" t="inlineStr">
        <is>
          <t>Cedarwood</t>
        </is>
      </c>
      <c r="Q15" t="inlineStr">
        <is>
          <t>Western Europe (Dry pastures)</t>
        </is>
      </c>
      <c r="R15" t="inlineStr">
        <is>
          <t>Warning: Use with caution. Avoid during pregnancy.</t>
        </is>
      </c>
      <c r="AM15" t="inlineStr">
        <is>
          <t>Carnelian</t>
        </is>
      </c>
      <c r="AN15"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O15" t="inlineStr">
        <is>
          <t>Happiness, Protection, energy, easing depression, promoting self-confidence, Peace, concentration, focus, Attraction, sexuality, Love, Healing, courage.</t>
        </is>
      </c>
      <c r="AP15" t="inlineStr">
        <is>
          <t>Citrine</t>
        </is>
      </c>
      <c r="AQ15"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R15"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S15" t="inlineStr">
        <is>
          <t>Sunstone</t>
        </is>
      </c>
      <c r="AT15" t="inlineStr">
        <is>
          <t>Used magically to encourage the skills necessary to be a wise leader such as strength, Confidence, Clairvoyance, focus, determination. Meditation with the stone can reveal where in life you can use your talents, gifts f, the welfare of others.</t>
        </is>
      </c>
      <c r="AU15" t="inlineStr">
        <is>
          <t>Personal power, Healing, overcoming depression, physical energy, Protection, sexual arousal, sexual energy, increasing the energy of healing herbs, Prosperity, Strength, Confidence, independence.</t>
        </is>
      </c>
      <c r="AV15" t="inlineStr">
        <is>
          <t>Tiger Eye gold</t>
        </is>
      </c>
      <c r="AW15" t="inlineStr">
        <is>
          <t>A very protective stone, Tiger Eye can ward off the effects of curses, ill-wishing, also protect you in dream states, on the astral planes. Carrying the stone allegedly makes you irresistible to the opposite sex. Sometimes called the Stone of Balance, Tiger Eye blends opposite energies to bring balance, underst, ing. An excellent stone f, anyone caught up in a situation where they have to be the diplomat, mediat, . Helps you see both sides of an argument, make detached, logical judgements.  Red Tiger Eye increases confidence, especially when speaking in public. Gold Tiger Eye focuses the mind, increasing visualisation skills, psychic vision, insights during meditation. If you are f, ced to spend time with a person who drains your energy protect yourself with a charm bag containing Holy Thistle, Spearmint, Walnut leaves, a piece of Tiger Eye.</t>
        </is>
      </c>
      <c r="AX15" t="inlineStr">
        <is>
          <t>Protects against external stresses, rest, es physical energy, Truth, underst, Attracting good spirits, emotional balance, Luck, good f, Fortune, travel protection, communication, recognition of own faults, overcoming stubb, nness, Confidence, connection with the Earth.</t>
        </is>
      </c>
      <c r="AY15" t="inlineStr">
        <is>
          <t>Cedarwood</t>
        </is>
      </c>
      <c r="AZ15" t="inlineStr">
        <is>
          <t>Purification, Protection, RID OF BAD DREAMS, Prosperity</t>
        </is>
      </c>
      <c r="BA15" t="inlineStr">
        <is>
          <t>New beginnings, REGROWTH, CALMING &amp; COMF, Attracting good spirits, STRENGTHENING</t>
        </is>
      </c>
      <c r="BB15"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C15" t="inlineStr">
        <is>
          <t>Frankincense</t>
        </is>
      </c>
      <c r="BD15" t="inlineStr">
        <is>
          <t>Luck, Protection, SPIRITUALITY, PROTECT AGAINST NEGATIVITY, EXC, Exorcism</t>
        </is>
      </c>
      <c r="BE15" t="inlineStr">
        <is>
          <t>ENLIGHTENMENT, INSPIRATION, INTROSPECTION, AIDS MEDITATION</t>
        </is>
      </c>
      <c r="BF15"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G15" t="inlineStr">
        <is>
          <t>Juniper</t>
        </is>
      </c>
      <c r="BH15" t="inlineStr">
        <is>
          <t>AID MEDITATION, Healing, Love, Protection</t>
        </is>
      </c>
      <c r="BI15" t="inlineStr">
        <is>
          <t>ENLIGHTENMENT, INNER VISION, SINCERITY, UPLIFTING, CENTRING</t>
        </is>
      </c>
      <c r="BJ15"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BK15" t="inlineStr">
        <is>
          <t>ARIES, CANCER, LEO</t>
        </is>
      </c>
      <c r="BL15" t="inlineStr">
        <is>
          <t>CEDARWOOD (HIMALAYAN)</t>
        </is>
      </c>
      <c r="BM15" s="42" t="inlineStr">
        <is>
          <t>Ancient wood from high cold slopes, smoke that has been rising since before memory. Sacred space created and held, longevity assured, spirits summoned to attend. Protection and preservation run through it like heartwood. Deep roots for any working that needs to last.</t>
        </is>
      </c>
    </row>
    <row r="16" ht="409.5" customHeight="1" s="56">
      <c r="A16" t="inlineStr">
        <is>
          <t>CHAMOMILE</t>
        </is>
      </c>
      <c r="B16" t="inlineStr">
        <is>
          <t>SCENTED MAYWEED</t>
        </is>
      </c>
      <c r="C16" t="inlineStr">
        <is>
          <t>Chamaemelum nobile</t>
        </is>
      </c>
      <c r="D16" t="inlineStr">
        <is>
          <t>Fortune, Justice, Love, Meditation, Money, Prosperity, Purification, Removing curses, Removing hexes, Serenity, Calm, Sleep, Spell-breaking, Reversing harmful spells, Breaking spells, Hex breaking, Removing jinxes, Removing bad luck, Breaking hexes, Returning hexes, hex-breaking, Removing hexes and curses, Removing a jinx, Luck, Good luck, Good luck in family matters, Casino luck, WISHES, Wish magick, Carrying wishes, Transmuting wishes, Success, Victory, victory in battle, Conquest, Overcoming opposition, Courtroom success, Legal matters,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Nightmare prevention, Preventing nightmares, Negating dreams, RID OF BAD DREAMS, Nightmares, Rest, Encouraging sound sleep</t>
        </is>
      </c>
      <c r="E16" t="inlineStr">
        <is>
          <t>CERNUNNOS, CERRIDWEN, HERMES, SOL</t>
        </is>
      </c>
      <c r="F16" t="inlineStr">
        <is>
          <t>SUN, MOON</t>
        </is>
      </c>
      <c r="G16" t="inlineStr">
        <is>
          <t>WATER</t>
        </is>
      </c>
      <c r="H16" t="inlineStr">
        <is>
          <t>MASCULINE</t>
        </is>
      </c>
      <c r="I16" t="inlineStr">
        <is>
          <t>Sunday</t>
        </is>
      </c>
      <c r="J16" t="inlineStr">
        <is>
          <t>CERRIDWEN, SOL</t>
        </is>
      </c>
      <c r="K16" t="inlineStr">
        <is>
          <t>SAMHAIN</t>
        </is>
      </c>
      <c r="L16" t="inlineStr">
        <is>
          <t>Gathered for May Day in honour of Freya.</t>
        </is>
      </c>
      <c r="M16" t="inlineStr">
        <is>
          <t>Used in workings involving fortune, justice, love, meditation, money, prosperity, and purification.</t>
        </is>
      </c>
      <c r="N16" t="inlineStr">
        <is>
          <t>Used in workings involving fortune, justice, love, meditation, money, prosperity, and purification.</t>
        </is>
      </c>
      <c r="O16" t="inlineStr">
        <is>
          <t>Used in workings involving fortune, justice, love, meditation, money, prosperity, and purification. It is said to remove curses and hexes and can aid serenity, calm, and sleep.</t>
        </is>
      </c>
      <c r="P16" t="inlineStr">
        <is>
          <t>Rosemary</t>
        </is>
      </c>
      <c r="Q16" t="inlineStr">
        <is>
          <t>Northern Hemisphere (Meadows, rocky areas)</t>
        </is>
      </c>
      <c r="R16" t="inlineStr">
        <is>
          <t>Warning: Do not use while pregnant. May cause allergic reactions in those sensitive to ragweed.</t>
        </is>
      </c>
      <c r="S16" t="inlineStr">
        <is>
          <t>FEHU</t>
        </is>
      </c>
      <c r="T16" t="inlineStr">
        <is>
          <t>F</t>
        </is>
      </c>
      <c r="U16" t="inlineStr">
        <is>
          <t>Increasing wealth, Prosperity, Anti-theft, Fortune, Luck, New beginnings, Confidence, Sun God offerings, Attraction</t>
        </is>
      </c>
      <c r="V16" t="inlineStr">
        <is>
          <t>Realized ambition. Good health. Wealth. Love fulfilled. Good fortune. Show charity and compassion.</t>
        </is>
      </c>
      <c r="W16" t="inlineStr">
        <is>
          <t>Light Red</t>
        </is>
      </c>
      <c r="X16" t="inlineStr">
        <is>
          <t>RAIDO</t>
        </is>
      </c>
      <c r="Y16" t="inlineStr">
        <is>
          <t>R</t>
        </is>
      </c>
      <c r="Z16" t="inlineStr">
        <is>
          <t>Journey spells, New beginnings, Movement, Cycles, Luck, Progress, Harmony</t>
        </is>
      </c>
      <c r="AA16" t="inlineStr">
        <is>
          <t>Travel is indicated. New friends or old friends return. Jobs connected with transport or overseas locations.</t>
        </is>
      </c>
      <c r="AB16" t="inlineStr">
        <is>
          <t>Bright Red</t>
        </is>
      </c>
      <c r="AC16" t="inlineStr">
        <is>
          <t>KAUNO</t>
        </is>
      </c>
      <c r="AD16" t="inlineStr">
        <is>
          <t>K/C</t>
        </is>
      </c>
      <c r="AE16" t="inlineStr">
        <is>
          <t>Fire magick, Enlightenment, Illumination, Clarity, Healing, Dispelling sickness, Inspiration</t>
        </is>
      </c>
      <c r="AF16" t="inlineStr">
        <is>
          <t>Light, warmth, enlightenment and knowledge. Understanding must lead to action.</t>
        </is>
      </c>
      <c r="AG16" t="inlineStr">
        <is>
          <t>Light Red</t>
        </is>
      </c>
      <c r="AH16" t="inlineStr">
        <is>
          <t>GEBO</t>
        </is>
      </c>
      <c r="AI16" t="inlineStr">
        <is>
          <t>G</t>
        </is>
      </c>
      <c r="AJ16" t="inlineStr">
        <is>
          <t>Love spells, Love rituals, Love, Gift-giving, Anti-theft, giveness, Attraction, Peace</t>
        </is>
      </c>
      <c r="AK16" t="inlineStr">
        <is>
          <t>Generosity in men is to honour and praise and dignity a prop.</t>
        </is>
      </c>
      <c r="AL16" t="inlineStr">
        <is>
          <t>Dark Blue</t>
        </is>
      </c>
      <c r="AM16" t="inlineStr">
        <is>
          <t>Aquamarine</t>
        </is>
      </c>
      <c r="AN16"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16" t="inlineStr">
        <is>
          <t>Psychism, Peace, Confidence, Purification</t>
        </is>
      </c>
      <c r="AP16" t="inlineStr">
        <is>
          <t>Calcite</t>
        </is>
      </c>
      <c r="AQ16"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16" t="inlineStr">
        <is>
          <t>Luck, Prosperity, problem resolution, gambling, Healing, creativity, business success, attracting love.</t>
        </is>
      </c>
      <c r="AS16" t="inlineStr">
        <is>
          <t>Quartz Clear</t>
        </is>
      </c>
      <c r="AT16"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16" t="inlineStr">
        <is>
          <t>Protection, Healing, psychism, Strength, lactation</t>
        </is>
      </c>
      <c r="AV16" t="inlineStr">
        <is>
          <t>Moonstone</t>
        </is>
      </c>
      <c r="AW16"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16"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16" t="inlineStr">
        <is>
          <t>Rosemary</t>
        </is>
      </c>
      <c r="AZ16" t="inlineStr">
        <is>
          <t>Healing, Love, Protection, Purification</t>
        </is>
      </c>
      <c r="BA16" t="inlineStr">
        <is>
          <t>CLARITY, ENERGY, STRENGTH OF CHARACTER, Confidence</t>
        </is>
      </c>
      <c r="BB16"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BC16" t="inlineStr">
        <is>
          <t>Cedarwood</t>
        </is>
      </c>
      <c r="BD16" t="inlineStr">
        <is>
          <t>Purification, Protection, RID OF BAD DREAMS, Prosperity</t>
        </is>
      </c>
      <c r="BE16" t="inlineStr">
        <is>
          <t>New beginnings, REGROWTH, CALMING &amp; COMF, Attracting good spirits, STRENGTHENING</t>
        </is>
      </c>
      <c r="BF16"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16" t="inlineStr">
        <is>
          <t>Fir Needle</t>
        </is>
      </c>
      <c r="BH16" t="inlineStr">
        <is>
          <t>Purification, Cleansing, Protection, Healing</t>
        </is>
      </c>
      <c r="BI16" t="inlineStr">
        <is>
          <t>Used in ritual and ceremonial magic for purification, cleansing, protection, healing</t>
        </is>
      </c>
      <c r="BJ16" t="inlineStr">
        <is>
          <t>In the deep northern forests, it was said that the fir tree never slept. While other trees lost their leaves, the fir remained green to act as a sentinel. Villagers would hang branches over their doors, believing the tree’s spirit would stand watch and sweep away any restless or wandering spirits that tried to disturb the home.</t>
        </is>
      </c>
      <c r="BL16" t="inlineStr">
        <is>
          <t>CHAMOMILE</t>
        </is>
      </c>
      <c r="BM16" s="42" t="inlineStr">
        <is>
          <t>Sun-gold flowers in the meadow, humble and enduring as the earth itself. Fortune and justice find their way through it. Curses and hexes dissolve in its calm. Prosperity purified, meditation deepened, money drawn gently in. Where gentleness achieves what force cannot.</t>
        </is>
      </c>
    </row>
    <row r="17" ht="409.5" customHeight="1" s="56">
      <c r="A17" t="inlineStr">
        <is>
          <t>CHIVE</t>
        </is>
      </c>
      <c r="B17" t="inlineStr">
        <is>
          <t>RAMSON</t>
        </is>
      </c>
      <c r="C17" t="inlineStr">
        <is>
          <t>Allium schoenoprasum</t>
        </is>
      </c>
      <c r="D17" t="inlineStr">
        <is>
          <t>Banishing, Exorcism, Breaking bad habits, Dispelling melancholy, Protection against disease, Weight loss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Breaking habits, Ending negative self-talk, Letting go of relationships, Ending guilt, Release, Renewal, New beginnings, New beginning spells, Fresh starts, Transformation, Change, rebirth, Breakthrough, Awakening, Growth, New ideas, Assisting transformation, Transformation/Evolution,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Preventing illness</t>
        </is>
      </c>
      <c r="E17" t="inlineStr">
        <is>
          <t>ARIES, CRONUS, SCORPIO</t>
        </is>
      </c>
      <c r="F17" t="inlineStr">
        <is>
          <t>SATURN, MARS</t>
        </is>
      </c>
      <c r="G17" t="inlineStr">
        <is>
          <t>EARTH, FIRE</t>
        </is>
      </c>
      <c r="H17" t="inlineStr">
        <is>
          <t>MASCULINE</t>
        </is>
      </c>
      <c r="I17" t="inlineStr">
        <is>
          <t>TUESDAY,SATURDAY</t>
        </is>
      </c>
      <c r="J17" t="inlineStr">
        <is>
          <t>THOR</t>
        </is>
      </c>
      <c r="K17" t="inlineStr">
        <is>
          <t>BELTANE, YULE</t>
        </is>
      </c>
      <c r="L17" t="inlineStr">
        <is>
          <t>Reputation for chasing away evil spirits and disease.</t>
        </is>
      </c>
      <c r="M17" t="inlineStr">
        <is>
          <t>dispelling melancholy and for protection against disease.</t>
        </is>
      </c>
      <c r="N17" t="inlineStr">
        <is>
          <t>Used in protective rituals and as altar offerings to Thor. Placed at thresholds to ward off evil and negative spiritual influences.</t>
        </is>
      </c>
      <c r="O17" t="inlineStr">
        <is>
          <t>Use in workings involving banishing, exorcism, and breaking bad habits. Use for dispelling melancholy and for protection against disease. Chives are often used in spells to aid weight loss.</t>
        </is>
      </c>
      <c r="P17" t="inlineStr">
        <is>
          <t>Patchouli</t>
        </is>
      </c>
      <c r="Q17" t="inlineStr">
        <is>
          <t>East Asia (Hillside slopes)</t>
        </is>
      </c>
      <c r="R17" t="inlineStr">
        <is>
          <t>Generally safe for culinary use. May cause digestive discomfort in large quantities.</t>
        </is>
      </c>
      <c r="S17" t="inlineStr">
        <is>
          <t>URUZ</t>
        </is>
      </c>
      <c r="T17" t="inlineStr">
        <is>
          <t>U/OO</t>
        </is>
      </c>
      <c r="U17" t="inlineStr">
        <is>
          <t>Strength, Bolstering spells, Healing, Confidence, Protection, Fertility, Fruitfulness</t>
        </is>
      </c>
      <c r="V17" t="inlineStr">
        <is>
          <t>Terminations, new beginnings. An opportunity disguised as a threat. Mental agility. Physical development, mental and bodily health. Power.</t>
        </is>
      </c>
      <c r="W17" t="inlineStr">
        <is>
          <t>Dark Green</t>
        </is>
      </c>
      <c r="X17" t="inlineStr">
        <is>
          <t>HAGALAZ</t>
        </is>
      </c>
      <c r="Y17" t="inlineStr">
        <is>
          <t>H</t>
        </is>
      </c>
      <c r="Z17" t="inlineStr">
        <is>
          <t>Protection, Banishing, Warding, Exorcism, Strength, Challenges, Disruption</t>
        </is>
      </c>
      <c r="AA17" t="inlineStr">
        <is>
          <t>Challenge, disruption, interference, hardship, elemental forces.</t>
        </is>
      </c>
      <c r="AB17" t="inlineStr">
        <is>
          <t>Light Blue</t>
        </is>
      </c>
      <c r="AC17" t="inlineStr">
        <is>
          <t>ISA</t>
        </is>
      </c>
      <c r="AD17" t="inlineStr">
        <is>
          <t>I</t>
        </is>
      </c>
      <c r="AE17" t="inlineStr">
        <is>
          <t>Binding spells, Stillness, Stagnation breaking, Freezing (hexes), Protection, Patience</t>
        </is>
      </c>
      <c r="AF17" t="inlineStr">
        <is>
          <t>Ice, cold, freezing. Lack of change. Stagnation. Preservation and binding.</t>
        </is>
      </c>
      <c r="AG17" t="inlineStr">
        <is>
          <t>Black</t>
        </is>
      </c>
      <c r="AH17" t="inlineStr">
        <is>
          <t>ALGIZ</t>
        </is>
      </c>
      <c r="AI17" t="inlineStr">
        <is>
          <t>Z/S</t>
        </is>
      </c>
      <c r="AJ17" t="inlineStr">
        <is>
          <t>Protection, Warding, Protection (hexes/evil), Banishing, Alertness, Strength, Opp, tunity</t>
        </is>
      </c>
      <c r="AK17" t="inlineStr">
        <is>
          <t>Protection, safe refuge, opportunity, alertness, rapid growth, success.</t>
        </is>
      </c>
      <c r="AL17" t="inlineStr">
        <is>
          <t>Gold</t>
        </is>
      </c>
      <c r="AM17" t="inlineStr">
        <is>
          <t>Apache Tears</t>
        </is>
      </c>
      <c r="AN17" t="inlineStr">
        <is>
          <t>It is carried as a good luck charm, is also used f, protective purposes.  Meditation with the stone can increase your sensitivity to magical energy, help develop your power to walk between the w, lds.</t>
        </is>
      </c>
      <c r="AO17" t="inlineStr">
        <is>
          <t>Luck, removal of pain</t>
        </is>
      </c>
      <c r="AP17" t="inlineStr">
        <is>
          <t>Bloodstone</t>
        </is>
      </c>
      <c r="AQ17"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R17" t="inlineStr">
        <is>
          <t>Healing, Prosperity, Confidence, physical strength, stress relief, help in business, legal matters, revitalization, guidance, rain, ganization.</t>
        </is>
      </c>
      <c r="AS17" t="inlineStr">
        <is>
          <t>Garnet</t>
        </is>
      </c>
      <c r="AT17"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U17" t="inlineStr">
        <is>
          <t>Healing, cheery disposition, Confidence, Love, business success, past life regression, consistency of love &amp; friendship, travel protection, Happiness, Peace, Harmony, patience, inspiration, persistence, wisdom, fertility.</t>
        </is>
      </c>
      <c r="AV17" t="inlineStr">
        <is>
          <t>Hematite</t>
        </is>
      </c>
      <c r="AW17" t="inlineStr">
        <is>
          <t>Magical use:      It is a very powerful stone of magical energy that contains within it the combined essences of elemental Earth, Fire. It is often used in magic to release a sudden burst of power, Anti-theft, example at the conclusion of a spell. Breaks through any barriers that may be holding you back such as fear, inhibition, guilt, Increasing wealth, Fairy portals, self-doubt. An excellent stone f, abs, bing, grounding negative energy, it can be used to stop poltergeist activity, psychic disturbances. It augments, balances the flow of energy in the body, is believed to be particularly useful when practising astral travel, out of body projection. It can be used to ground high spiritual, magical energies, Negating dreams, visions into physical reality. Creates a powerful connection with the Earth, is a useful stone f, anyone who is becoming 'spaced out' by meditation, magical w, k.</t>
        </is>
      </c>
      <c r="AX17" t="inlineStr">
        <is>
          <t>Concentration, mem, Clairvoyance, banishing negativity, clarity, Confidence, stress relief, energy, Healing, Divination, grounding, centering, scrying, reliability, legal matters.</t>
        </is>
      </c>
      <c r="AY17" t="inlineStr">
        <is>
          <t>Patchouli</t>
        </is>
      </c>
      <c r="AZ17" t="inlineStr">
        <is>
          <t>Fertility, Love, Prosperity, RAISE SEXUAL ENERGY</t>
        </is>
      </c>
      <c r="BA17" t="inlineStr">
        <is>
          <t>ASTUTENESS, REASONABLENESS, STIMULATION, Aphrodisiac</t>
        </is>
      </c>
      <c r="BB17"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BC17" t="inlineStr">
        <is>
          <t>Ginger</t>
        </is>
      </c>
      <c r="BD17" t="inlineStr">
        <is>
          <t>Prosperity, Healing, Love, Strength</t>
        </is>
      </c>
      <c r="BE17" t="inlineStr">
        <is>
          <t>Confidence, EMPATHY, LIBERATION, OPTIMISM, STRENGTHENS</t>
        </is>
      </c>
      <c r="BF17" t="inlineStr">
        <is>
          <t>It is said that Ginger grew where a drop of liquid sun hit the earth. Because of its fiery taste, it was believed to grant the eater the 'fire of the gut,' helping them digest not just food, but life experiences, turning bitterness into wisdom.</t>
        </is>
      </c>
      <c r="BG17" t="inlineStr">
        <is>
          <t>Pine</t>
        </is>
      </c>
      <c r="BH17" t="inlineStr">
        <is>
          <t>PROSPERITY SPELLS, Prosperity</t>
        </is>
      </c>
      <c r="BI17" t="inlineStr">
        <is>
          <t>Harmony, Happiness, Strength</t>
        </is>
      </c>
      <c r="BJ17"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K17" t="inlineStr">
        <is>
          <t>ARIES, SCORPIO</t>
        </is>
      </c>
      <c r="BL17" t="inlineStr">
        <is>
          <t>CHIVE</t>
        </is>
      </c>
      <c r="BM17" s="42" t="inlineStr">
        <is>
          <t>Earth and fire together, sharp and uncompromising. Banishes what has overstayed, exorcises what should not be present. Melancholy lifted, bad habits broken, disease kept at distance. Small but definite — the threshold holds better with it placed there.</t>
        </is>
      </c>
    </row>
    <row r="18" ht="409.5" customHeight="1" s="56">
      <c r="A18" t="inlineStr">
        <is>
          <t>CHRYSANTHEMUM</t>
        </is>
      </c>
      <c r="B18" t="inlineStr">
        <is>
          <t>GOLDEN FLOWER</t>
        </is>
      </c>
      <c r="C18" t="inlineStr">
        <is>
          <t>Chrysanthemum indicum</t>
        </is>
      </c>
      <c r="D18" t="inlineStr">
        <is>
          <t>House blessing, Samhain/ancestral altars, Purification, Sun God offerings, Consecration,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Blessing the home, Homestead protection, Sick-room blessings, Home protection, Household protection, Healing altars, Home blessing, Ensuring joy in the home, Tranquillity in the home, Blessing guests, Blessing domestic animals, Meditation, Contemplation, Concentration, Focus, Solar spells,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t>
        </is>
      </c>
      <c r="E18" t="inlineStr">
        <is>
          <t>HELIOS, SOL</t>
        </is>
      </c>
      <c r="F18" t="inlineStr">
        <is>
          <t>SUN</t>
        </is>
      </c>
      <c r="G18" t="inlineStr">
        <is>
          <t>FIRE</t>
        </is>
      </c>
      <c r="H18" t="inlineStr">
        <is>
          <t>MASCULINE</t>
        </is>
      </c>
      <c r="I18" t="inlineStr">
        <is>
          <t>SUNDAY</t>
        </is>
      </c>
      <c r="J18" t="inlineStr">
        <is>
          <t>SOL</t>
        </is>
      </c>
      <c r="K18" t="inlineStr">
        <is>
          <t>SAMHAIN</t>
        </is>
      </c>
      <c r="L18" t="inlineStr">
        <is>
          <t>Used for burial rituals and suitable for Samhain.</t>
        </is>
      </c>
      <c r="M18" t="inlineStr">
        <is>
          <t>burial rituals and is a suitable decoration for Samhain and ancestral altars.</t>
        </is>
      </c>
      <c r="N18" t="inlineStr">
        <is>
          <t>burned as a smudge for house blessing.</t>
        </is>
      </c>
      <c r="O18" t="inlineStr">
        <is>
          <t>The dried flower heads of chrysanthemum can be burned as a smudge for house blessing. Chrysanthemum has been used for burial rituals and is a suitable decoration for Samhain and ancestral altars.</t>
        </is>
      </c>
      <c r="P18" t="inlineStr">
        <is>
          <t>Tea Tree</t>
        </is>
      </c>
      <c r="Q18" t="inlineStr">
        <is>
          <t>Sri Lanka (Tropical rainforests)</t>
        </is>
      </c>
      <c r="R18" t="inlineStr">
        <is>
          <t>Warning: May cause contact dermatitis in sensitive individuals. Avoid if allergic to daisies.</t>
        </is>
      </c>
      <c r="AM18" t="inlineStr">
        <is>
          <t>Ametrine</t>
        </is>
      </c>
      <c r="AN18" t="inlineStr">
        <is>
          <t>Combines mental clarity with strength of will, making it a very powerful stone f, any magic user.</t>
        </is>
      </c>
      <c r="AO18" t="inlineStr">
        <is>
          <t>Astral travel, magickal power, meditation, removing negativity.</t>
        </is>
      </c>
      <c r="AP18" t="inlineStr">
        <is>
          <t>Carnelian</t>
        </is>
      </c>
      <c r="AQ18"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18" t="inlineStr">
        <is>
          <t>Happiness, Protection, energy, easing depression, promoting self-confidence, Peace, concentration, focus, Attraction, sexuality, Love, Healing, courage.</t>
        </is>
      </c>
      <c r="AS18" t="inlineStr">
        <is>
          <t>Citrine</t>
        </is>
      </c>
      <c r="AT18"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18"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18" t="inlineStr">
        <is>
          <t>Quartz Clear</t>
        </is>
      </c>
      <c r="AW18"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18" t="inlineStr">
        <is>
          <t>Protection, Healing, psychism, Strength, lactation</t>
        </is>
      </c>
      <c r="AY18" t="inlineStr">
        <is>
          <t>Tea Tree</t>
        </is>
      </c>
      <c r="AZ18" t="inlineStr">
        <is>
          <t>Strength</t>
        </is>
      </c>
      <c r="BA18" t="inlineStr">
        <is>
          <t>MEDICINAL</t>
        </is>
      </c>
      <c r="BB18"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C18" t="inlineStr">
        <is>
          <t>Cedarwood</t>
        </is>
      </c>
      <c r="BD18" t="inlineStr">
        <is>
          <t>Purification, Protection, RID OF BAD DREAMS, Prosperity</t>
        </is>
      </c>
      <c r="BE18" t="inlineStr">
        <is>
          <t>New beginnings, REGROWTH, CALMING &amp; COMF, Attracting good spirits, STRENGTHENING</t>
        </is>
      </c>
      <c r="BF18"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18" t="inlineStr">
        <is>
          <t>Frankincense</t>
        </is>
      </c>
      <c r="BH18" t="inlineStr">
        <is>
          <t>Luck, Protection, SPIRITUALITY, PROTECT AGAINST NEGATIVITY, EXC, Exorcism</t>
        </is>
      </c>
      <c r="BI18" t="inlineStr">
        <is>
          <t>ENLIGHTENMENT, INSPIRATION, INTROSPECTION, AIDS MEDITATION</t>
        </is>
      </c>
      <c r="BJ18"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L18" t="inlineStr">
        <is>
          <t>CHRYSANTHEMUM</t>
        </is>
      </c>
      <c r="BM18" s="42" t="inlineStr">
        <is>
          <t>Sun-fire and Samhain gold, the flower that honours the turning toward darkness. Sacred at burial rites and ancestral altars, it carries the dead with dignity. House blessings and Sun God offerings both find it willing. Consecration deepened in its presence.</t>
        </is>
      </c>
    </row>
    <row r="19" ht="409.5" customHeight="1" s="56">
      <c r="A19" t="inlineStr">
        <is>
          <t>CINNAMON STICKS</t>
        </is>
      </c>
      <c r="B19" t="inlineStr">
        <is>
          <t>SWEEET WOOD</t>
        </is>
      </c>
      <c r="C19" t="inlineStr">
        <is>
          <t>Cinnamomum verum</t>
        </is>
      </c>
      <c r="D19" t="inlineStr">
        <is>
          <t>Clairvoyance, Consecration, Divination, Energy, Good luck, Love, Money, Passion, Peace, Prosperity, Protection, Psychic development, Success, Communication, Happiness, Harmony, Healing, Inspiration, Knowledge, Meditation, Purification, Spirituality, Tranquillity, Wisdom, Enhancing clairvoyance, Psychic powers, INCREASE PSYCHIC ABILITIES, Psychic awareness, Stimulating psychic senses, Disabling psychic phenomena, Psychic communication, communication and psychic abilities,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Enhancing divination, Divinatory incense, Foretelling the future, Future divination, Scrying, Dowsing, Prophecy,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Protective charm, Protective charms, Protective wreaths, Protective incense, PROTECT AGAINST NEGATIVITY, Protection from negativity, Circle protection, Victory, victory in battle, Conquest, Overcoming opposition, Courtroom success, Legal matters, Justice, Joy, Joyous celebrations, Contentment, Healing magic, Healing spells, Healing sachets, Healing incenses, Healing mixtures, Healing rituals, Healing incense, Healing vibrations, healing after surgery, Aiding recovery, Aiding the ill, Improving health, Speeding recovery, Good health, health, Intelligence, Intuition, Mental clarity, Sharpening the wits, Sharpening the brain, Mental powers, MEM, Memory, Illumination, Enlightenment</t>
        </is>
      </c>
      <c r="E19" t="inlineStr">
        <is>
          <t>APHRODITE, HERMES, SOL, VENUS, HELIOS, ARIES, LEO</t>
        </is>
      </c>
      <c r="F19" t="inlineStr">
        <is>
          <t>MERCURY,  SUN, MARS, URANUS</t>
        </is>
      </c>
      <c r="G19" t="inlineStr">
        <is>
          <t>AIR, FIRE</t>
        </is>
      </c>
      <c r="H19" t="inlineStr">
        <is>
          <t>MASCULINE</t>
        </is>
      </c>
      <c r="I19" t="inlineStr">
        <is>
          <t>SUNDAY</t>
        </is>
      </c>
      <c r="J19" t="inlineStr">
        <is>
          <t>APHRODITE, SOL</t>
        </is>
      </c>
      <c r="K19" t="inlineStr">
        <is>
          <t>OSTARA, BELTANE, LITHA</t>
        </is>
      </c>
      <c r="L19" t="inlineStr">
        <is>
          <t>Important as purification incense in China.</t>
        </is>
      </c>
      <c r="M19" t="inlineStr">
        <is>
          <t>Use to aid clairvoyance and for workings involving consecration, divination, energy, good luck, love, money, passion, peace, prosperity, protection, psychic development, success, communication, happiness, harmony, healing, inspiration, knowledge, meditation, purification, spirituality, tranquillity, and wisdom.</t>
        </is>
      </c>
      <c r="N19" t="inlineStr">
        <is>
          <t>Use to aid clairvoyance and for workings involving consecration, divination, energy, good luck, love, money, passion, peace, prosperity, protection, psychic development, success, communication, happiness, harmony, healing, inspiration, knowledge, meditation, purification, spirituality, tranquillity, and wisdom.</t>
        </is>
      </c>
      <c r="O19" t="inlineStr">
        <is>
          <t>Use to aid clairvoyance and for workings involving consecration, divination, energy, good luck, love, money, passion, peace, prosperity, protection, psychic development, success, communication, happiness, harmony, healing, inspiration, knowledge, meditation, purification, spirituality, tranquillity, and wisdom. Cinnamon is important as purification incense in China.</t>
        </is>
      </c>
      <c r="P19" t="inlineStr">
        <is>
          <t>Cinnamon</t>
        </is>
      </c>
      <c r="Q19" t="inlineStr">
        <is>
          <t>Europe, North America (Hedges, damp areas)</t>
        </is>
      </c>
      <c r="R19" t="inlineStr">
        <is>
          <t>Warning: Do not use externally on the body as it irritates the skin. Do not ingest the essential oil.</t>
        </is>
      </c>
      <c r="AM19" t="inlineStr">
        <is>
          <t>agate Botswana</t>
        </is>
      </c>
      <c r="AN19" t="inlineStr">
        <is>
          <t>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t>
        </is>
      </c>
      <c r="AO19" t="inlineStr">
        <is>
          <t>Energy of growth, expansion, New beginnings, nourishment, health. It enhances vitality, brings abundance, keeps us growing physically.</t>
        </is>
      </c>
      <c r="AP19" t="inlineStr">
        <is>
          <t>Aventurine</t>
        </is>
      </c>
      <c r="AQ19"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R19" t="inlineStr">
        <is>
          <t>Creativity, motivation, inner peace, business success, intellect, perception, soothing emotions, heartache, clarity, imagination, independence, Happiness, sexuality, Strength, Prosperity, romance.</t>
        </is>
      </c>
      <c r="AS19" t="inlineStr">
        <is>
          <t>Bloodstone</t>
        </is>
      </c>
      <c r="AT19"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U19" t="inlineStr">
        <is>
          <t>Healing, Prosperity, Confidence, physical strength, stress relief, help in business, legal matters, revitalization, guidance, rain, ganization.</t>
        </is>
      </c>
      <c r="AV19" t="inlineStr">
        <is>
          <t>Carnelian</t>
        </is>
      </c>
      <c r="AW19"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X19" t="inlineStr">
        <is>
          <t>Happiness, Protection, energy, easing depression, promoting self-confidence, Peace, concentration, focus, Attraction, sexuality, Love, Healing, courage.</t>
        </is>
      </c>
      <c r="AY19" t="inlineStr">
        <is>
          <t>Cinnamon</t>
        </is>
      </c>
      <c r="AZ19" t="inlineStr">
        <is>
          <t>Love, Prosperity, Protection, HELP ATTRACT OPPOSITE SEX, Purification</t>
        </is>
      </c>
      <c r="BA19" t="inlineStr">
        <is>
          <t>INNER WARMTH, INSPIRATION, REGENERATION, MENTAL POWERS</t>
        </is>
      </c>
      <c r="BB19"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C19" t="inlineStr">
        <is>
          <t>Frankincense</t>
        </is>
      </c>
      <c r="BD19" t="inlineStr">
        <is>
          <t>Luck, Protection, SPIRITUALITY, PROTECT AGAINST NEGATIVITY, EXC, Exorcism</t>
        </is>
      </c>
      <c r="BE19" t="inlineStr">
        <is>
          <t>ENLIGHTENMENT, INSPIRATION, INTROSPECTION, AIDS MEDITATION</t>
        </is>
      </c>
      <c r="BF19"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G19" t="inlineStr">
        <is>
          <t>Marjoram</t>
        </is>
      </c>
      <c r="BH19" t="inlineStr">
        <is>
          <t>Happiness, Healing, Love, Prosperity, Protection</t>
        </is>
      </c>
      <c r="BI19" t="inlineStr">
        <is>
          <t>Harmony, Peace, PERSEVERANCE</t>
        </is>
      </c>
      <c r="BJ19"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K19" t="inlineStr">
        <is>
          <t>ARIES, LEO</t>
        </is>
      </c>
      <c r="BL19" t="inlineStr">
        <is>
          <t>CINNAMON STICKS</t>
        </is>
      </c>
      <c r="BM19" s="42" t="inlineStr">
        <is>
          <t>Fire and southern sun concentrated into bark. Clairvoyance sharpened, divination made clearer. Love, money and prosperity drawn in on its warmth. Psychic development and protection both strengthened. Energy raised in any working it enters — a little does much.</t>
        </is>
      </c>
    </row>
    <row r="20" ht="409.5" customHeight="1" s="56">
      <c r="A20" t="inlineStr">
        <is>
          <t>CLEAVERS</t>
        </is>
      </c>
      <c r="B20" t="inlineStr">
        <is>
          <t>STICKY WEED</t>
        </is>
      </c>
      <c r="C20" t="inlineStr">
        <is>
          <t>Galium aparine</t>
        </is>
      </c>
      <c r="D20" t="inlineStr">
        <is>
          <t>Spring tonic, Healing, Psychic powers, Spring festivals, Purification rituals, Menarche rituals, Binding spells, Binding rituals, Imbolc/Ostara, Imbolc, Imbolc rites, Ostara, Ostara rites, Spring rituals, Spring Equinox rites, Spring/Imbolc/Ostara/Beltane, Earth festivals, Healing magic, Healing spells, Healing sachets, Healing incenses, Healing mixtures, Healing rituals, Healing incense, Healing vibrations, healing after surgery, Aiding recovery, Aiding the ill, Improving health, Speeding recovery, Good health, health, Clairvoyance, Enhancing clairvoyance, Psychic development, INCREASE PSYCHIC ABILITIES, Psychic awareness, Stimulating psychic senses, Disabling psychic phenomena, Psychic communication, communication and psychic abilities, Purification, Purifying ritual areas, Purifying  Purifying new homes, Purifying new homes, Purifying the home, Self-purification, Purifying ritual spaces,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t>
        </is>
      </c>
      <c r="E20" t="inlineStr">
        <is>
          <t>CRONUS, FREYA, CAPRICORN, AQUARIUS</t>
        </is>
      </c>
      <c r="F20" t="inlineStr">
        <is>
          <t>SATURN</t>
        </is>
      </c>
      <c r="G20" t="inlineStr">
        <is>
          <t>FIRE</t>
        </is>
      </c>
      <c r="H20" t="inlineStr">
        <is>
          <t>MASCULINE</t>
        </is>
      </c>
      <c r="I20" t="inlineStr">
        <is>
          <t>SATURDAY</t>
        </is>
      </c>
      <c r="J20" t="inlineStr">
        <is>
          <t>ALL</t>
        </is>
      </c>
      <c r="K20" t="inlineStr">
        <is>
          <t>SAMHAIN, YULE</t>
        </is>
      </c>
      <c r="L20" t="inlineStr">
        <is>
          <t>None provided.</t>
        </is>
      </c>
      <c r="M20" t="inlineStr">
        <is>
          <t>healing and psychic powers.</t>
        </is>
      </c>
      <c r="N20" t="inlineStr">
        <is>
          <t>used in rituals held to mark a girl's menarche and the entry into adulthood.</t>
        </is>
      </c>
      <c r="O20" t="inlineStr">
        <is>
          <t>With its long-lasting reputation as a spring tonic, cleavers is used for healing and psychic powers. It can be used for spring festivals and purification rituals. This herb can be used in rituals held to mark a girl's menarche and the entry into adulthood. Because this plant sticks and binds, it can also be used for binding spells and rituals.</t>
        </is>
      </c>
      <c r="P20" t="inlineStr">
        <is>
          <t>Patchouli</t>
        </is>
      </c>
      <c r="Q20" t="inlineStr">
        <is>
          <t>Europe, Central Asia (Grasslands)</t>
        </is>
      </c>
      <c r="R20" t="inlineStr">
        <is>
          <t>Warning: Do not ingest unless in the form of ferments or alcohol-based preparations.</t>
        </is>
      </c>
      <c r="AM20" t="inlineStr">
        <is>
          <t>Apache Tears</t>
        </is>
      </c>
      <c r="AN20" t="inlineStr">
        <is>
          <t>It is carried as a good luck charm, is also used f, protective purposes.  Meditation with the stone can increase your sensitivity to magical energy, help develop your power to walk between the w, lds.</t>
        </is>
      </c>
      <c r="AO20" t="inlineStr">
        <is>
          <t>Luck, removal of pain</t>
        </is>
      </c>
      <c r="AP20" t="inlineStr">
        <is>
          <t>Hematite</t>
        </is>
      </c>
      <c r="AQ20" t="inlineStr">
        <is>
          <t>Magical use:      It is a very powerful stone of magical energy that contains within it the combined essences of elemental Earth, Fire. It is often used in magic to release a sudden burst of power, Anti-theft, example at the conclusion of a spell. Breaks through any barriers that may be holding you back such as fear, inhibition, guilt, Increasing wealth, Fairy portals, self-doubt. An excellent stone f, abs, bing, grounding negative energy, it can be used to stop poltergeist activity, psychic disturbances. It augments, balances the flow of energy in the body, is believed to be particularly useful when practising astral travel, out of body projection. It can be used to ground high spiritual, magical energies, Negating dreams, visions into physical reality. Creates a powerful connection with the Earth, is a useful stone f, anyone who is becoming 'spaced out' by meditation, magical w, k.</t>
        </is>
      </c>
      <c r="AR20" t="inlineStr">
        <is>
          <t>Concentration, mem, Clairvoyance, banishing negativity, clarity, Confidence, stress relief, energy, Healing, Divination, grounding, centering, scrying, reliability, legal matters.</t>
        </is>
      </c>
      <c r="AS20" t="inlineStr">
        <is>
          <t>Obsidian</t>
        </is>
      </c>
      <c r="AT20" t="inlineStr">
        <is>
          <t>It is used to help gain underst, ing of the Web of Wyrd, the w, kings of destiny in your life. The stone is said to lend great strength to those who are weak, protect the gentle from abuse. All f, ms of Obsidian are excellent stones f, drawing Earth energy, helping to ground yourself, are especially helpful to people who live in a city, have to endure an unpleasant atmosphere as the stone can help shield ou from unhealthy energetic noise. They are very protective, help to reflect negative energy, curses back to the sender, provide psychic protection during times of stress, magical attack.</t>
        </is>
      </c>
      <c r="AU20" t="inlineStr">
        <is>
          <t>Grounding, centering, Divination, increasing spirituality, Healing, Cleansing, clarity, Luck, manifestation, transf, mation, inner growth.</t>
        </is>
      </c>
      <c r="AV20" t="inlineStr">
        <is>
          <t>Onyx</t>
        </is>
      </c>
      <c r="AW20" t="inlineStr">
        <is>
          <t>Onyx has long been associated with magic, Anti-theft, occult purposes it is most commonly the black variety that is used. Some say that Onyx is a stone of ‘black magic’. It is certainly in tune with the darker, Amulets/talismans, e mysterious side of magic, cery, necromancy but to label it as ‘evil’ is a serious misunderst, ing of the stone’s energy. Onyx protects its bearer from misf, Fortune, Healing, prevents illusions, nightmares caused by evil spirits. It is a stone of powerful protection, strength. It is reputed to bring unexpected good luck to its bearer, to protect them from the plots, ill wishes of their enemies. A piece of Onyx, especially a sphere, can be kept on your altar to protect you from unruly energies, warn of any impending danger. The stone is helpful when trying to contact the spirits of ancest, the Mighty Dead, helps recall mem, ies of past lives. Onyx softens the barriers between w, lds, shamanic w, k with this stone can help summon friendly spirits who will guide a dying soul on their journey. An excellent stone f, increasing knowledge, helping you to focus on your studies which also helps you to gain deeper insights when casting bones, stones f, divination.</t>
        </is>
      </c>
      <c r="AX20" t="inlineStr">
        <is>
          <t>Balancing, Protection, faith, grounding spiritual energy to the physical plane, stability, scrying, relaxation.</t>
        </is>
      </c>
      <c r="AY20" t="inlineStr">
        <is>
          <t>Patchouli</t>
        </is>
      </c>
      <c r="AZ20" t="inlineStr">
        <is>
          <t>Fertility, Love, Prosperity, RAISE SEXUAL ENERGY</t>
        </is>
      </c>
      <c r="BA20" t="inlineStr">
        <is>
          <t>ASTUTENESS, REASONABLENESS, STIMULATION, Aphrodisiac</t>
        </is>
      </c>
      <c r="BB20"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BC20" t="inlineStr">
        <is>
          <t>Cedarwood</t>
        </is>
      </c>
      <c r="BD20" t="inlineStr">
        <is>
          <t>Purification, Protection, RID OF BAD DREAMS, Prosperity</t>
        </is>
      </c>
      <c r="BE20" t="inlineStr">
        <is>
          <t>New beginnings, REGROWTH, CALMING &amp; COMF, Attracting good spirits, STRENGTHENING</t>
        </is>
      </c>
      <c r="BF20"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20" t="inlineStr">
        <is>
          <t>Clove Bud</t>
        </is>
      </c>
      <c r="BH20" t="inlineStr">
        <is>
          <t>Love, Prosperity, Protection, HELP ATTRACT OPPOSITE SEX, Purification</t>
        </is>
      </c>
      <c r="BI20" t="inlineStr">
        <is>
          <t>INNER WARMTH, INSPIRATION, REGENERATION, MENTAL POWERS</t>
        </is>
      </c>
      <c r="BJ20"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K20" t="inlineStr">
        <is>
          <t>CAPRICORN, AQUARIUS</t>
        </is>
      </c>
      <c r="BL20" t="inlineStr">
        <is>
          <t>CLEAVERS</t>
        </is>
      </c>
      <c r="BM20" s="42" t="inlineStr">
        <is>
          <t>Spring tonic of the hedgerow, sticky and determined as new growth. Healing and psychic powers carried in equal measure. Spring purification rituals feel its insistence. Binding work finds it reliable. The plant that holds on — where something needs drawing and keeping close.</t>
        </is>
      </c>
    </row>
    <row r="21" ht="409.5" customHeight="1" s="56">
      <c r="A21" t="inlineStr">
        <is>
          <t>CLOVER</t>
        </is>
      </c>
      <c r="B21" t="inlineStr">
        <is>
          <t>SEMEN OF ARES</t>
        </is>
      </c>
      <c r="C21" t="inlineStr">
        <is>
          <t>Trifolium repens</t>
        </is>
      </c>
      <c r="D21" t="inlineStr">
        <is>
          <t>Fidelity, Love, Money, Protection, Blessing domestic animals, Financial arrangements, Removing negative spirits, Ritual baths, Prosperity, Floor washes, Shamanic work, Otherworld travel, Out-of-body protection, Walking between worlds, Protective charm, Faithfulness, Loyalty, Promoting fidelity, Ensuring a lover returns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journeying, Nether-realm travel,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Aiding gain, Gain, PROSPERITY SPELLS, Increasing wealth, Money spells, Attracting money, Drawing money, INCREASE MONEY, Breaking financial stagnation, Money mixtures, Protecting against poverty, Warding off poverty, Protective charms, Protective sachets,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 Cleansing before ritual, Purifying body and mind, Contacting planes,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E21" t="inlineStr">
        <is>
          <t>ARTEMIS, HERMES, GEMINI, VIRGO</t>
        </is>
      </c>
      <c r="F21" t="inlineStr">
        <is>
          <t>MERCURY</t>
        </is>
      </c>
      <c r="G21" t="inlineStr">
        <is>
          <t>AIR</t>
        </is>
      </c>
      <c r="H21" t="inlineStr">
        <is>
          <t>FEMININE</t>
        </is>
      </c>
      <c r="I21" t="inlineStr">
        <is>
          <t>WEDNESDAY</t>
        </is>
      </c>
      <c r="J21" t="inlineStr">
        <is>
          <t>ARTEMIS</t>
        </is>
      </c>
      <c r="K21" t="inlineStr">
        <is>
          <t>OSTARA, MABON</t>
        </is>
      </c>
      <c r="L21" t="inlineStr">
        <is>
          <t>Four-leaf clover for good luck. Three-leaf for protection.</t>
        </is>
      </c>
      <c r="M21" t="inlineStr">
        <is>
          <t>fidelity, love, money, protection, and the blessing of domestic animals.</t>
        </is>
      </c>
      <c r="N21" t="inlineStr">
        <is>
          <t>With its three leaves, clover is a very shamanic plant allowing one to see into and interact with the Otherworld.</t>
        </is>
      </c>
      <c r="O21" t="inlineStr">
        <is>
          <t>Use for fidelity, love, money, protection, and the blessing of domestic animals. Carry to aid in financial arrangements. Sprinkle around the home to remove negative spirits. Red clover is used in a ritual bath to attract money and prosperity to the bather and is also used as a floor wash to chase out evil and unwanted ghosts. With its three leaves, clover is a very shamanic plant allowing one to see into and interact with the Otherworld. It is a good talisman of protection and power for travelling out of body and walking between worlds.</t>
        </is>
      </c>
      <c r="P21" t="inlineStr">
        <is>
          <t>Lavender</t>
        </is>
      </c>
      <c r="Q21" t="inlineStr">
        <is>
          <t>Europe, Western Asia (Meadows)</t>
        </is>
      </c>
      <c r="R21" t="inlineStr">
        <is>
          <t>Generally considered safe for most uses. Always use in moderation.</t>
        </is>
      </c>
      <c r="S21" t="inlineStr">
        <is>
          <t>GEBO</t>
        </is>
      </c>
      <c r="T21" t="inlineStr">
        <is>
          <t>G</t>
        </is>
      </c>
      <c r="U21" t="inlineStr">
        <is>
          <t>Love spells, Love rituals, Love, Gift-giving, Anti-theft, giveness, Attraction, Peace</t>
        </is>
      </c>
      <c r="V21" t="inlineStr">
        <is>
          <t>Generosity in men is to honour and praise and dignity a prop.</t>
        </is>
      </c>
      <c r="W21" t="inlineStr">
        <is>
          <t>Dark Blue</t>
        </is>
      </c>
      <c r="X21" t="inlineStr">
        <is>
          <t>WUNJO</t>
        </is>
      </c>
      <c r="Y21" t="inlineStr">
        <is>
          <t>W/V</t>
        </is>
      </c>
      <c r="Z21" t="inlineStr">
        <is>
          <t>Happiness, Prosperity, Harmony, Love, Celebration, Confidence, Luck</t>
        </is>
      </c>
      <c r="AA21" t="inlineStr">
        <is>
          <t>Understanding, realisation of ambition, success in romance and good health. Partnerships flourish. New beginnings are blessed with joyfulness. Your eyes are opened to the truth.</t>
        </is>
      </c>
      <c r="AB21" t="inlineStr">
        <is>
          <t>Light Blue</t>
        </is>
      </c>
      <c r="AC21" t="inlineStr">
        <is>
          <t>JERA</t>
        </is>
      </c>
      <c r="AD21" t="inlineStr">
        <is>
          <t>J/Y</t>
        </is>
      </c>
      <c r="AE21" t="inlineStr">
        <is>
          <t>Harvest spells, Fertility, Fruitfulness, Prosperity, Cycles, Justice, Reward</t>
        </is>
      </c>
      <c r="AF21" t="inlineStr">
        <is>
          <t>Success in endeavours, fruition of plans. Good spirits. Just rewards for past efforts. Inventiveness, talent or skill. Great reward to those who work with their hands or on the land.</t>
        </is>
      </c>
      <c r="AG21" t="inlineStr">
        <is>
          <t>Light Blue</t>
        </is>
      </c>
      <c r="AH21" t="inlineStr">
        <is>
          <t>BERKANAN</t>
        </is>
      </c>
      <c r="AI21" t="inlineStr">
        <is>
          <t>B</t>
        </is>
      </c>
      <c r="AJ21" t="inlineStr">
        <is>
          <t>Fertility, Growth, New beginnings, Healing, Beauty, Birth, Fresh starts</t>
        </is>
      </c>
      <c r="AK21" t="inlineStr">
        <is>
          <t>Growth, fertility, rebirth, new life, renewal, purification, beauty.</t>
        </is>
      </c>
      <c r="AL21" t="inlineStr">
        <is>
          <t>Dark Green</t>
        </is>
      </c>
      <c r="AM21" t="inlineStr">
        <is>
          <t>Aventurine</t>
        </is>
      </c>
      <c r="AN21"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O21" t="inlineStr">
        <is>
          <t>Creativity, motivation, inner peace, business success, intellect, perception, soothing emotions, heartache, clarity, imagination, independence, Happiness, sexuality, Strength, Prosperity, romance.</t>
        </is>
      </c>
      <c r="AY21" t="inlineStr">
        <is>
          <t>Lavender</t>
        </is>
      </c>
      <c r="AZ21" t="inlineStr">
        <is>
          <t>MEM, Clairvoyance, PEACE &amp; HAPPINESS, Purification, Happiness</t>
        </is>
      </c>
      <c r="BA21" t="inlineStr">
        <is>
          <t>REST, ATIVE, Peace, BALANCING, STIMULATING</t>
        </is>
      </c>
      <c r="BB21"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C21" t="inlineStr">
        <is>
          <t>Neroli</t>
        </is>
      </c>
      <c r="BD21" t="inlineStr">
        <is>
          <t>Prosperity</t>
        </is>
      </c>
      <c r="BE21" t="inlineStr">
        <is>
          <t>Peace, Happiness</t>
        </is>
      </c>
      <c r="BF21" t="inlineStr">
        <is>
          <t>In the palaces of old, orange blossoms were the sign of a royal wedding. It was said that the flower holds the promise of eternal spring, and that a bride wearing the blossoms would be granted a lifetime of fertility and the grace of a blooming garden.</t>
        </is>
      </c>
      <c r="BG21" t="inlineStr">
        <is>
          <t>Marjoram</t>
        </is>
      </c>
      <c r="BH21" t="inlineStr">
        <is>
          <t>Happiness, Healing, Love, Prosperity, Protection</t>
        </is>
      </c>
      <c r="BI21" t="inlineStr">
        <is>
          <t>Harmony, Peace, PERSEVERANCE</t>
        </is>
      </c>
      <c r="BJ21"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K21" t="inlineStr">
        <is>
          <t>GEMINI, VIRGO</t>
        </is>
      </c>
      <c r="BL21" t="inlineStr">
        <is>
          <t>CLOVER</t>
        </is>
      </c>
      <c r="BM21" s="42" t="inlineStr">
        <is>
          <t>Three leaves and ancient shamanic sight, the meadow's quiet gateway. Fidelity, love and money carried together. Domestic animals blessed in its presence. Financial arrangements find it sympathetic. Unwanted spirits lose their grip where it grows.</t>
        </is>
      </c>
    </row>
    <row r="22" ht="409.5" customHeight="1" s="56">
      <c r="A22" t="inlineStr">
        <is>
          <t>CLOVER RED</t>
        </is>
      </c>
      <c r="B22" t="inlineStr">
        <is>
          <t>HARE’S FOOT</t>
        </is>
      </c>
      <c r="C22" t="inlineStr">
        <is>
          <t>Trifolium pratense</t>
        </is>
      </c>
      <c r="D22" t="inlineStr">
        <is>
          <t>Amulets, Driving away negativity, Calmness, Soothing nervousness, Desire, Fidelity, Loyalty, Cleansing baths, Attracting money, Breaking financial stagnation, Love philtres, Fixing spells, Lust,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Talismans, Protective sachets, Charm bags, Mojo bags, Sachets, Banishing, Banishing negative energies, Banishing smudge, Banishing pesky spirits, Banishing unwanted energies, Casting away evil spirits, Repelling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Passion, Faithfulness, Promoting fidelity, Ensuring a lover returns love,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Drawing money, INCREASE MONEY, Money mixtures, Protecting against poverty, Warding off poverty, Aphrodisiac, Aphrodisiac tea, Sensuality, Lust/Sex, Passionate love-making, LOVING &amp; LUSTFUL ENERGIES, SEX MAGIC, RAISE SEXUAL ENERGY, Sexual energy</t>
        </is>
      </c>
      <c r="E22" t="inlineStr">
        <is>
          <t>HERMES, MERCURY, GEMINI, VIRGO</t>
        </is>
      </c>
      <c r="F22" t="inlineStr">
        <is>
          <t>MERCURY</t>
        </is>
      </c>
      <c r="G22" t="inlineStr">
        <is>
          <t>AIR</t>
        </is>
      </c>
      <c r="H22" t="inlineStr">
        <is>
          <t>FEMININE</t>
        </is>
      </c>
      <c r="I22" t="inlineStr">
        <is>
          <t>WEDNESDAY</t>
        </is>
      </c>
      <c r="J22" t="inlineStr">
        <is>
          <t>ALL, ARTEMIS</t>
        </is>
      </c>
      <c r="K22" t="inlineStr">
        <is>
          <t>OSTARA, MABON</t>
        </is>
      </c>
      <c r="L22" t="inlineStr">
        <is>
          <t>None provided.</t>
        </is>
      </c>
      <c r="M22" t="inlineStr">
        <is>
          <t>Very strong decoctions of red clover have been used in cleansing baths to help people attract money or break free from a tight financial situation.</t>
        </is>
      </c>
      <c r="N22" t="inlineStr">
        <is>
          <t>Used in purification baths and cleansing rituals. Placed on altars at Ostara; used in faery rites and spring ceremonies.</t>
        </is>
      </c>
      <c r="O22" t="inlineStr">
        <is>
          <t>As with nearly all species of clover, the red clover is typically given or used as an amulet when carried on one's person. Its flowers have been used as incense to drive away negativity, facilitate calmness, soothe nervousness, elicit desire, and encourage fidelity and loyalty between couples. Very strong decoctions of red clover have been used in cleansing baths to help people attract money or break free from a tight financial situation. Its most notable use is in the creation of love philtres, as it often plays an integral role in fixing spells and conjures due to its ability to incite lust.</t>
        </is>
      </c>
      <c r="P22" t="inlineStr">
        <is>
          <t>Lavender</t>
        </is>
      </c>
      <c r="Q22" t="inlineStr">
        <is>
          <t>Indonesia (Tropical volcanic islands)</t>
        </is>
      </c>
      <c r="R22" t="inlineStr">
        <is>
          <t>Warning: May cause allergic skin reactions, nausea, vomiting, headache. Avoid during pregnancy.</t>
        </is>
      </c>
      <c r="AM22" t="inlineStr">
        <is>
          <t>Aventurine</t>
        </is>
      </c>
      <c r="AN22"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O22" t="inlineStr">
        <is>
          <t>Creativity, motivation, inner peace, business success, intellect, perception, soothing emotions, heartache, clarity, imagination, independence, Happiness, sexuality, Strength, Prosperity, romance.</t>
        </is>
      </c>
      <c r="AY22" t="inlineStr">
        <is>
          <t>Lavender</t>
        </is>
      </c>
      <c r="AZ22" t="inlineStr">
        <is>
          <t>MEM, Clairvoyance, PEACE &amp; HAPPINESS, Purification, Happiness</t>
        </is>
      </c>
      <c r="BA22" t="inlineStr">
        <is>
          <t>REST, ATIVE, Peace, BALANCING, STIMULATING</t>
        </is>
      </c>
      <c r="BB22"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C22" t="inlineStr">
        <is>
          <t>Neroli</t>
        </is>
      </c>
      <c r="BD22" t="inlineStr">
        <is>
          <t>Prosperity</t>
        </is>
      </c>
      <c r="BE22" t="inlineStr">
        <is>
          <t>Peace, Happiness</t>
        </is>
      </c>
      <c r="BF22" t="inlineStr">
        <is>
          <t>In the palaces of old, orange blossoms were the sign of a royal wedding. It was said that the flower holds the promise of eternal spring, and that a bride wearing the blossoms would be granted a lifetime of fertility and the grace of a blooming garden.</t>
        </is>
      </c>
      <c r="BG22" t="inlineStr">
        <is>
          <t>Marjoram</t>
        </is>
      </c>
      <c r="BH22" t="inlineStr">
        <is>
          <t>Happiness, Healing, Love, Prosperity, Protection</t>
        </is>
      </c>
      <c r="BI22" t="inlineStr">
        <is>
          <t>Harmony, Peace, PERSEVERANCE</t>
        </is>
      </c>
      <c r="BJ22"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K22" t="inlineStr">
        <is>
          <t>GEMINI, VIRGO</t>
        </is>
      </c>
      <c r="BL22" t="inlineStr">
        <is>
          <t>CLOVER RED</t>
        </is>
      </c>
      <c r="BM22" s="42" t="inlineStr">
        <is>
          <t>Crimson clover of the summer field, cleansing and attracting in the same breath. Money flows in, desire acknowledged, fidelity and loyalty held firm. Faery rites welcome it. Ostara altars breathe more freely with it present — attraction and purification working as one.</t>
        </is>
      </c>
    </row>
    <row r="23" ht="409.5" customHeight="1" s="56">
      <c r="A23" t="inlineStr">
        <is>
          <t>CLOVES</t>
        </is>
      </c>
      <c r="B23" t="inlineStr">
        <is>
          <t>FOALSWORT</t>
        </is>
      </c>
      <c r="C23" t="inlineStr">
        <is>
          <t>Syzygium aromaticum</t>
        </is>
      </c>
      <c r="D23" t="inlineStr">
        <is>
          <t>Clairvoyance, Divination, Exorcism, Keeping away negative forces, Love, Memory, Money, Passion, Peace of mind, Protection, Psychic protection, Purification, Stopping gossip, Cleansing, Friendship, Psychic development, Release, Spell-breaking, Enhancing clairvoyance,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Tranquillity, PEACE &amp; HAPPINESS, Calming, Soothing, Calm, Calmness, Relaxation, Calming energies, Calming the mind, Calming stormy situations, Serenity, AID MEDITATION, Peace, Inner peace, Peaceful vibrations, Calming stress, Calming household upheaval,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Wisdom, Knowledge, Intelligence, Intuition, Mental clarity, Sharpening the wits, Sharpening the brain, Mental powers, MEM, Illumination, Enlightenment,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Protective charm, Protective charms, Protective sachets,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Breaking habits, Breaking bad habits, Ending negative self-talk, Letting go of relationships, Ending guilt, Renewal, New beginnings, New beginning spells, Fresh starts, Transformation, Change, rebirth, Breakthrough, Awakening, Growth, New ideas, Assisting transformation, Transformation/Evolution, Reversing harmful spells, Breaking spells, Hex breaking, Removing hexes, Removing curses, Removing jinxes, Removing bad luck, Breaking hexes, Returning hexes, hex-breaking, Removing hexes and curses, Removing a jinx, Luck, Good luck, Good luck in family matters, Fortune, Casino luck, WISHES, Wish magick, Carrying wishes, Transmuting wishes</t>
        </is>
      </c>
      <c r="E23" t="inlineStr">
        <is>
          <t>JUPITER, ZEUS, ARIES, SCORPIO,SAGITTARIUS</t>
        </is>
      </c>
      <c r="F23" t="inlineStr">
        <is>
          <t>JUPITER</t>
        </is>
      </c>
      <c r="G23" t="inlineStr">
        <is>
          <t>FIRE</t>
        </is>
      </c>
      <c r="H23" t="inlineStr">
        <is>
          <t>MASCULINE</t>
        </is>
      </c>
      <c r="I23" t="inlineStr">
        <is>
          <t>SUNDAY, THURSDAY</t>
        </is>
      </c>
      <c r="J23" t="inlineStr">
        <is>
          <t>ZEUS</t>
        </is>
      </c>
      <c r="K23" t="inlineStr">
        <is>
          <t>LAMMAS, MABON</t>
        </is>
      </c>
      <c r="L23" t="inlineStr">
        <is>
          <t>None provided.</t>
        </is>
      </c>
      <c r="M23" t="inlineStr">
        <is>
          <t>Use in workings for clairvoyance, divination, exorcism, keeping away negative forces, love, memory, money, passion, peace of mind, protection, psychic protection, purification, and stopping gossip. Other magical uses: cleansing, friendship, psychic development, release, and spell-breaking.</t>
        </is>
      </c>
      <c r="N23" t="inlineStr">
        <is>
          <t>Use in workings for clairvoyance, divination, exorcism, keeping away negative forces, love, memory, money, passion, peace of mind, protection, psychic protection, purification, and stopping gossip.</t>
        </is>
      </c>
      <c r="O23" t="inlineStr">
        <is>
          <t>Use in workings for clairvoyance, divination, exorcism, keeping away negative forces, love, memory, money, passion, peace of mind, protection, psychic protection, purification, and stopping gossip. Other magical uses: cleansing, friendship, psychic development, release, and spell-breaking.</t>
        </is>
      </c>
      <c r="P23" t="inlineStr">
        <is>
          <t>Clove Bud</t>
        </is>
      </c>
      <c r="Q23" t="inlineStr">
        <is>
          <t>Europe, Asia (Damp soils, riverbanks)</t>
        </is>
      </c>
      <c r="R23" t="inlineStr">
        <is>
          <t>Warning: Clove essential oil is very potent and can irritate skin and mucous membranes. Dilute before use.</t>
        </is>
      </c>
      <c r="S23" t="inlineStr">
        <is>
          <t>THURISAZ</t>
        </is>
      </c>
      <c r="T23" t="inlineStr">
        <is>
          <t>TH</t>
        </is>
      </c>
      <c r="U23" t="inlineStr">
        <is>
          <t>Protection, Protection (hexes/evil), Banishing, Warding, Exorcism, Magical power, Strength</t>
        </is>
      </c>
      <c r="V23" t="inlineStr">
        <is>
          <t>Magical power, the forces of chaos or of evil. Temptation. A Warning. Protective barrier.</t>
        </is>
      </c>
      <c r="W23" t="inlineStr">
        <is>
          <t>Bright Red</t>
        </is>
      </c>
      <c r="X23" t="inlineStr">
        <is>
          <t>KAUNO</t>
        </is>
      </c>
      <c r="Y23" t="inlineStr">
        <is>
          <t>K/C</t>
        </is>
      </c>
      <c r="Z23" t="inlineStr">
        <is>
          <t>Fire magick, Enlightenment, Illumination, Clarity, Healing, Dispelling sickness, Inspiration</t>
        </is>
      </c>
      <c r="AA23" t="inlineStr">
        <is>
          <t>Light, warmth, enlightenment and knowledge. Understanding must lead to action.</t>
        </is>
      </c>
      <c r="AB23" t="inlineStr">
        <is>
          <t>Light Red</t>
        </is>
      </c>
      <c r="AC23" t="inlineStr">
        <is>
          <t>HAGALAZ</t>
        </is>
      </c>
      <c r="AD23" t="inlineStr">
        <is>
          <t>H</t>
        </is>
      </c>
      <c r="AE23" t="inlineStr">
        <is>
          <t>Protection, Banishing, Warding, Exorcism, Strength, Challenges, Disruption</t>
        </is>
      </c>
      <c r="AF23" t="inlineStr">
        <is>
          <t>Challenge, disruption, interference, hardship, elemental forces.</t>
        </is>
      </c>
      <c r="AG23" t="inlineStr">
        <is>
          <t>Light Blue</t>
        </is>
      </c>
      <c r="AH23" t="inlineStr">
        <is>
          <t>IHWAZ</t>
        </is>
      </c>
      <c r="AI23" t="inlineStr">
        <is>
          <t>Y/I</t>
        </is>
      </c>
      <c r="AJ23" t="inlineStr">
        <is>
          <t>Transf, mation, Protection, Banishing, Healing, Strength, Change, New beginnings</t>
        </is>
      </c>
      <c r="AK23" t="inlineStr">
        <is>
          <t>Transformation, defense, protection, magical power, continuity, endurance.</t>
        </is>
      </c>
      <c r="AL23" t="inlineStr">
        <is>
          <t>Magenta</t>
        </is>
      </c>
      <c r="AM23" t="inlineStr">
        <is>
          <t>Ametrine</t>
        </is>
      </c>
      <c r="AN23" t="inlineStr">
        <is>
          <t>Combines mental clarity with strength of will, making it a very powerful stone f, any magic user.</t>
        </is>
      </c>
      <c r="AO23" t="inlineStr">
        <is>
          <t>Astral travel, magickal power, meditation, removing negativity.</t>
        </is>
      </c>
      <c r="AY23" t="inlineStr">
        <is>
          <t>Clove Bud</t>
        </is>
      </c>
      <c r="AZ23" t="inlineStr">
        <is>
          <t>Love, Prosperity, Protection, HELP ATTRACT OPPOSITE SEX, Purification</t>
        </is>
      </c>
      <c r="BA23" t="inlineStr">
        <is>
          <t>INNER WARMTH, INSPIRATION, REGENERATION, MENTAL POWERS</t>
        </is>
      </c>
      <c r="BB23"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C23" t="inlineStr">
        <is>
          <t>Cinnamon</t>
        </is>
      </c>
      <c r="BD23" t="inlineStr">
        <is>
          <t>Love, Prosperity, Protection, HELP ATTRACT OPPOSITE SEX, Purification</t>
        </is>
      </c>
      <c r="BE23" t="inlineStr">
        <is>
          <t>INNER WARMTH, INSPIRATION, REGENERATION, MENTAL POWERS</t>
        </is>
      </c>
      <c r="BF23"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G23" t="inlineStr">
        <is>
          <t>Juniper</t>
        </is>
      </c>
      <c r="BH23" t="inlineStr">
        <is>
          <t>AID MEDITATION, Healing, Love, Protection</t>
        </is>
      </c>
      <c r="BI23" t="inlineStr">
        <is>
          <t>ENLIGHTENMENT, INNER VISION, SINCERITY, UPLIFTING, CENTRING</t>
        </is>
      </c>
      <c r="BJ23"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BK23" t="inlineStr">
        <is>
          <t>ARIES, SCORPIO, SAGITTARIUS</t>
        </is>
      </c>
      <c r="BL23" t="inlineStr">
        <is>
          <t>CLOVES</t>
        </is>
      </c>
      <c r="BM23" s="42" t="inlineStr">
        <is>
          <t>Dark fire buds from equatorial forests, intense and focused. Clairvoyance sharpened, divination deepened, exorcism given teeth. Negative forces find no purchase. Love, memory and peace of mind carried in its smoke. A little goes far — this energy concentrates.</t>
        </is>
      </c>
    </row>
    <row r="24" ht="409.5" customHeight="1" s="56">
      <c r="A24" t="inlineStr">
        <is>
          <t>COLTSFOOT</t>
        </is>
      </c>
      <c r="B24" t="inlineStr">
        <is>
          <t>BUTTER BUR</t>
        </is>
      </c>
      <c r="C24" t="inlineStr">
        <is>
          <t>Tussilago farfara</t>
        </is>
      </c>
      <c r="D24" t="inlineStr">
        <is>
          <t>Spring rituals, Imbolc, Ostara, Beltane, Love, Tranquillity, Money spells, Divinatory incense, Healing incense, Psychic awareness, Communion with spirits, Prophetic dreams, Removing sickness, Removing mental troubles, Visions, Imbolc/Ostara, Imbolc rites, Ostara rites, Spring festivals, Spring Equinox rites, Spring/Imbolc/Ostara/Beltane, Spring tonic, Earth festivals, Beltane rituals, Beltane celebrations, Summer rituals, Midsummer, Midsummer celebrations, Midsummer magic, Midsummer rites, Midsummer/Litha rituals,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Attracting money, Drawing money, INCREASE MONEY, Breaking financial stagnation, Money mixtures, Protecting against poverty, Warding off poverty, Divination, Enhancing divination, Foretelling the future, Future divination, Scrying, Dowsing, Prophecy, Healing, Healing magic, Healing spells, Healing sachets, Healing incenses, Healing mixtures, Healing rituals, Healing vibrations, healing after surgery, Aiding recovery, Aiding the ill, Improving health, Speeding recovery, Good health, health, Clairvoyance, Enhancing clairvoyance, Psychic development, Psychic powers, INCREASE PSYCHIC ABILITIES, Stimulating psychic senses, Disabling psychic phenomena, Psychic communication, communication and psychic abilities, Contacting planes, Contacting other planes,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Invoking dreams, Dream work, Dreams, Seeing the unseen, Seeing manifestations, Truth, Honesty, Removing deception, Subconscious work, Digging into the subconscious, Uprooting what is hidden, Treasure seeking, Lost object finding,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Keeping illness away, Keeping sickness away, Curing fevers, Dispelling melancholy, Preventing illness, Protection against disease</t>
        </is>
      </c>
      <c r="E24" t="inlineStr">
        <is>
          <t>APHRODITE, CHIRON, LIBRA, TAURUS</t>
        </is>
      </c>
      <c r="F24" t="inlineStr">
        <is>
          <t>VENUS</t>
        </is>
      </c>
      <c r="G24" t="inlineStr">
        <is>
          <t>WATER</t>
        </is>
      </c>
      <c r="H24" t="inlineStr">
        <is>
          <t>FEMININE</t>
        </is>
      </c>
      <c r="I24" t="inlineStr">
        <is>
          <t>FRIDAY</t>
        </is>
      </c>
      <c r="J24" t="inlineStr">
        <is>
          <t>APHRODITE</t>
        </is>
      </c>
      <c r="K24" t="inlineStr">
        <is>
          <t>IMBOLC, OSTARA, BELTANE</t>
        </is>
      </c>
      <c r="L24" t="inlineStr">
        <is>
          <t>Loves growing around water. Common ingredient in herbal smoking mixtures.</t>
        </is>
      </c>
      <c r="M24" t="inlineStr">
        <is>
          <t>Spring rituals, Imbolc, Ostara, Beltane, Love, Tranquillity, Money spells, Divinatory incense, Healing incense, Psychic awareness</t>
        </is>
      </c>
      <c r="N24" t="inlineStr">
        <is>
          <t>burned in divinatory and healing incense.</t>
        </is>
      </c>
      <c r="O24" t="inlineStr">
        <is>
          <t>This plant and its bright sunny yellow flowers make it suitable for springtime rituals welcoming the return of the sun, such as Imbolc, Ostara, and Beltane. The long stems can be woven into wreaths. Use in love, tranquillity, and money spells. It is also burned in divinatory and healing incense. It is considered to increase psychic awareness, but it is rarely used alone. Some people mix coltsfoot with other "psychic herbs" — such as acacia, althaea, angelica, anise seed, bay, bearberry, camphor, celery seed, dandelion, dittany of Crete, flax seed, mint, mugwort, poppy, purslane, or star anise — and burn the mix on charcoal when seeking communion with spirits or drawing in prophetic dreams. Others burn it with blessing incense to remove sickness or mental troubles.</t>
        </is>
      </c>
      <c r="P24" t="inlineStr">
        <is>
          <t>Ylang Ylang</t>
        </is>
      </c>
      <c r="Q24" t="inlineStr">
        <is>
          <t>Europe, Asia (Damp riverbanks)</t>
        </is>
      </c>
      <c r="R24" t="inlineStr">
        <is>
          <t>Warning: Contains pyrrolizidine alkaloids which may be harmful to the liver. Do not ingest. For ritual use only.</t>
        </is>
      </c>
      <c r="S24" t="inlineStr">
        <is>
          <t>ANSUZ</t>
        </is>
      </c>
      <c r="T24" t="inlineStr">
        <is>
          <t>A</t>
        </is>
      </c>
      <c r="U24" t="inlineStr">
        <is>
          <t>Divination, Prophetic dreams, Communication, Wisdom, Clairvoyance, Star magick, Truth</t>
        </is>
      </c>
      <c r="V24" t="inlineStr">
        <is>
          <t>Knowledge. Wisdom. Communication. The mouth. A message. Divine power and revelation.</t>
        </is>
      </c>
      <c r="W24" t="inlineStr">
        <is>
          <t>Dark Blue</t>
        </is>
      </c>
      <c r="X24" t="inlineStr">
        <is>
          <t>NAUDIZ</t>
        </is>
      </c>
      <c r="Y24" t="inlineStr">
        <is>
          <t>N</t>
        </is>
      </c>
      <c r="Z24" t="inlineStr">
        <is>
          <t>Strength, Perseverance, Inner power, Confidence, Healing, Necessity</t>
        </is>
      </c>
      <c r="AA24" t="inlineStr">
        <is>
          <t>Control your emotions. Do not give in to cravings. Your health is at risk especially from dietary aberrations. Ensure your love is not misplaced. Beware extraordinary demands on your time or generosity.</t>
        </is>
      </c>
      <c r="AB24" t="inlineStr">
        <is>
          <t>Black</t>
        </is>
      </c>
      <c r="AC24" t="inlineStr">
        <is>
          <t>ISA</t>
        </is>
      </c>
      <c r="AD24" t="inlineStr">
        <is>
          <t>I</t>
        </is>
      </c>
      <c r="AE24" t="inlineStr">
        <is>
          <t>Binding spells, Stillness, Stagnation breaking, Freezing (hexes), Protection, Patience</t>
        </is>
      </c>
      <c r="AF24" t="inlineStr">
        <is>
          <t>Ice, cold, freezing. Lack of change. Stagnation. Preservation and binding.</t>
        </is>
      </c>
      <c r="AG24" t="inlineStr">
        <is>
          <t>Black</t>
        </is>
      </c>
      <c r="AH24" t="inlineStr">
        <is>
          <t>PERTH</t>
        </is>
      </c>
      <c r="AI24" t="inlineStr">
        <is>
          <t>P</t>
        </is>
      </c>
      <c r="AJ24" t="inlineStr">
        <is>
          <t>Divination, Mystery, Clairvoyance, Secrets, Star magick, Chance, Hidden knowledge, Truth</t>
        </is>
      </c>
      <c r="AK24" t="inlineStr">
        <is>
          <t>Mystery, chance, secrets, hidden knowledge, disclosure, science.</t>
        </is>
      </c>
      <c r="AL24" t="inlineStr">
        <is>
          <t>Black</t>
        </is>
      </c>
      <c r="AM24" t="inlineStr">
        <is>
          <t>Chrysocolla</t>
        </is>
      </c>
      <c r="AN24"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24" t="inlineStr">
        <is>
          <t>Clarity, Peace, patience, Love, wisdom, Negating dreams, Harmony, Prosperity, growth, hope, intimacy, Divination, tolerance, sleep, creativity, self-awareness.</t>
        </is>
      </c>
      <c r="AP24" t="inlineStr">
        <is>
          <t>Copper flakes</t>
        </is>
      </c>
      <c r="AQ24" t="inlineStr">
        <is>
          <t>Use copper in rituals, Bolstering spells, amulets to promote love, sensuality, friendship, positive relationships of any kind, negotiations, peace.</t>
        </is>
      </c>
      <c r="AR24" t="inlineStr">
        <is>
          <t>Love, Peace, friendships</t>
        </is>
      </c>
      <c r="AS24" t="inlineStr">
        <is>
          <t>Goldstone</t>
        </is>
      </c>
      <c r="AT24"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24" t="inlineStr">
        <is>
          <t>Hope, protection.</t>
        </is>
      </c>
      <c r="AV24" t="inlineStr">
        <is>
          <t>Jade (jadeite)</t>
        </is>
      </c>
      <c r="AW24"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24" t="inlineStr">
        <is>
          <t>Concentration, unconditional love, concentration, Fidelity, Harmony, Healing, justice, Protection, Luck, beauty, energy, stress relief, perspective, wisdom, growth.</t>
        </is>
      </c>
      <c r="AY24" t="inlineStr">
        <is>
          <t>Ylang Ylang</t>
        </is>
      </c>
      <c r="AZ24" t="inlineStr">
        <is>
          <t>SEX MAGIC, Protection, LOVE &amp; PEACE, CLEARING NEGATIVITY</t>
        </is>
      </c>
      <c r="BA24" t="inlineStr">
        <is>
          <t>Peace, ENTHUSIASM, Happiness, UPLIFTMENT</t>
        </is>
      </c>
      <c r="BB24"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24" t="inlineStr">
        <is>
          <t>Thyme</t>
        </is>
      </c>
      <c r="BD24" t="inlineStr">
        <is>
          <t>Healing, Love, Purification, Confidence</t>
        </is>
      </c>
      <c r="BE24" t="inlineStr">
        <is>
          <t>Harmony, STRENGTHENS, SUPP, Amulets/talismans</t>
        </is>
      </c>
      <c r="BF24" t="inlineStr">
        <is>
          <t>In the stories of the knights, Thyme was the herb of bravery. Before a battle, they would wear a sprig of thyme near their hearts, believing the herb would gift them the heart of a lion and ensure their courage never failed when the steel was drawn.</t>
        </is>
      </c>
      <c r="BG24" t="inlineStr">
        <is>
          <t>Vanilla</t>
        </is>
      </c>
      <c r="BH24" t="inlineStr">
        <is>
          <t>MENTAL POWERS, LOVING &amp; LUSTFUL ENERGIES</t>
        </is>
      </c>
      <c r="BI24" t="inlineStr">
        <is>
          <t>SOOTHES NERVES, CALMS, RELAXES</t>
        </is>
      </c>
      <c r="BJ24"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K24" t="inlineStr">
        <is>
          <t>LIBRA, TAURUS</t>
        </is>
      </c>
      <c r="BL24" t="inlineStr">
        <is>
          <t>COLTSFOOT</t>
        </is>
      </c>
      <c r="BM24" s="42" t="inlineStr">
        <is>
          <t>First flower of spring before the season is ready, carrying the promise ahead of the warmth. Love and tranquillity both ride its early energy. Divinatory and healing incenses welcome it. Imbolc, Ostara and Beltane all feel this arrival — the herald of what is coming.</t>
        </is>
      </c>
    </row>
    <row r="25" ht="409.5" customHeight="1" s="56">
      <c r="A25" t="inlineStr">
        <is>
          <t>COMFREY</t>
        </is>
      </c>
      <c r="B25" t="inlineStr">
        <is>
          <t>BONESET</t>
        </is>
      </c>
      <c r="C25" t="inlineStr">
        <is>
          <t>Symphytum officinale</t>
        </is>
      </c>
      <c r="D25" t="inlineStr">
        <is>
          <t>Healing, Travel safety, Money spells, Protection for travellers, Protection against theft, Luggage protection, Faithfulness, Vehicle protection, Casino luck, Borage substitute, Ritual bath, Divination, Concentration, Letting go of relationships, Healing magic, Healing spells, Healing sachets, Healing incenses, Healing mixtures, Healing rituals, Healing incense, Healing vibrations, healing after surgery, Aiding recovery, Aiding the ill, Improving health, Speeding recovery, Good health, health,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Attracting money, Drawing money, INCREASE MONEY, Breaking financial stagnation, Money mixtures, Protecting against poverty, Warding off poverty, Anti-theft, Preventing theft, Fidelity, Loyalty, Promoting fidelity, Ensuring a lover returns love, Spell-breaking, Reversing harmful spells, Breaking spells, Hex breaking, Removing hexes, Removing curses, Removing jinxes, Removing bad luck, Breaking hexes, Returning hexes, hex-breaking, Removing hexes and curses, Removing a jinx, Luck, Good luck, Good luck in family matters, Fortune, WISHES, Wish magick, Carrying wishes, Transmuting wishes,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Cleansing before ritual, Purifying body and mind, Enhancing divination, Divinatory incense, Foretelling the future, Future divination, Scrying, Dowsing, Prophecy,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Focus, Sun God offerings, Solar spells, Breaking habits, Breaking bad habits, Ending negative self-talk, Ending guilt, Release, Renewal, New beginnings, New beginning spells, Fresh starts, Transformation, Change, rebirth, Breakthrough, Awakening, Growth, New ideas, Assisting transformation, Transformation/Evolution</t>
        </is>
      </c>
      <c r="E25" t="inlineStr">
        <is>
          <t>CHIRON, CRONUS, CAPRICORN, AQUARIUS</t>
        </is>
      </c>
      <c r="F25" t="inlineStr">
        <is>
          <t>SATURN</t>
        </is>
      </c>
      <c r="G25" t="inlineStr">
        <is>
          <t>WATER</t>
        </is>
      </c>
      <c r="H25" t="inlineStr">
        <is>
          <t>FEMININE</t>
        </is>
      </c>
      <c r="I25" t="inlineStr">
        <is>
          <t>SATURDAY</t>
        </is>
      </c>
      <c r="J25" t="inlineStr">
        <is>
          <t>THOR</t>
        </is>
      </c>
      <c r="K25" t="inlineStr">
        <is>
          <t>SAMHAIN, YULE</t>
        </is>
      </c>
      <c r="L25" t="inlineStr">
        <is>
          <t>Used for centuries to treat ailments. Recent research suggests it should not be taken internally.</t>
        </is>
      </c>
      <c r="M25" t="inlineStr">
        <is>
          <t>Use comfrey root in sachets for protection while travelling, and to keep your lover faithful while you are gone. Use comfrey in a bath after ritual to relax and cleanse yourself, especially for healing or love spells.</t>
        </is>
      </c>
      <c r="N25" t="inlineStr">
        <is>
          <t>burned in combination with mugwort to aid in divination and concentration, and by itself or in combination for spells associated with letting go of unhealthy relationships.</t>
        </is>
      </c>
      <c r="O25" t="inlineStr">
        <is>
          <t>Good for any magical healing. Worn or carried, it ensures safety during travel. The root is used in money spells. Comfrey is used in protective magic for the traveller and to protect against theft. Try placing a comfrey leaf in your luggage to make sure it is not lost or stolen. Use comfrey root in sachets for protection while travelling, and to keep your lover faithful while you are gone. Also use it in sachets to protect vehicles — hang from your rear-view mirror or hide it under a seat. Wrap your money in a comfrey leaf for several days before going to a casino or poker game; it will help keep your bets coming back to you. Comfrey flowers, especially blue ones, can be substituted in any spell calling for borage. Use comfrey in a bath after ritual to relax and cleanse yourself, especially for healing or love spells. It can be burned in combination with mugwort to aid in divination and concentration, and by itself or in combination for spells associated with letting go of unhealthy relationships.</t>
        </is>
      </c>
      <c r="P25" t="inlineStr">
        <is>
          <t>Honeysuckle</t>
        </is>
      </c>
      <c r="Q25" t="inlineStr">
        <is>
          <t>Southern Africa (Kalahari desert)</t>
        </is>
      </c>
      <c r="R25" t="inlineStr">
        <is>
          <t>Warning: Contains pyrrolizidine alkaloids — toxic to the liver. Do not ingest. External ritual use only.</t>
        </is>
      </c>
      <c r="S25" t="inlineStr">
        <is>
          <t>URUZ</t>
        </is>
      </c>
      <c r="T25" t="inlineStr">
        <is>
          <t>U/OO</t>
        </is>
      </c>
      <c r="U25" t="inlineStr">
        <is>
          <t>Strength, Bolstering spells, Healing, Confidence, Protection, Fertility, Fruitfulness</t>
        </is>
      </c>
      <c r="V25" t="inlineStr">
        <is>
          <t>Terminations, new beginnings. An opportunity disguised as a threat. Mental agility. Physical development, mental and bodily health. Power.</t>
        </is>
      </c>
      <c r="W25" t="inlineStr">
        <is>
          <t>Dark Green</t>
        </is>
      </c>
      <c r="X25" t="inlineStr">
        <is>
          <t>RAIDO</t>
        </is>
      </c>
      <c r="Y25" t="inlineStr">
        <is>
          <t>R</t>
        </is>
      </c>
      <c r="Z25" t="inlineStr">
        <is>
          <t>Journey spells, New beginnings, Movement, Cycles, Luck, Progress, Harmony</t>
        </is>
      </c>
      <c r="AA25" t="inlineStr">
        <is>
          <t>Travel is indicated. New friends or old friends return. Jobs connected with transport or overseas locations.</t>
        </is>
      </c>
      <c r="AB25" t="inlineStr">
        <is>
          <t>Bright Red</t>
        </is>
      </c>
      <c r="AC25" t="inlineStr">
        <is>
          <t>NAUDIZ</t>
        </is>
      </c>
      <c r="AD25" t="inlineStr">
        <is>
          <t>N</t>
        </is>
      </c>
      <c r="AE25" t="inlineStr">
        <is>
          <t>Strength, Perseverance, Inner power, Confidence, Healing, Necessity</t>
        </is>
      </c>
      <c r="AF25" t="inlineStr">
        <is>
          <t>Control your emotions. Do not give in to cravings. Your health is at risk especially from dietary aberrations. Ensure your love is not misplaced. Beware extraordinary demands on your time or generosity.</t>
        </is>
      </c>
      <c r="AG25" t="inlineStr">
        <is>
          <t>Black</t>
        </is>
      </c>
      <c r="AH25" t="inlineStr">
        <is>
          <t>IHWAZ</t>
        </is>
      </c>
      <c r="AI25" t="inlineStr">
        <is>
          <t>Y/I</t>
        </is>
      </c>
      <c r="AJ25" t="inlineStr">
        <is>
          <t>Transf, mation, Protection, Banishing, Healing, Strength, Change, New beginnings</t>
        </is>
      </c>
      <c r="AK25" t="inlineStr">
        <is>
          <t>Transformation, defense, protection, magical power, continuity, endurance.</t>
        </is>
      </c>
      <c r="AL25" t="inlineStr">
        <is>
          <t>Magenta</t>
        </is>
      </c>
      <c r="AM25" t="inlineStr">
        <is>
          <t>Sapphire</t>
        </is>
      </c>
      <c r="AN25" t="inlineStr">
        <is>
          <t>Sapphire is used in magic to increase energy, especially fertility, the power to create. It is a wonderful stone f, lovers, is reputed to bring a peaceful atmosphere to the house it is kept in. Sapphire is an excellent peacemaker that is said to calm anger, allow people to talk freely about their differences, underst, each other’s point of view ~ it is even said that this stone can appease the anger of God.  Keep a Sapphire in your magical area when w, Breaking habits, meditating to bring out your spiritual Fire. The stone is particularly useful f, focussing, directing power. Keep a gem in a charm bag, in your h, when you practise any f, m of divination to increase your ability to see clearly into the future.</t>
        </is>
      </c>
      <c r="AO25" t="inlineStr">
        <is>
          <t>Harmony, overcoming depression, self-discipline, Love, meditation, Peace, Healing, friendship, fertility.</t>
        </is>
      </c>
      <c r="AY25" t="inlineStr">
        <is>
          <t>Honeysuckle</t>
        </is>
      </c>
      <c r="AZ25" t="inlineStr">
        <is>
          <t>INCREASE PSYCHIC ABILITIES, INCREASE MONEY, Protection</t>
        </is>
      </c>
      <c r="BA25" t="inlineStr">
        <is>
          <t>RELAXING, SOOTHING, UPLIFTING, PSYCHIC POWERS</t>
        </is>
      </c>
      <c r="BB25" t="inlineStr">
        <is>
          <t>In the language of the fae, honeysuckle is known as the 'honey of the woods.' It is said that if you place a blossom under your pillow, you will dream of the location of hidden treasures—not just of gold, but of lost loves and forgotten truths.</t>
        </is>
      </c>
      <c r="BC25" t="inlineStr">
        <is>
          <t>Patchouli</t>
        </is>
      </c>
      <c r="BD25" t="inlineStr">
        <is>
          <t>Fertility, Love, Prosperity, RAISE SEXUAL ENERGY</t>
        </is>
      </c>
      <c r="BE25" t="inlineStr">
        <is>
          <t>ASTUTENESS, REASONABLENESS, STIMULATION, Aphrodisiac</t>
        </is>
      </c>
      <c r="BF25"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BG25" t="inlineStr">
        <is>
          <t>Rose</t>
        </is>
      </c>
      <c r="BH25" t="inlineStr">
        <is>
          <t>Peace, Protection, Luck, PROMOTE LOVE &amp; AFFECTION</t>
        </is>
      </c>
      <c r="BI25" t="inlineStr">
        <is>
          <t>BALANCING, STRENGTHENING, Attracting good spirits</t>
        </is>
      </c>
      <c r="BJ25"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K25" t="inlineStr">
        <is>
          <t>CAPRICORN, AQUARIUS</t>
        </is>
      </c>
      <c r="BL25" t="inlineStr">
        <is>
          <t>COMFREY</t>
        </is>
      </c>
      <c r="BM25" s="42" t="inlineStr">
        <is>
          <t>Deep-rooted and reliable, the herb of safe return and faithful hearts. Travel protection held in its leaves, fidelity kept through its roots. Money sachets and traveller's charms find it steadfast. Healing rituals deepen in its presence. Endurance in any working that asks for it.</t>
        </is>
      </c>
    </row>
    <row r="26" ht="403.5" customHeight="1" s="56">
      <c r="A26" t="inlineStr">
        <is>
          <t>COMFREY ROOT</t>
        </is>
      </c>
      <c r="B26" t="inlineStr">
        <is>
          <t>BRUISEWORT</t>
        </is>
      </c>
      <c r="C26" t="inlineStr">
        <is>
          <t>Symphytum officinale</t>
        </is>
      </c>
      <c r="D26" t="inlineStr">
        <is>
          <t>Protection during travel, money spells, and healing rituals. Carry the root when travelling to ensure safe return. Place in luggage to prevent theft. Used in prosperity spells — the root is said to draw money steadily and reliably. Add to healing sachets for persistent, strengthening healing energy.</t>
        </is>
      </c>
      <c r="E26" t="inlineStr">
        <is>
          <t>CHIRON, CRONUS, CAPRICORN, AQUARIUS</t>
        </is>
      </c>
      <c r="F26" t="inlineStr">
        <is>
          <t>SATURN</t>
        </is>
      </c>
      <c r="G26" t="inlineStr">
        <is>
          <t>WATER</t>
        </is>
      </c>
      <c r="H26" t="inlineStr">
        <is>
          <t>FEMININE</t>
        </is>
      </c>
      <c r="I26" t="inlineStr">
        <is>
          <t>SATURDAY</t>
        </is>
      </c>
      <c r="J26" t="inlineStr">
        <is>
          <t>ALL</t>
        </is>
      </c>
      <c r="K26" t="inlineStr">
        <is>
          <t>SAMHAIN, YULE</t>
        </is>
      </c>
      <c r="L26" t="inlineStr">
        <is>
          <t>Comfrey root has been a staple of the herbalist's cabinet for millennia. Its old name Knitbone refers to its use for healing broken bones. In folk magic, the root was placed in the garden to protect the entire property. Travellers carrying comfrey root were said to be invisible to thieves.</t>
        </is>
      </c>
      <c r="M26" t="inlineStr">
        <is>
          <t>Use comfrey root in sachets for protection while travelling, and to keep your lover faithful while you are gone. Use comfrey in a bath after ritual to relax and cleanse yourself, especially for healing or love spells.</t>
        </is>
      </c>
      <c r="N26" t="inlineStr">
        <is>
          <t>burned in combination with mugwort to aid in divination and concentration, and by itself or in combination for spells associated with letting go of unhealthy relationships.</t>
        </is>
      </c>
      <c r="O26" t="inlineStr">
        <is>
          <t>Good for any magical healing. Worn or carried, it ensures safety during travel. The root is used in money spells. Comfrey is used in protective magic for the traveller and to protect against theft. Try placing a comfrey leaf in your luggage to make sure it is not lost or stolen. Use comfrey root in sachets for protection while travelling, and to keep your lover faithful while you are gone. Also use it in sachets to protect vehicles — hang from your rear-view mirror or hide it under a seat. Wrap your money in a comfrey leaf for several days before going to a casino or poker game; it will help keep your bets coming back to you. Comfrey flowers, especially blue ones, can be substituted in any spell calling for borage. Use comfrey in a bath after ritual to relax and cleanse yourself, especially for healing or love spells. It can be burned in combination with mugwort to aid in divination and concentration, and by itself or in combination for spells associated with letting go of unhealthy relationships.</t>
        </is>
      </c>
      <c r="P26" t="inlineStr">
        <is>
          <t>Honeysuckle</t>
        </is>
      </c>
      <c r="Q26" t="inlineStr">
        <is>
          <t>Mediterranean, Western Asia (Cultivated)</t>
        </is>
      </c>
      <c r="R26" t="inlineStr">
        <is>
          <t>Warning: Contains pyrrolizidine alkaloids — toxic to the liver. Do not ingest. External ritual use only.</t>
        </is>
      </c>
      <c r="AM26" t="inlineStr">
        <is>
          <t>Sapphire</t>
        </is>
      </c>
      <c r="AN26" t="inlineStr">
        <is>
          <t>Sapphire is used in magic to increase energy, especially fertility, the power to create. It is a wonderful stone f, lovers, is reputed to bring a peaceful atmosphere to the house it is kept in. Sapphire is an excellent peacemaker that is said to calm anger, allow people to talk freely about their differences, underst, each other’s point of view ~ it is even said that this stone can appease the anger of God.  Keep a Sapphire in your magical area when w, Breaking habits, meditating to bring out your spiritual Fire. The stone is particularly useful f, focussing, directing power. Keep a gem in a charm bag, in your h, when you practise any f, m of divination to increase your ability to see clearly into the future.</t>
        </is>
      </c>
      <c r="AO26" t="inlineStr">
        <is>
          <t>Harmony, overcoming depression, self-discipline, Love, meditation, Peace, Healing, friendship, fertility.</t>
        </is>
      </c>
      <c r="AY26" t="inlineStr">
        <is>
          <t>Honeysuckle</t>
        </is>
      </c>
      <c r="AZ26" t="inlineStr">
        <is>
          <t>INCREASE PSYCHIC ABILITIES, INCREASE MONEY, Protection</t>
        </is>
      </c>
      <c r="BA26" t="inlineStr">
        <is>
          <t>RELAXING, SOOTHING, UPLIFTING, PSYCHIC POWERS</t>
        </is>
      </c>
      <c r="BB26" t="inlineStr">
        <is>
          <t>In the language of the fae, honeysuckle is known as the 'honey of the woods.' It is said that if you place a blossom under your pillow, you will dream of the location of hidden treasures—not just of gold, but of lost loves and forgotten truths.</t>
        </is>
      </c>
      <c r="BC26" t="inlineStr">
        <is>
          <t>Patchouli</t>
        </is>
      </c>
      <c r="BD26" t="inlineStr">
        <is>
          <t>Fertility, Love, Prosperity, RAISE SEXUAL ENERGY</t>
        </is>
      </c>
      <c r="BE26" t="inlineStr">
        <is>
          <t>ASTUTENESS, REASONABLENESS, STIMULATION, Aphrodisiac</t>
        </is>
      </c>
      <c r="BF26"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BG26" t="inlineStr">
        <is>
          <t>Rose</t>
        </is>
      </c>
      <c r="BH26" t="inlineStr">
        <is>
          <t>Peace, Protection, Luck, PROMOTE LOVE &amp; AFFECTION</t>
        </is>
      </c>
      <c r="BI26" t="inlineStr">
        <is>
          <t>BALANCING, STRENGTHENING, Attracting good spirits</t>
        </is>
      </c>
      <c r="BJ26"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K26" t="inlineStr">
        <is>
          <t>CAPRICORN, AQUARIUS</t>
        </is>
      </c>
      <c r="BL26" t="inlineStr">
        <is>
          <t>COMFREY ROOT</t>
        </is>
      </c>
      <c r="BM26" s="42" t="inlineStr">
        <is>
          <t>The root that goes deeper than the frost, enduring what the stem cannot. Travellers kept safe, lovers kept faithful. Healing rituals and money spells both find it willing. Where the working asks for staying power, this root provides it.</t>
        </is>
      </c>
    </row>
    <row r="27" ht="403.5" customHeight="1" s="56">
      <c r="A27" t="inlineStr">
        <is>
          <t>DEVILS CLAW ROOT</t>
        </is>
      </c>
      <c r="B27" t="inlineStr">
        <is>
          <t>SEMEN OF HERMES</t>
        </is>
      </c>
      <c r="C27" t="inlineStr">
        <is>
          <t>Harpagophytum procumbens</t>
        </is>
      </c>
      <c r="D27" t="inlineStr">
        <is>
          <t>Exorcism, Purification, Cleansing the home, Casting circles, Removing residual energies, Protection, Amulets/talismans, Protective charms, Banishing, Banishing negative energies, Banishing smudge, Banishing pesky spirits, Banishing unwanted energies, Casting away evil spirits, Repelling negativity, Driving away negativity, Removing negative spirits, Removing negative energy, Clearing negativity, Removing negativity, Keeping away negative forces, Exorcisms, Exorcism herb scattering, Exorcising demons, Exorcising evil ghosts, Exorcising evil entities, EXC, Cleansing, Cleansing the aura, Cleansing baths, Cleansing tools,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 Talismans, Protective sachets, Charm bags, Mojo bags, Sachets, Protective charm, Protective wreaths, Protective incense, PROTECT AGAINST NEGATIVITY, Protection from negativity, Circle protection</t>
        </is>
      </c>
      <c r="E27" t="inlineStr">
        <is>
          <t>Isis,Athena, Shiva</t>
        </is>
      </c>
      <c r="F27" t="inlineStr">
        <is>
          <t>Mars</t>
        </is>
      </c>
      <c r="G27" t="inlineStr">
        <is>
          <t>Fire</t>
        </is>
      </c>
      <c r="H27" t="inlineStr">
        <is>
          <t>MASCULINE</t>
        </is>
      </c>
      <c r="I27" t="inlineStr">
        <is>
          <t>Tuesday</t>
        </is>
      </c>
      <c r="J27" t="inlineStr">
        <is>
          <t>ISIS, SHIVA</t>
        </is>
      </c>
      <c r="K27" t="inlineStr">
        <is>
          <t>BELTANE, SAMHAIN</t>
        </is>
      </c>
      <c r="L27" t="inlineStr">
        <is>
          <t>Associated with exorcism. Traditional medicine plant of the San people.</t>
        </is>
      </c>
      <c r="M27" t="inlineStr">
        <is>
          <t>A powerful exorcism and purification herb; it is burned on charcoal to cleanse your house of negativity, or when casting a magic circle to clear any residual negative energy and create pure space for your magical work.</t>
        </is>
      </c>
      <c r="N27" t="inlineStr">
        <is>
          <t>burned on charcoal to cleanse your house of negativity, or when casting a magic circle to clear any residual negative energy and create pure space for your magical work.</t>
        </is>
      </c>
      <c r="O27" t="inlineStr">
        <is>
          <t>A powerful exorcism and purification herb; it is burned on charcoal to cleanse your house of negativity, or when casting a magic circle to clear any residual negative energy and create pure space for your magical work. This is a great herb to burn when moving into a new home to remove the residual energies of previous tenants. It has powerful protective qualities and, as an amulet placed near doorways, may protect against unwanted intruders. The seed pods of Devil's Claw, named for their threatening shape, make excellent protective charms.</t>
        </is>
      </c>
      <c r="P27" t="inlineStr">
        <is>
          <t>Pine</t>
        </is>
      </c>
      <c r="Q27" t="inlineStr">
        <is>
          <t>Canary Islands (Rocky slopes)</t>
        </is>
      </c>
      <c r="R27" t="inlineStr">
        <is>
          <t>Warning: Avoid during pregnancy. May interact with blood thinners and heart medications.</t>
        </is>
      </c>
      <c r="AM27" t="inlineStr">
        <is>
          <t>Bloodstone</t>
        </is>
      </c>
      <c r="AN27"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O27" t="inlineStr">
        <is>
          <t>Healing, Prosperity, Confidence, physical strength, stress relief, help in business, legal matters, revitalization, guidance, rain, ganization.</t>
        </is>
      </c>
      <c r="AP27" t="inlineStr">
        <is>
          <t>Garnet</t>
        </is>
      </c>
      <c r="AQ27"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R27" t="inlineStr">
        <is>
          <t>Healing, cheery disposition, Confidence, Love, business success, past life regression, consistency of love &amp; friendship, travel protection, Happiness, Peace, Harmony, patience, inspiration, persistence, wisdom, fertility.</t>
        </is>
      </c>
      <c r="AS27" t="inlineStr">
        <is>
          <t>Pyrite (Fool's Gold)</t>
        </is>
      </c>
      <c r="AT27"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AU27" t="inlineStr">
        <is>
          <t>Logic, clarity, mem, Clairvoyance, Prosperity, will power, grounding, Harmony, Strength</t>
        </is>
      </c>
      <c r="AV27" t="inlineStr">
        <is>
          <t>Red Jasper</t>
        </is>
      </c>
      <c r="AW27"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AX27" t="inlineStr">
        <is>
          <t>Beauty, grace, increasing mental processes, Luck, easing pain of childbirth, Anti-theft, ming barrier against dangerous whims &amp; desires.</t>
        </is>
      </c>
      <c r="AY27" t="inlineStr">
        <is>
          <t>Pine</t>
        </is>
      </c>
      <c r="AZ27" t="inlineStr">
        <is>
          <t>PROSPERITY SPELLS, Prosperity</t>
        </is>
      </c>
      <c r="BA27" t="inlineStr">
        <is>
          <t>Harmony, Happiness, Strength</t>
        </is>
      </c>
      <c r="BB27"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27" t="inlineStr">
        <is>
          <t>Ginger</t>
        </is>
      </c>
      <c r="BD27" t="inlineStr">
        <is>
          <t>Prosperity, Healing, Love, Strength</t>
        </is>
      </c>
      <c r="BE27" t="inlineStr">
        <is>
          <t>Confidence, EMPATHY, LIBERATION, OPTIMISM, STRENGTHENS</t>
        </is>
      </c>
      <c r="BF27" t="inlineStr">
        <is>
          <t>It is said that Ginger grew where a drop of liquid sun hit the earth. Because of its fiery taste, it was believed to grant the eater the 'fire of the gut,' helping them digest not just food, but life experiences, turning bitterness into wisdom.</t>
        </is>
      </c>
      <c r="BG27" t="inlineStr">
        <is>
          <t>Cedarwood</t>
        </is>
      </c>
      <c r="BH27" t="inlineStr">
        <is>
          <t>Purification, Protection, RID OF BAD DREAMS, Prosperity</t>
        </is>
      </c>
      <c r="BI27" t="inlineStr">
        <is>
          <t>New beginnings, REGROWTH, CALMING &amp; COMF, Attracting good spirits, STRENGTHENING</t>
        </is>
      </c>
      <c r="BJ27"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L27" t="inlineStr">
        <is>
          <t>DEVILS CLAW ROOT</t>
        </is>
      </c>
      <c r="BM27" s="42" t="inlineStr">
        <is>
          <t>Fierce cleansing energy from arid ground, the plant that scours. Negativity driven from the home, the circle cast cleaner, residual energies dissolved. Exorcism and purification at their most direct — the space made ready for whatever follows.</t>
        </is>
      </c>
    </row>
    <row r="28" ht="409.5" customHeight="1" s="56">
      <c r="A28" t="inlineStr">
        <is>
          <t>DILL</t>
        </is>
      </c>
      <c r="B28" t="inlineStr">
        <is>
          <t>DILLY WEED</t>
        </is>
      </c>
      <c r="C28" t="inlineStr">
        <is>
          <t>Anethum graveolens</t>
        </is>
      </c>
      <c r="D28" t="inlineStr">
        <is>
          <t>Love, Protection, Psychic protection, Blessings, Confidence, Determination, Negating dreams, Fertility, Prosperity, Harmony, Keeping secrets, Peace, Preventing theft, Retention, Rest, Sleep, Tranquillity,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Self-confidence, Courage, Bravery, Will Power, Leadership, Leadership skills, Commanding, Personal power, Nightmare prevention, Preventing nightmares, RID OF BAD DREAMS, Nightmares, Encouraging sound sleep,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Anti-theft, Protection against theft</t>
        </is>
      </c>
      <c r="E28" t="inlineStr">
        <is>
          <t>BRIGID, HERMES, PERSEPHONE, GEMINI</t>
        </is>
      </c>
      <c r="F28" t="inlineStr">
        <is>
          <t>MERCURY</t>
        </is>
      </c>
      <c r="G28" t="inlineStr">
        <is>
          <t>FIRE</t>
        </is>
      </c>
      <c r="H28" t="inlineStr">
        <is>
          <t>MASCULINE</t>
        </is>
      </c>
      <c r="I28" t="inlineStr">
        <is>
          <t>WEDNESDAY</t>
        </is>
      </c>
      <c r="J28" t="inlineStr">
        <is>
          <t>BRIGID, PERSEPHONE</t>
        </is>
      </c>
      <c r="K28" t="inlineStr">
        <is>
          <t>OSTARA, MABON</t>
        </is>
      </c>
      <c r="L28" t="inlineStr">
        <is>
          <t>Should not be used when Mercury is in retrograde. Protection against magic/witches.</t>
        </is>
      </c>
      <c r="M28" t="inlineStr">
        <is>
          <t>Use in love, protection, and psychic protection spells. Good for workings involving blessings, confidence, determination, dreams, fertility, gain, harmony, keeping secrets, money, passion, peace, preventing theft, retention, rest, sleep, and tranquillity.</t>
        </is>
      </c>
      <c r="N28" t="inlineStr">
        <is>
          <t>Psychic protection, Blessings</t>
        </is>
      </c>
      <c r="O28" t="inlineStr">
        <is>
          <t>Use in love, protection, and psychic protection spells. Good for workings involving blessings, confidence, determination, dreams, fertility, gain, harmony, keeping secrets, money, passion, peace, preventing theft, retention, rest, sleep, and tranquillity.</t>
        </is>
      </c>
      <c r="P28" t="inlineStr">
        <is>
          <t>Sandalwood w.i.</t>
        </is>
      </c>
      <c r="Q28" t="inlineStr">
        <is>
          <t>Southeast Asia (Tropical forests)</t>
        </is>
      </c>
      <c r="R28" t="inlineStr">
        <is>
          <t>Generally safe in culinary amounts. Avoid large medicinal doses during pregnancy.</t>
        </is>
      </c>
      <c r="AM28" t="inlineStr">
        <is>
          <t>agate Botswana</t>
        </is>
      </c>
      <c r="AN28" t="inlineStr">
        <is>
          <t>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t>
        </is>
      </c>
      <c r="AO28" t="inlineStr">
        <is>
          <t>Energy of growth, expansion, New beginnings, nourishment, health. It enhances vitality, brings abundance, keeps us growing physically.</t>
        </is>
      </c>
      <c r="AY28" t="inlineStr">
        <is>
          <t>Sandalwood w.i.</t>
        </is>
      </c>
      <c r="AZ28" t="inlineStr">
        <is>
          <t>Protection, EXC, SISM</t>
        </is>
      </c>
      <c r="BA28" t="inlineStr">
        <is>
          <t>SPIRITUALITY, HARMONISING</t>
        </is>
      </c>
      <c r="BB28"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BC28" t="inlineStr">
        <is>
          <t>Marjoram</t>
        </is>
      </c>
      <c r="BD28" t="inlineStr">
        <is>
          <t>Happiness, Healing, Love, Prosperity, Protection</t>
        </is>
      </c>
      <c r="BE28" t="inlineStr">
        <is>
          <t>Harmony, Peace, PERSEVERANCE</t>
        </is>
      </c>
      <c r="BF28"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G28" t="inlineStr">
        <is>
          <t>Clove Bud</t>
        </is>
      </c>
      <c r="BH28" t="inlineStr">
        <is>
          <t>Love, Prosperity, Protection, HELP ATTRACT OPPOSITE SEX, Purification</t>
        </is>
      </c>
      <c r="BI28" t="inlineStr">
        <is>
          <t>INNER WARMTH, INSPIRATION, REGENERATION, MENTAL POWERS</t>
        </is>
      </c>
      <c r="BJ28"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K28" t="inlineStr">
        <is>
          <t>GEMINI</t>
        </is>
      </c>
      <c r="BL28" t="inlineStr">
        <is>
          <t>DILL</t>
        </is>
      </c>
      <c r="BM28" s="42" t="inlineStr">
        <is>
          <t>Feathery and fire-bright, protective without announcing itself. Love and psychic protection carried on the same stem. Confidence and determination strengthened. Nightmares turned away at the threshold. Blessings set and fertility stirred in its quiet company.</t>
        </is>
      </c>
    </row>
    <row r="29" ht="409.5" customHeight="1" s="56">
      <c r="A29" t="inlineStr">
        <is>
          <t>DRAGON'S BLOOD</t>
        </is>
      </c>
      <c r="B29" t="inlineStr">
        <is>
          <t>POWDERED BLOOD</t>
        </is>
      </c>
      <c r="C29" t="inlineStr">
        <is>
          <t>Dracaena draco</t>
        </is>
      </c>
      <c r="D29" t="inlineStr">
        <is>
          <t>Bolstering incense, Increasing spell power, Warding, Cleansing, Offertory incense, Consecration, Warding oil, Anointing, Dragon's blood ink, Talismans, Pacts and seals, Grimoire writing, Magical power, Increasing magical power, Power amplification, Bolstering spells, Strengthening spells, Potency, Power, Magic, WISDOM IN MAGICK, defensive magic,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Purification, Purifying ritual areas, Purifying  Purifying new homes, Purifying new homes, Purifying the home, Self-purification, Purifying ritual spaces, Purification rituals, Sanctifying an area, Dedicating sacred spaces, Creating sacred spaces, Blessing objects, Consecrating altar cloths, Anointing tools, Anointing candles, Anointing altars, Anointing the body, Anointing amulets, Anointing talismans, Anointing baths, Anointing charm bags, Anointing mojo bags, Consecrating incense burners, Amulets/talismans, Amulets, Protective sachets, Charm bags, Mojo bags, Sachets</t>
        </is>
      </c>
      <c r="E29" t="inlineStr">
        <is>
          <t>JUPITER, ZEUS, THOR</t>
        </is>
      </c>
      <c r="F29" t="inlineStr">
        <is>
          <t>JUPITER</t>
        </is>
      </c>
      <c r="G29" t="inlineStr">
        <is>
          <t>FIRE</t>
        </is>
      </c>
      <c r="H29" t="inlineStr">
        <is>
          <t>MASCULINE</t>
        </is>
      </c>
      <c r="I29" t="inlineStr">
        <is>
          <t>THURSDAY</t>
        </is>
      </c>
      <c r="J29" t="inlineStr">
        <is>
          <t>ZEUS, THOR</t>
        </is>
      </c>
      <c r="K29" t="inlineStr">
        <is>
          <t>LAMMAS, MABON</t>
        </is>
      </c>
      <c r="L29" t="inlineStr">
        <is>
          <t>Usage dating back to Ancient Egyptians.</t>
        </is>
      </c>
      <c r="M29" t="inlineStr">
        <is>
          <t>consecration, warding, and anointing.</t>
        </is>
      </c>
      <c r="N29" t="inlineStr">
        <is>
          <t>used for consecration, warding, and anointing.</t>
        </is>
      </c>
      <c r="O29" t="inlineStr">
        <is>
          <t>Dragon's blood is often used as bolstering incense for spell work. It is believed that dragon's blood increases the power and efficiency of a spell when burned during casting. It features strongly in most modern warding and cleansing spells, and is used as offertory incense to various spirits and deities. Dragon's blood oil can be made from the maceration of whole resins in base oil, or from the addition of its distilled essential oil to a choice of base oil, and can be used for consecration, warding, and anointing. It is most often used for the creation of dragon's blood ink — a simple solution of ground resin with an alcohol base and a binder (usually gum arabic) — which is known for its deep red hue and is used chiefly in the creation of talismans, pacts, and seals. It may also be employed as writing ink for grimoires.</t>
        </is>
      </c>
      <c r="P29" t="inlineStr">
        <is>
          <t>Clove Bud</t>
        </is>
      </c>
      <c r="Q29" t="inlineStr">
        <is>
          <t>Europe, North Africa (Thickets, woodlands)</t>
        </is>
      </c>
      <c r="R29" t="inlineStr">
        <is>
          <t>Warning: Children below the age of eight and pregnant women must avoid this herb.</t>
        </is>
      </c>
      <c r="AM29" t="inlineStr">
        <is>
          <t>Ametrine</t>
        </is>
      </c>
      <c r="AN29" t="inlineStr">
        <is>
          <t>Combines mental clarity with strength of will, making it a very powerful stone f, any magic user.</t>
        </is>
      </c>
      <c r="AO29" t="inlineStr">
        <is>
          <t>Astral travel, magickal power, meditation, removing negativity.</t>
        </is>
      </c>
      <c r="AY29" t="inlineStr">
        <is>
          <t>Clove Bud</t>
        </is>
      </c>
      <c r="AZ29" t="inlineStr">
        <is>
          <t>Love, Prosperity, Protection, HELP ATTRACT OPPOSITE SEX, Purification</t>
        </is>
      </c>
      <c r="BA29" t="inlineStr">
        <is>
          <t>INNER WARMTH, INSPIRATION, REGENERATION, MENTAL POWERS</t>
        </is>
      </c>
      <c r="BB29"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C29" t="inlineStr">
        <is>
          <t>Cinnamon</t>
        </is>
      </c>
      <c r="BD29" t="inlineStr">
        <is>
          <t>Love, Prosperity, Protection, HELP ATTRACT OPPOSITE SEX, Purification</t>
        </is>
      </c>
      <c r="BE29" t="inlineStr">
        <is>
          <t>INNER WARMTH, INSPIRATION, REGENERATION, MENTAL POWERS</t>
        </is>
      </c>
      <c r="BF29"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G29" t="inlineStr">
        <is>
          <t>Juniper</t>
        </is>
      </c>
      <c r="BH29" t="inlineStr">
        <is>
          <t>AID MEDITATION, Healing, Love, Protection</t>
        </is>
      </c>
      <c r="BI29" t="inlineStr">
        <is>
          <t>ENLIGHTENMENT, INNER VISION, SINCERITY, UPLIFTING, CENTRING</t>
        </is>
      </c>
      <c r="BJ29"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BL29" t="inlineStr">
        <is>
          <t>DRAGON'S BLOOD</t>
        </is>
      </c>
      <c r="BM29" s="42" t="inlineStr">
        <is>
          <t>Deep resin of ancient trees, red as the earth's own heat. Consecration, warding and anointing held in its darkness. Any incense it joins burns with more intention. Where a working needs intensity and staying power, this is what deepens it.</t>
        </is>
      </c>
    </row>
    <row r="30" ht="409.5" customHeight="1" s="56">
      <c r="A30" t="inlineStr">
        <is>
          <t>DRAGON'S BLOOD RESIN</t>
        </is>
      </c>
      <c r="B30" t="inlineStr">
        <is>
          <t>BLUME</t>
        </is>
      </c>
      <c r="C30" t="inlineStr">
        <is>
          <t>Draemomorops Draco</t>
        </is>
      </c>
      <c r="D30" t="inlineStr">
        <is>
          <t>Power amplification, protection, love, banishing, and potency spells. Add to any magical working to dramatically increase its power. Burn as incense to cleanse and charge the ritual space. Used in love spells to create intense passion. Write wishes on paper and burn with dragon's blood for manifestation. Excellent for purification and banishing rituals., Magical power, Increasing magical power, Increasing spell power, Bolstering spells, Bolstering incense, Strengthening spells, Potency, Power, Magic, WISDOM IN MAGICK, defensive magic</t>
        </is>
      </c>
      <c r="E30" t="inlineStr">
        <is>
          <t>JUPITER, ZEUS, THOR</t>
        </is>
      </c>
      <c r="F30" t="inlineStr">
        <is>
          <t>JUPITER</t>
        </is>
      </c>
      <c r="G30" t="inlineStr">
        <is>
          <t>FIRE</t>
        </is>
      </c>
      <c r="H30" t="inlineStr">
        <is>
          <t>MASCULINE</t>
        </is>
      </c>
      <c r="I30" t="inlineStr">
        <is>
          <t>THURSDAY</t>
        </is>
      </c>
      <c r="J30" t="inlineStr">
        <is>
          <t>ZEUS, THOR</t>
        </is>
      </c>
      <c r="K30" t="inlineStr">
        <is>
          <t>LAMMAS, MABON</t>
        </is>
      </c>
      <c r="L30" t="inlineStr">
        <is>
          <t>Dragon's Blood Resin has been traded along ancient spice routes for over two thousand years. In medieval grimoires it was listed as essential for powerful seals and bindings. The name comes from the deep blood-red colour of the resin. It was believed to be the literal blood of dragons, giving it extraordinary magical potency.</t>
        </is>
      </c>
      <c r="M30" t="inlineStr">
        <is>
          <t>consecration, warding, and anointing.</t>
        </is>
      </c>
      <c r="N30" t="inlineStr">
        <is>
          <t>used for consecration, warding, and anointing.</t>
        </is>
      </c>
      <c r="O30" t="inlineStr">
        <is>
          <t>Dragon's blood resin is often used as bolstering incense for spell work. It is believed that dragon's blood increases the power and efficiency of a spell when burned during casting. It features strongly in most modern warding and cleansing spells, and is used as offertory incense to various spirits and deities. Dragon's blood oil can be made from the maceration of whole resins in base oil, or from the addition of its distilled essential oil to a choice of base oil, and can be used for consecration, warding, and anointing. It is most often used for the creation of dragon's blood ink — a simple solution of ground resin with an alcohol base and a binder (usually gum arabic) — which is known for its deep red hue and is used chiefly in the creation of talismans, pacts, and seals. It may also be employed as writing ink for grimoires.</t>
        </is>
      </c>
      <c r="P30" t="inlineStr">
        <is>
          <t>Clove Bud</t>
        </is>
      </c>
      <c r="Q30" t="inlineStr">
        <is>
          <t>Europe (Grasslands, pastures)</t>
        </is>
      </c>
      <c r="R30" t="inlineStr">
        <is>
          <t>Warning: Children below the age of eight and pregnant women must avoid this herb.</t>
        </is>
      </c>
      <c r="AM30" t="inlineStr">
        <is>
          <t>Ametrine</t>
        </is>
      </c>
      <c r="AN30" t="inlineStr">
        <is>
          <t>Combines mental clarity with strength of will, making it a very powerful stone f, any magic user.</t>
        </is>
      </c>
      <c r="AO30" t="inlineStr">
        <is>
          <t>Astral travel, magickal power, meditation, removing negativity.</t>
        </is>
      </c>
      <c r="AY30" t="inlineStr">
        <is>
          <t>Clove Bud</t>
        </is>
      </c>
      <c r="AZ30" t="inlineStr">
        <is>
          <t>Love, Prosperity, Protection, HELP ATTRACT OPPOSITE SEX, Purification</t>
        </is>
      </c>
      <c r="BA30" t="inlineStr">
        <is>
          <t>INNER WARMTH, INSPIRATION, REGENERATION, MENTAL POWERS</t>
        </is>
      </c>
      <c r="BB30"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C30" t="inlineStr">
        <is>
          <t>Cinnamon</t>
        </is>
      </c>
      <c r="BD30" t="inlineStr">
        <is>
          <t>Love, Prosperity, Protection, HELP ATTRACT OPPOSITE SEX, Purification</t>
        </is>
      </c>
      <c r="BE30" t="inlineStr">
        <is>
          <t>INNER WARMTH, INSPIRATION, REGENERATION, MENTAL POWERS</t>
        </is>
      </c>
      <c r="BF30"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G30" t="inlineStr">
        <is>
          <t>Juniper</t>
        </is>
      </c>
      <c r="BH30" t="inlineStr">
        <is>
          <t>AID MEDITATION, Healing, Love, Protection</t>
        </is>
      </c>
      <c r="BI30" t="inlineStr">
        <is>
          <t>ENLIGHTENMENT, INNER VISION, SINCERITY, UPLIFTING, CENTRING</t>
        </is>
      </c>
      <c r="BJ30"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BL30" t="inlineStr">
        <is>
          <t>DRAGON'S BLOOD RESIN</t>
        </is>
      </c>
      <c r="BM30" s="42" t="inlineStr">
        <is>
          <t>The forest's own amplifier, red and uncompromising. Protection, love and banishing all strengthened dramatically in its presence. Where more is needed — where the working must hold and cannot afford to fade — this is what is added.</t>
        </is>
      </c>
    </row>
    <row r="31" ht="409.5" customHeight="1" s="56">
      <c r="A31" t="inlineStr">
        <is>
          <t>ELDERFLOWER</t>
        </is>
      </c>
      <c r="B31" t="inlineStr">
        <is>
          <t>ELTHORN</t>
        </is>
      </c>
      <c r="C31" t="inlineStr">
        <is>
          <t>Sambucus nigra</t>
        </is>
      </c>
      <c r="D31" t="inlineStr">
        <is>
          <t>Protection from hexes, Protection from ill-intent, Homestead protection, Bad luck warding, Sickness warding, Wand making, Stave making, Spirit-inviting music, Protective incense, Inviting spirits, Circle protection, Summoning protection, Protection (hexes/evil), Psychic protection, Psychic shielding,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Sick-room blessings, Home protection, Household protection, Healing altars, Home blessing, Ensuring joy in the home, Tranquillity in the home, Blessing guests, Blessing domestic animals, Meditation, Contemplation, Concentration, Focus, Sun God offerings, Solar spells, Protection, Protective charm, Protective charms, Protective sachets, Protective wreaths, PROTECT AGAINST NEGATIVITY, Protection from negativity</t>
        </is>
      </c>
      <c r="E31" t="inlineStr">
        <is>
          <t>ZEUS</t>
        </is>
      </c>
      <c r="F31" t="inlineStr">
        <is>
          <t>JUPITER</t>
        </is>
      </c>
      <c r="G31" t="inlineStr">
        <is>
          <t>AIR</t>
        </is>
      </c>
      <c r="H31" t="inlineStr">
        <is>
          <t>FEMININE</t>
        </is>
      </c>
      <c r="I31" t="inlineStr">
        <is>
          <t>THURSDAY</t>
        </is>
      </c>
      <c r="J31" t="inlineStr">
        <is>
          <t>ZEUS</t>
        </is>
      </c>
      <c r="K31" t="inlineStr">
        <is>
          <t>LAMMAS, MABON</t>
        </is>
      </c>
      <c r="L31" t="inlineStr">
        <is>
          <t>Magickal plant. Draught made at Samhain to commune with spirits.</t>
        </is>
      </c>
      <c r="M31" t="inlineStr">
        <is>
          <t>Protection from hexes, Protection from ill-intent, Homestead protection, Bad luck warding, Sickness warding, Wand making, Stave making, Spirit-inviting music, Protective incense, Inviting spirits</t>
        </is>
      </c>
      <c r="N31" t="inlineStr">
        <is>
          <t>incense prior to rituals, or employed to invite departed spirits or familiar spirits to attend during rites.</t>
        </is>
      </c>
      <c r="O31" t="inlineStr">
        <is>
          <t>The twigs, leaves, and root of the elder tree can be used in their dried form as a means of protection against hexes and ill intentions. Planting an elder near one's homestead or property will help keep bad luck, sickness, and evil at bay. The wood of the elder is an excellent material for the creation of wands and staves. Elder wood may also be crafted into flutes or other musical instruments, the music from which is said to be highly inviting to spirits and fair folk. The leaves of elder, when dried and powdered, may be used as protective incense prior to rituals, or employed to invite departed spirits or familiar spirits to attend during rites. Likewise, sprinkling dried elder leaves in the four cardinal directions during raising, or using them to draw a circle, is said to provide impregnable protection against malefic entities.</t>
        </is>
      </c>
      <c r="P31" t="inlineStr">
        <is>
          <t>Honeysuckle</t>
        </is>
      </c>
      <c r="Q31" t="inlineStr">
        <is>
          <t>Mediterranean (Coastal areas)</t>
        </is>
      </c>
      <c r="R31" t="inlineStr">
        <is>
          <t>Warning: Because of the toxic nature of elder, do not ingest unless using commercially prepared products.</t>
        </is>
      </c>
      <c r="AY31" t="inlineStr">
        <is>
          <t>Honeysuckle</t>
        </is>
      </c>
      <c r="AZ31" t="inlineStr">
        <is>
          <t>INCREASE PSYCHIC ABILITIES, INCREASE MONEY, Protection</t>
        </is>
      </c>
      <c r="BA31" t="inlineStr">
        <is>
          <t>RELAXING, SOOTHING, UPLIFTING, PSYCHIC POWERS</t>
        </is>
      </c>
      <c r="BB31" t="inlineStr">
        <is>
          <t>In the language of the fae, honeysuckle is known as the 'honey of the woods.' It is said that if you place a blossom under your pillow, you will dream of the location of hidden treasures—not just of gold, but of lost loves and forgotten truths.</t>
        </is>
      </c>
      <c r="BC31" t="inlineStr">
        <is>
          <t>Clove Bud</t>
        </is>
      </c>
      <c r="BD31" t="inlineStr">
        <is>
          <t>Love, Prosperity, Protection, HELP ATTRACT OPPOSITE SEX, Purification</t>
        </is>
      </c>
      <c r="BE31" t="inlineStr">
        <is>
          <t>INNER WARMTH, INSPIRATION, REGENERATION, MENTAL POWERS</t>
        </is>
      </c>
      <c r="BF31"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G31" t="inlineStr">
        <is>
          <t>Cinnamon</t>
        </is>
      </c>
      <c r="BH31" t="inlineStr">
        <is>
          <t>Love, Prosperity, Protection, HELP ATTRACT OPPOSITE SEX, Purification</t>
        </is>
      </c>
      <c r="BI31" t="inlineStr">
        <is>
          <t>INNER WARMTH, INSPIRATION, REGENERATION, MENTAL POWERS</t>
        </is>
      </c>
      <c r="BJ31"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L31" t="inlineStr">
        <is>
          <t>ELDERFLOWER</t>
        </is>
      </c>
      <c r="BM31" s="42" t="inlineStr">
        <is>
          <t>The Elder Mother's own blossom, given freely and received with gratitude. Hexes and ill-intent turned at the gate. The homestead guarded, sickness warded, the spirit world invited to attend at Samhain. This plant is asked, never commanded — and it repays respect generously.</t>
        </is>
      </c>
    </row>
    <row r="32" ht="409.5" customHeight="1" s="56">
      <c r="A32" t="inlineStr">
        <is>
          <t>EYEBRIGHT</t>
        </is>
      </c>
      <c r="B32" t="inlineStr">
        <is>
          <t>VOMITWORT</t>
        </is>
      </c>
      <c r="C32" t="inlineStr">
        <is>
          <t>Euphrasia officinalis</t>
        </is>
      </c>
      <c r="D32" t="inlineStr">
        <is>
          <t>Prophetic dreams, Seeing the unseen, Clarity, Removing deception, Rising above difficulty, Thanksgiving rituals, Joyous celebrations, Offerings of thanksgiving, Invoking dreams, Dream work, Dreams, Visions, Seeing manifestations, Truth, Honesty, Subconscious work, Digging into the subconscious, Uprooting what is hidden, Scrying, Dowsing, Treasure seeking, Lost object finding, Happiness, Joy, Contentment, Serenity, Ensuring joy in the home, PEACE &amp; HAPPINESS</t>
        </is>
      </c>
      <c r="E32" t="inlineStr">
        <is>
          <t>HELIOS, SOL, LEO</t>
        </is>
      </c>
      <c r="F32" t="inlineStr">
        <is>
          <t>SUN</t>
        </is>
      </c>
      <c r="G32" t="inlineStr">
        <is>
          <t>AIR</t>
        </is>
      </c>
      <c r="H32" t="inlineStr">
        <is>
          <t>MASCULINE</t>
        </is>
      </c>
      <c r="I32" t="inlineStr">
        <is>
          <t>SUNDAY</t>
        </is>
      </c>
      <c r="J32" t="inlineStr">
        <is>
          <t>SOL</t>
        </is>
      </c>
      <c r="K32" t="inlineStr">
        <is>
          <t>LITHA, YULE</t>
        </is>
      </c>
      <c r="L32" t="inlineStr">
        <is>
          <t>Named after Euphrosyne. Associated with the Tower Tarot card.</t>
        </is>
      </c>
      <c r="M32" t="inlineStr">
        <is>
          <t>Prophetic dreams, Seeing the unseen, Clarity, Removing deception, Rising above difficulty, Thanksgiving rituals, Joyous celebrations, Offerings of thanksgiving</t>
        </is>
      </c>
      <c r="N32" t="inlineStr">
        <is>
          <t>Thanksgiving rituals, Offerings of thanksgiving</t>
        </is>
      </c>
      <c r="O32" t="inlineStr">
        <is>
          <t>Place a few drops of infusion of eyebright on your eyelids before sleeping to have prophetic dreams, and during the day to see what is normally unseen. Use in spells to help you — or others — see situations clearly and objectively, to avoid or remove deception and metaphorical cloudiness. Use also in spells to help rise above difficult situations and to see the silver lining on dark clouds. Appropriate for all rituals and celebrations of thanksgiving, and any ritual associated with the Graces or any joyous event, especially one that marks the end of one era and the beginning of another.</t>
        </is>
      </c>
      <c r="P32" t="inlineStr">
        <is>
          <t>Orange Bitter</t>
        </is>
      </c>
      <c r="Q32" t="inlineStr">
        <is>
          <t>Arabian Peninsula, Horn of Africa (Dry areas)</t>
        </is>
      </c>
      <c r="R32" t="inlineStr">
        <is>
          <t>Warning: Do not use in the eyes directly. Internal use should be avoided during pregnancy.</t>
        </is>
      </c>
      <c r="AY32" t="inlineStr">
        <is>
          <t>Orange Bitter</t>
        </is>
      </c>
      <c r="AZ32" t="inlineStr">
        <is>
          <t>Divination, Love, Luck, Prosperity</t>
        </is>
      </c>
      <c r="BA32" t="inlineStr">
        <is>
          <t>CREATIVITY, LIGHTHEARTEDNESS, POSITIVITY, SENSUAL</t>
        </is>
      </c>
      <c r="BB32" t="inlineStr">
        <is>
          <t>It was whispered that the bitter orange was the fruit of the sun’s own garden. Because it grew in the heat, it was believed to hold the fire of the sun, and those who bathed in its essence would find their spirits lightened, as if they were walking in perpetual midday.</t>
        </is>
      </c>
      <c r="BC32" t="inlineStr">
        <is>
          <t>Fir Needle</t>
        </is>
      </c>
      <c r="BD32" t="inlineStr">
        <is>
          <t>Purification, Cleansing, Protection, Healing</t>
        </is>
      </c>
      <c r="BE32" t="inlineStr">
        <is>
          <t>Used in ritual and ceremonial magic for purification, cleansing, protection, healing</t>
        </is>
      </c>
      <c r="BF32" t="inlineStr">
        <is>
          <t>In the deep northern forests, it was said that the fir tree never slept. While other trees lost their leaves, the fir remained green to act as a sentinel. Villagers would hang branches over their doors, believing the tree’s spirit would stand watch and sweep away any restless or wandering spirits that tried to disturb the home.</t>
        </is>
      </c>
      <c r="BG32" t="inlineStr">
        <is>
          <t>Cedarwood</t>
        </is>
      </c>
      <c r="BH32" t="inlineStr">
        <is>
          <t>Purification, Protection, RID OF BAD DREAMS, Prosperity</t>
        </is>
      </c>
      <c r="BI32" t="inlineStr">
        <is>
          <t>New beginnings, REGROWTH, CALMING &amp; COMF, Attracting good spirits, STRENGTHENING</t>
        </is>
      </c>
      <c r="BJ32"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K32" t="inlineStr">
        <is>
          <t>LEO</t>
        </is>
      </c>
      <c r="BL32" t="inlineStr">
        <is>
          <t>EYEBRIGHT</t>
        </is>
      </c>
      <c r="BM32" s="42" t="inlineStr">
        <is>
          <t>Tiny woodland flower, bright as the moment of clarity that changes everything. What is hidden becomes visible. Deception loses its grip. Prophetic dreams arrive more clearly. Thanksgiving rituals and joyous workings both find it luminous. The herb of the honest, open eye.</t>
        </is>
      </c>
    </row>
    <row r="33" ht="409.5" customHeight="1" s="56">
      <c r="A33" t="inlineStr">
        <is>
          <t>FENNEL (SEED)</t>
        </is>
      </c>
      <c r="B33" t="inlineStr">
        <is>
          <t>FENKEL</t>
        </is>
      </c>
      <c r="C33" t="inlineStr">
        <is>
          <t>Foeniculum vulgare</t>
        </is>
      </c>
      <c r="D33" t="inlineStr">
        <is>
          <t>Confidence, Courage, Fertility, Longevity, Love, Protection, Psychic protection, Purification, Strength, Consecration, Divination, Energy, Gain, Meditation, Virility, Summer rituals, Self-confidence, Bravery, Determination, Will Power, Leadership, Leadership skills, Commanding, Personal power, Female fertility, Fertility magic, Fertility charms, Aiding fertility, Increasing fertility, Fruitfulness, male virility, Abundant harvest, Prosperity, Wealth, Wealth/Prosperity, Attracting business, Business dealings, abundance, Financial arrangements, Aiding gain, PROSPERITY SPELLS, Increasing wealth, Money, Money spells, Attracting money, Drawing money, INCREASE MONEY, Breaking financial stagnation, Money mixtures, Protecting against poverty, Warding off poverty, Long life, Immortality, Eternal youth, Rejuvenation, Vigorous old age, Lengthening lifespan, Life,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Protective charm, Protective charms, Protective sachets,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Physical Strength, Fortitude, Vitality, Inner power, and strength, Enhancing divination, Divinatory incense, Foretelling the future, Future divination, Scrying, Dowsing, Prophecy, Beltane, Beltane rituals, Beltane celebrations, Midsummer, Midsummer celebrations, Midsummer magic, Midsummer rites, Midsummer/Litha rituals</t>
        </is>
      </c>
      <c r="E33" t="inlineStr">
        <is>
          <t>Aine</t>
        </is>
      </c>
      <c r="F33" t="inlineStr">
        <is>
          <t>MERCURY</t>
        </is>
      </c>
      <c r="G33" t="inlineStr">
        <is>
          <t>FIRE, AIR</t>
        </is>
      </c>
      <c r="H33" t="inlineStr">
        <is>
          <t>MASCULINE</t>
        </is>
      </c>
      <c r="I33" t="inlineStr">
        <is>
          <t>Wednesday</t>
        </is>
      </c>
      <c r="J33" t="inlineStr">
        <is>
          <t>ALL</t>
        </is>
      </c>
      <c r="K33" t="inlineStr">
        <is>
          <t>OSTARA, MABON</t>
        </is>
      </c>
      <c r="L33" t="inlineStr">
        <is>
          <t>Used by Saxons and Jewish mystics as an asperger and purifying herb.</t>
        </is>
      </c>
      <c r="M33" t="inlineStr">
        <is>
          <t>workings involving confidence, courage, fertility, longevity, love, protection, psychic protection, purification, and strength.</t>
        </is>
      </c>
      <c r="N33" t="inlineStr">
        <is>
          <t>used for consecration, divination, energy, gain, meditation, and virility.</t>
        </is>
      </c>
      <c r="O33" t="inlineStr">
        <is>
          <t>Use for workings involving confidence, courage, fertility, longevity, love, protection, psychic protection, purification, and strength. It can also be used for consecration, divination, energy, gain, meditation, and virility. It is especially suited for use in summer rituals.</t>
        </is>
      </c>
      <c r="P33" t="inlineStr">
        <is>
          <t>Sandalwood w.i.</t>
        </is>
      </c>
      <c r="Q33" t="inlineStr">
        <is>
          <t>East Asia (Warm temperate woodlands)</t>
        </is>
      </c>
      <c r="R33" t="inlineStr">
        <is>
          <t>Generally safe in culinary amounts. Avoid large doses during pregnancy. May cause photosensitivity.</t>
        </is>
      </c>
      <c r="AM33" t="inlineStr">
        <is>
          <t>agate Botswana</t>
        </is>
      </c>
      <c r="AN33" t="inlineStr">
        <is>
          <t>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t>
        </is>
      </c>
      <c r="AO33" t="inlineStr">
        <is>
          <t>Energy of growth, expansion, New beginnings, nourishment, health. It enhances vitality, brings abundance, keeps us growing physically.</t>
        </is>
      </c>
      <c r="AP33" t="inlineStr">
        <is>
          <t>Aventurine</t>
        </is>
      </c>
      <c r="AQ33"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R33" t="inlineStr">
        <is>
          <t>Creativity, motivation, inner peace, business success, intellect, perception, soothing emotions, heartache, clarity, imagination, independence, Happiness, sexuality, Strength, Prosperity, romance.</t>
        </is>
      </c>
      <c r="AY33" t="inlineStr">
        <is>
          <t>Sandalwood w.i.</t>
        </is>
      </c>
      <c r="AZ33" t="inlineStr">
        <is>
          <t>Protection, EXC, SISM</t>
        </is>
      </c>
      <c r="BA33" t="inlineStr">
        <is>
          <t>SPIRITUALITY, HARMONISING</t>
        </is>
      </c>
      <c r="BB33"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BC33" t="inlineStr">
        <is>
          <t>Marjoram</t>
        </is>
      </c>
      <c r="BD33" t="inlineStr">
        <is>
          <t>Happiness, Healing, Love, Prosperity, Protection</t>
        </is>
      </c>
      <c r="BE33" t="inlineStr">
        <is>
          <t>Harmony, Peace, PERSEVERANCE</t>
        </is>
      </c>
      <c r="BF33"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G33" t="inlineStr">
        <is>
          <t>Bergamot</t>
        </is>
      </c>
      <c r="BH33" t="inlineStr">
        <is>
          <t>PROSPERITY SPELLS, Prosperity</t>
        </is>
      </c>
      <c r="BI33" t="inlineStr">
        <is>
          <t>Harmony, Happiness, Strength</t>
        </is>
      </c>
      <c r="BJ33" t="inlineStr">
        <is>
          <t>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t>
        </is>
      </c>
      <c r="BL33" t="inlineStr">
        <is>
          <t>FENNEL (SEED)</t>
        </is>
      </c>
      <c r="BM33" s="42" t="inlineStr">
        <is>
          <t>Golden umbel of courage and fire, the herb that holds steady under pressure. Confidence and strength run through it, longevity promised in its deep roots. Love, protection and psychic shielding strengthened. Consecration and divination both find it willing.</t>
        </is>
      </c>
    </row>
    <row r="34" ht="409.5" customHeight="1" s="56">
      <c r="A34" t="inlineStr">
        <is>
          <t>FRANKINCENSE</t>
        </is>
      </c>
      <c r="B34" t="inlineStr">
        <is>
          <t>OLIBANUM</t>
        </is>
      </c>
      <c r="C34" t="inlineStr">
        <is>
          <t>Boswellia carterii</t>
        </is>
      </c>
      <c r="D34" t="inlineStr">
        <is>
          <t>Offerings to Sun Gods, Fumigation, Removing negativity, Exorcism, Incense blends, Smudging, Raising energy, Ritual offerings,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Banishing negative energies, Banishing smudge, Banishing pesky spirits, Banishing unwanted energies, Casting away evil spirits, Repelling negativity, Driving away negativity, Removing negative spirits, Removing residual energies, Removing negative energy, Clearing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34" t="inlineStr">
        <is>
          <t>APHRODITE, VENUS, SOL</t>
        </is>
      </c>
      <c r="F34" t="inlineStr">
        <is>
          <t>SUN</t>
        </is>
      </c>
      <c r="G34" t="inlineStr">
        <is>
          <t>FIRE</t>
        </is>
      </c>
      <c r="H34" t="inlineStr">
        <is>
          <t>MASCULINE</t>
        </is>
      </c>
      <c r="I34" t="inlineStr">
        <is>
          <t>SUNDAY</t>
        </is>
      </c>
      <c r="J34" t="inlineStr">
        <is>
          <t>APHRODITE, SOL</t>
        </is>
      </c>
      <c r="K34" t="inlineStr">
        <is>
          <t>LITHA, YULE</t>
        </is>
      </c>
      <c r="L34" t="inlineStr">
        <is>
          <t>Believed to be useful in attracting faeries or elves.</t>
        </is>
      </c>
      <c r="M34" t="inlineStr">
        <is>
          <t>fumigating sacred space in preparation for any ritual, as it burns away negativity and raises the energy of the space; it is also used for exorcism.</t>
        </is>
      </c>
      <c r="N34" t="inlineStr">
        <is>
          <t>Burning frankincense is a suitable offering to any sun god.</t>
        </is>
      </c>
      <c r="O34" t="inlineStr">
        <is>
          <t>Burning frankincense is a suitable offering to any sun god. Frankincense resin is useful for fumigating sacred space in preparation for any ritual, as it burns away negativity and raises the energy of the space; it is also used for exorcism. Frankincense resin can be burned over hot coals in a brazier — it is often crushed and mixed with other resins, particularly myrrh. Adding frankincense to any incense blend will increase the action of the other woods, herbs, and resins in the blend. To use frankincense as a smudge: once the brazier is smoking nicely, use a feather, a fan, or your hand to direct the smoke around the space, person, or object you wish to fumigate. Be careful not to inhale too much smoke, as frankincense smoke has a slightly psychoactive effect. As an offering, frankincense can be burned in a brazier over charcoals or placed directly into the ritual fire after it has been blessed and dedicated.</t>
        </is>
      </c>
      <c r="P34" t="inlineStr">
        <is>
          <t>Frankincense</t>
        </is>
      </c>
      <c r="Q34" t="inlineStr">
        <is>
          <t>Central Asia (Cultivated globally)</t>
        </is>
      </c>
      <c r="R34" t="inlineStr">
        <is>
          <t>Warning: Do not ingest.</t>
        </is>
      </c>
      <c r="AM34" t="inlineStr">
        <is>
          <t>Ametrine</t>
        </is>
      </c>
      <c r="AN34" t="inlineStr">
        <is>
          <t>Combines mental clarity with strength of will, making it a very powerful stone f, any magic user.</t>
        </is>
      </c>
      <c r="AO34" t="inlineStr">
        <is>
          <t>Astral travel, magickal power, meditation, removing negativity.</t>
        </is>
      </c>
      <c r="AP34" t="inlineStr">
        <is>
          <t>Carnelian</t>
        </is>
      </c>
      <c r="AQ34"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34" t="inlineStr">
        <is>
          <t>Happiness, Protection, energy, easing depression, promoting self-confidence, Peace, concentration, focus, Attraction, sexuality, Love, Healing, courage.</t>
        </is>
      </c>
      <c r="AS34" t="inlineStr">
        <is>
          <t>Citrine</t>
        </is>
      </c>
      <c r="AT34"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34"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34" t="inlineStr">
        <is>
          <t>Quartz Clear</t>
        </is>
      </c>
      <c r="AW34"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34" t="inlineStr">
        <is>
          <t>Protection, Healing, psychism, Strength, lactation</t>
        </is>
      </c>
      <c r="AY34" t="inlineStr">
        <is>
          <t>Frankincense</t>
        </is>
      </c>
      <c r="AZ34" t="inlineStr">
        <is>
          <t>Luck, Protection, SPIRITUALITY, PROTECT AGAINST NEGATIVITY, EXC, Exorcism</t>
        </is>
      </c>
      <c r="BA34" t="inlineStr">
        <is>
          <t>ENLIGHTENMENT, INSPIRATION, INTROSPECTION, AIDS MEDITATION</t>
        </is>
      </c>
      <c r="BB34"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C34" t="inlineStr">
        <is>
          <t>Cedarwood</t>
        </is>
      </c>
      <c r="BD34" t="inlineStr">
        <is>
          <t>Purification, Protection, RID OF BAD DREAMS, Prosperity</t>
        </is>
      </c>
      <c r="BE34" t="inlineStr">
        <is>
          <t>New beginnings, REGROWTH, CALMING &amp; COMF, Attracting good spirits, STRENGTHENING</t>
        </is>
      </c>
      <c r="BF34"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34" t="inlineStr">
        <is>
          <t>Tea Tree</t>
        </is>
      </c>
      <c r="BH34" t="inlineStr">
        <is>
          <t>Strength</t>
        </is>
      </c>
      <c r="BI34" t="inlineStr">
        <is>
          <t>MEDICINAL</t>
        </is>
      </c>
      <c r="BJ34"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L34" t="inlineStr">
        <is>
          <t>FRANKINCENSE</t>
        </is>
      </c>
      <c r="BM34" s="42" t="inlineStr">
        <is>
          <t>The wounded tree's golden tears hardened in desert heat. Its smoke rises before anything else is lit — purifying, protecting, lifting the space toward the sacred. Drives out what should not be present. Where the divine needs inviting in, this burns first.</t>
        </is>
      </c>
    </row>
    <row r="35" ht="409.5" customHeight="1" s="56">
      <c r="A35" t="inlineStr">
        <is>
          <t>GARDENIA FRUIT</t>
        </is>
      </c>
      <c r="B35" t="inlineStr">
        <is>
          <t>FOLK’S GLOVE</t>
        </is>
      </c>
      <c r="C35" t="inlineStr">
        <is>
          <t>Gardenia jasminoides</t>
        </is>
      </c>
      <c r="D35" t="inlineStr">
        <is>
          <t>Attracting good spirits, Peaceful vibrations, Healing altars, Sick-room blessings,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Calming stress, Calming household upheaval, FRIENDSHIP, House blessing, Blessing the home, Homestead protection, Home protection, Household protection, Home blessing, Ensuring joy in the home, Tranquillity in the home, Blessing guests, Blessing domestic animals, Meditation, Contemplation, Concentration, Focus, Sun God offerings, Solar spells</t>
        </is>
      </c>
      <c r="E35" t="inlineStr">
        <is>
          <t>HESTIA,LUNA, CANCER, SCORPIO</t>
        </is>
      </c>
      <c r="F35" t="inlineStr">
        <is>
          <t>MOON</t>
        </is>
      </c>
      <c r="G35" t="inlineStr">
        <is>
          <t>WATER</t>
        </is>
      </c>
      <c r="H35" t="inlineStr">
        <is>
          <t>FEMININE</t>
        </is>
      </c>
      <c r="I35" t="inlineStr">
        <is>
          <t>MONDAY</t>
        </is>
      </c>
      <c r="J35" t="inlineStr">
        <is>
          <t>LUNA</t>
        </is>
      </c>
      <c r="K35" t="inlineStr">
        <is>
          <t>IMBOLC, SAMHAIN</t>
        </is>
      </c>
      <c r="L35" t="inlineStr">
        <is>
          <t>Said to increase appetite and relieve pain of bronchitis.</t>
        </is>
      </c>
      <c r="M35" t="inlineStr">
        <is>
          <t>Attracting good spirits, Peaceful vibrations, Healing altars, Sick-room blessings</t>
        </is>
      </c>
      <c r="N35" t="inlineStr">
        <is>
          <t>altars to aid the healing process.</t>
        </is>
      </c>
      <c r="O35" t="inlineStr">
        <is>
          <t>Used to attract good spirits and to induce peaceful vibrations during rituals. Place fresh blossoms in sick rooms or on healing altars to aid the healing process.</t>
        </is>
      </c>
      <c r="P35" t="inlineStr">
        <is>
          <t>Melissa</t>
        </is>
      </c>
      <c r="Q35" t="inlineStr">
        <is>
          <t>Southeast Asia (Tropical forests)</t>
        </is>
      </c>
      <c r="R35" t="inlineStr">
        <is>
          <t>Generally safe for external and ritual use. The plant may cause mild skin irritation.</t>
        </is>
      </c>
      <c r="AM35" t="inlineStr">
        <is>
          <t>Aquamarine</t>
        </is>
      </c>
      <c r="AN35"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35" t="inlineStr">
        <is>
          <t>Psychism, Peace, Confidence, Purification</t>
        </is>
      </c>
      <c r="AP35" t="inlineStr">
        <is>
          <t>Calcite</t>
        </is>
      </c>
      <c r="AQ35"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35" t="inlineStr">
        <is>
          <t>Luck, Prosperity, problem resolution, gambling, Healing, creativity, business success, attracting love.</t>
        </is>
      </c>
      <c r="AS35" t="inlineStr">
        <is>
          <t>Quartz Clear</t>
        </is>
      </c>
      <c r="AT35"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35" t="inlineStr">
        <is>
          <t>Protection, Healing, psychism, Strength, lactation</t>
        </is>
      </c>
      <c r="AV35" t="inlineStr">
        <is>
          <t>Moonstone</t>
        </is>
      </c>
      <c r="AW35"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35"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35" t="inlineStr">
        <is>
          <t>Melissa</t>
        </is>
      </c>
      <c r="AZ35" t="inlineStr">
        <is>
          <t>Love, Healing, Prosperity</t>
        </is>
      </c>
      <c r="BA35" t="inlineStr">
        <is>
          <t>GENTLENESS, Peace, PROGRESSIVENESS</t>
        </is>
      </c>
      <c r="BB35" t="inlineStr">
        <is>
          <t>Called the 'Bee’s Delight,' it is said that if you hold a leaf of Melissa in your hand, bees will not sting you. The plant was gifted to humans by the bees themselves, who wanted to share the secret of their own contentment and the sweet hum of life.</t>
        </is>
      </c>
      <c r="BC35" t="inlineStr">
        <is>
          <t>Honeysuckle</t>
        </is>
      </c>
      <c r="BD35" t="inlineStr">
        <is>
          <t>INCREASE PSYCHIC ABILITIES, INCREASE MONEY, Protection</t>
        </is>
      </c>
      <c r="BE35" t="inlineStr">
        <is>
          <t>RELAXING, SOOTHING, UPLIFTING, PSYCHIC POWERS</t>
        </is>
      </c>
      <c r="BF35" t="inlineStr">
        <is>
          <t>In the language of the fae, honeysuckle is known as the 'honey of the woods.' It is said that if you place a blossom under your pillow, you will dream of the location of hidden treasures—not just of gold, but of lost loves and forgotten truths.</t>
        </is>
      </c>
      <c r="BG35" t="inlineStr">
        <is>
          <t>Rose</t>
        </is>
      </c>
      <c r="BH35" t="inlineStr">
        <is>
          <t>Peace, Protection, Luck, PROMOTE LOVE &amp; AFFECTION</t>
        </is>
      </c>
      <c r="BI35" t="inlineStr">
        <is>
          <t>BALANCING, STRENGTHENING, Attracting good spirits</t>
        </is>
      </c>
      <c r="BJ35"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K35" t="inlineStr">
        <is>
          <t>CANCER, SCORPIO</t>
        </is>
      </c>
      <c r="BL35" t="inlineStr">
        <is>
          <t>GARDENIA FRUIT</t>
        </is>
      </c>
      <c r="BM35" s="42" t="inlineStr">
        <is>
          <t>Water-soft and spirit-welcoming, the flower of benevolent presences. Good spirits drawn in on its sweetness. Healing altars breathe more openly with it placed there. Love and peaceful vibrations settle in its company. Where calm and gentle attendance are what is needed.</t>
        </is>
      </c>
    </row>
    <row r="36" ht="409.5" customHeight="1" s="56">
      <c r="A36" t="inlineStr">
        <is>
          <t>GARLIC POWDER</t>
        </is>
      </c>
      <c r="B36" t="inlineStr">
        <is>
          <t>STINK WEED</t>
        </is>
      </c>
      <c r="C36" t="inlineStr">
        <is>
          <t>Allium sativum</t>
        </is>
      </c>
      <c r="D36" t="inlineStr">
        <is>
          <t>Exorcism, Magic, Passion, Protection, Spell-breaking, Strength, Clairvoyance, Success, Commanding, Confidence, Consecration, Courage, Divination, Healing, Longevity, Money, Overcoming opposition, Purification, Preventing nightmares, Stopping gossip, Fair weather,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Magical power, Increasing magical power, Increasing spell power, Power amplification, Bolstering spells, Bolstering incense, Strengthening spells, Potency, Power, WISDOM IN MAGICK, defensive magic, Desire, Protective charm, Protective charms, Protective sachets, Protective wreaths, Protective incense, PROTECT AGAINST NEGATIVITY, Protection from negativity, Circle protection, Reversing harmful spells, Breaking spells, Hex breaking, Removing hexes, Removing curses, Removing jinxes, Removing bad luck, Breaking hexes, Returning hexes, hex-breaking, Removing hexes and curses, Removing a jinx, Luck, Good luck, Good luck in family matters, Fortune, Casino luck, WISHES, Wish magick, Carrying wishes, Transmuting wishes, Physical Strength, Fortitude, Vitality, Inner power, and strength, Enhancing clairvoyance, Psychic development, Psychic powers, INCREASE PSYCHIC ABILITIES, Psychic awareness, Stimulating psychic senses, Disabling psychic phenomena, Psychic communication, communication and psychic abilities, Victory, victory in battle, Conquest, Courtroom success, Legal matters, Justice, Self-confidence, Bravery, Determination, Will Power, Leadership, Leadership skills, Personal power,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Enhancing divination, Divinatory incense, Foretelling the future, Future divination, Scrying, Dowsing, Prophecy, Healing magic, Healing spells, Healing sachets, Healing incenses, Healing mixtures, Healing rituals, Healing incense, Healing vibrations, healing after surgery, Aiding recovery, Aiding the ill, Improving health, Speeding recovery, Good health, health, Long life, Immortality, Eternal youth, Rejuvenation, Vigorous old age, Lengthening lifespan, Life,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Nightmare prevention, Negating dreams, RID OF BAD DREAMS, Nightmares, Sleep, Rest, Encouraging sound sleep, Relaxation, Serenity, Calm</t>
        </is>
      </c>
      <c r="E36" t="inlineStr">
        <is>
          <t>HECATE, MARS, ARIES, SCORPIO, ARES</t>
        </is>
      </c>
      <c r="F36" t="inlineStr">
        <is>
          <t>MARS</t>
        </is>
      </c>
      <c r="G36" t="inlineStr">
        <is>
          <t>FIRE</t>
        </is>
      </c>
      <c r="H36" t="inlineStr">
        <is>
          <t>MASCULINE</t>
        </is>
      </c>
      <c r="I36" t="inlineStr">
        <is>
          <t>TUESDAY</t>
        </is>
      </c>
      <c r="J36" t="inlineStr">
        <is>
          <t>HECATE, ARES</t>
        </is>
      </c>
      <c r="K36" t="inlineStr">
        <is>
          <t>BELTANE, SAMHAIN</t>
        </is>
      </c>
      <c r="L36" t="inlineStr">
        <is>
          <t>Attributed to Hecate. Protects against vampires.</t>
        </is>
      </c>
      <c r="M36" t="inlineStr">
        <is>
          <t>exorcism, magic, passion, protection, spell-breaking, and strength.</t>
        </is>
      </c>
      <c r="N36" t="inlineStr">
        <is>
          <t>It can also be used in workings for clairvoyance, success, commanding, confidence, consecration, courage, divination, healing, longevity, money, overcoming opposition, and purification.</t>
        </is>
      </c>
      <c r="O36" t="inlineStr">
        <is>
          <t>Use for exorcism, magic, passion, protection, spell-breaking, and strength. It can also be used in workings for clairvoyance, success, commanding, confidence, consecration, courage, divination, healing, longevity, money, overcoming opposition, and purification. It is said to prevent nightmares, stop gossip, and promote fair weather.</t>
        </is>
      </c>
      <c r="P36" t="inlineStr">
        <is>
          <t>Pine</t>
        </is>
      </c>
      <c r="Q36" t="inlineStr">
        <is>
          <t>North America (Meadows, prairies)</t>
        </is>
      </c>
      <c r="R36" t="inlineStr">
        <is>
          <t>Generally safe. May interact with blood-thinning medications. Avoid large doses before surgery.</t>
        </is>
      </c>
      <c r="AM36" t="inlineStr">
        <is>
          <t>Bloodstone</t>
        </is>
      </c>
      <c r="AN36"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O36" t="inlineStr">
        <is>
          <t>Healing, Prosperity, Confidence, physical strength, stress relief, help in business, legal matters, revitalization, guidance, rain, ganization.</t>
        </is>
      </c>
      <c r="AP36" t="inlineStr">
        <is>
          <t>Garnet</t>
        </is>
      </c>
      <c r="AQ36"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R36" t="inlineStr">
        <is>
          <t>Healing, cheery disposition, Confidence, Love, business success, past life regression, consistency of love &amp; friendship, travel protection, Happiness, Peace, Harmony, patience, inspiration, persistence, wisdom, fertility.</t>
        </is>
      </c>
      <c r="AS36" t="inlineStr">
        <is>
          <t>Pyrite (Fool's Gold)</t>
        </is>
      </c>
      <c r="AT36"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AU36" t="inlineStr">
        <is>
          <t>Logic, clarity, mem, Clairvoyance, Prosperity, will power, grounding, Harmony, Strength</t>
        </is>
      </c>
      <c r="AV36" t="inlineStr">
        <is>
          <t>Red Jasper</t>
        </is>
      </c>
      <c r="AW36"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AX36" t="inlineStr">
        <is>
          <t>Beauty, grace, increasing mental processes, Luck, easing pain of childbirth, Anti-theft, ming barrier against dangerous whims &amp; desires.</t>
        </is>
      </c>
      <c r="AY36" t="inlineStr">
        <is>
          <t>Pine</t>
        </is>
      </c>
      <c r="AZ36" t="inlineStr">
        <is>
          <t>PROSPERITY SPELLS, Prosperity</t>
        </is>
      </c>
      <c r="BA36" t="inlineStr">
        <is>
          <t>Harmony, Happiness, Strength</t>
        </is>
      </c>
      <c r="BB36"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36" t="inlineStr">
        <is>
          <t>Ginger</t>
        </is>
      </c>
      <c r="BD36" t="inlineStr">
        <is>
          <t>Prosperity, Healing, Love, Strength</t>
        </is>
      </c>
      <c r="BE36" t="inlineStr">
        <is>
          <t>Confidence, EMPATHY, LIBERATION, OPTIMISM, STRENGTHENS</t>
        </is>
      </c>
      <c r="BF36" t="inlineStr">
        <is>
          <t>It is said that Ginger grew where a drop of liquid sun hit the earth. Because of its fiery taste, it was believed to grant the eater the 'fire of the gut,' helping them digest not just food, but life experiences, turning bitterness into wisdom.</t>
        </is>
      </c>
      <c r="BG36" t="inlineStr">
        <is>
          <t>Cedarwood</t>
        </is>
      </c>
      <c r="BH36" t="inlineStr">
        <is>
          <t>Purification, Protection, RID OF BAD DREAMS, Prosperity</t>
        </is>
      </c>
      <c r="BI36" t="inlineStr">
        <is>
          <t>New beginnings, REGROWTH, CALMING &amp; COMF, Attracting good spirits, STRENGTHENING</t>
        </is>
      </c>
      <c r="BJ36"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K36" t="inlineStr">
        <is>
          <t>ARIES, SCORPIO</t>
        </is>
      </c>
      <c r="BL36" t="inlineStr">
        <is>
          <t>GARLIC POWDER</t>
        </is>
      </c>
      <c r="BM36" s="42" t="inlineStr">
        <is>
          <t>Fire and pungency, the old fierce protection. Exorcism given strength, spell-breaking made definite. Passion and confidence both carried in its heat. Clairvoyance sharpened. What should not be present finds no foothold where this is placed.</t>
        </is>
      </c>
    </row>
    <row r="37" ht="409.5" customHeight="1" s="56">
      <c r="A37" t="inlineStr">
        <is>
          <t>GINGER ROOT</t>
        </is>
      </c>
      <c r="B37" t="inlineStr">
        <is>
          <t>AFRICAN GINGER</t>
        </is>
      </c>
      <c r="C37" t="inlineStr">
        <is>
          <t>Zingiber officinale</t>
        </is>
      </c>
      <c r="D37" t="inlineStr">
        <is>
          <t>Love, Passion, Psychic protection, Cursing, Health, Psychic development, Sensuality, Success,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Desire,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Clairvoyance, Enhancing clairvoyance, Psychic powers, INCREASE PSYCHIC ABILITIES, Psychic awareness, Stimulating psychic senses, Disabling psychic phenomena, Psychic communication, communication and psychic abilities, Aphrodisiac, Aphrodisiac tea, Lust, Lust/Sex, Passionate love-making, LOVING &amp; LUSTFUL ENERGIES, SEX MAGIC, RAISE SEXUAL ENERGY, Sexual energy, Victory, victory in battle, Conquest, Overcoming opposition, Courtroom success, Legal matters, Justice</t>
        </is>
      </c>
      <c r="E37" t="inlineStr">
        <is>
          <t>ARES, VENUS</t>
        </is>
      </c>
      <c r="F37" t="inlineStr">
        <is>
          <t>MARS, SUN</t>
        </is>
      </c>
      <c r="G37" t="inlineStr">
        <is>
          <t>FIRE</t>
        </is>
      </c>
      <c r="H37" t="inlineStr">
        <is>
          <t>MASCULINE</t>
        </is>
      </c>
      <c r="I37" t="inlineStr">
        <is>
          <t>Sunday</t>
        </is>
      </c>
      <c r="J37" t="inlineStr">
        <is>
          <t>ARES</t>
        </is>
      </c>
      <c r="K37" t="inlineStr">
        <is>
          <t>BELTANE, LITHA</t>
        </is>
      </c>
      <c r="L37" t="inlineStr">
        <is>
          <t>Used as a preservative in the Middle Ages.</t>
        </is>
      </c>
      <c r="M37" t="inlineStr">
        <is>
          <t>Use in spell work for love, passion, psychic protection, cursing, health, psychic development, and sensuality.</t>
        </is>
      </c>
      <c r="N37" t="inlineStr">
        <is>
          <t>Psychic protection, Psychic development</t>
        </is>
      </c>
      <c r="O37" t="inlineStr">
        <is>
          <t>Use in spell work for love, passion, psychic protection, cursing, health, psychic development, and sensuality. It is also used in workings involving success.</t>
        </is>
      </c>
      <c r="P37" t="inlineStr">
        <is>
          <t>Ginger</t>
        </is>
      </c>
      <c r="Q37" t="inlineStr">
        <is>
          <t>North America (Deciduous forests)</t>
        </is>
      </c>
      <c r="R37" t="inlineStr">
        <is>
          <t>Generally safe. Avoid large medicinal doses during early pregnancy. May interact with blood thinners.</t>
        </is>
      </c>
      <c r="AM37" t="inlineStr">
        <is>
          <t>Bloodstone</t>
        </is>
      </c>
      <c r="AN37"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O37" t="inlineStr">
        <is>
          <t>Healing, Prosperity, Confidence, physical strength, stress relief, help in business, legal matters, revitalization, guidance, rain, ganization.</t>
        </is>
      </c>
      <c r="AP37" t="inlineStr">
        <is>
          <t>Carnelian</t>
        </is>
      </c>
      <c r="AQ37"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37" t="inlineStr">
        <is>
          <t>Happiness, Protection, energy, easing depression, promoting self-confidence, Peace, concentration, focus, Attraction, sexuality, Love, Healing, courage.</t>
        </is>
      </c>
      <c r="AS37" t="inlineStr">
        <is>
          <t>Citrine</t>
        </is>
      </c>
      <c r="AT37"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37"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37" t="inlineStr">
        <is>
          <t>Garnet</t>
        </is>
      </c>
      <c r="AW37"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X37" t="inlineStr">
        <is>
          <t>Healing, cheery disposition, Confidence, Love, business success, past life regression, consistency of love &amp; friendship, travel protection, Happiness, Peace, Harmony, patience, inspiration, persistence, wisdom, fertility.</t>
        </is>
      </c>
      <c r="AY37" t="inlineStr">
        <is>
          <t>Ginger</t>
        </is>
      </c>
      <c r="AZ37" t="inlineStr">
        <is>
          <t>Prosperity, Healing, Love, Strength</t>
        </is>
      </c>
      <c r="BA37" t="inlineStr">
        <is>
          <t>Confidence, EMPATHY, LIBERATION, OPTIMISM, STRENGTHENS</t>
        </is>
      </c>
      <c r="BB37" t="inlineStr">
        <is>
          <t>It is said that Ginger grew where a drop of liquid sun hit the earth. Because of its fiery taste, it was believed to grant the eater the 'fire of the gut,' helping them digest not just food, but life experiences, turning bitterness into wisdom.</t>
        </is>
      </c>
      <c r="BC37" t="inlineStr">
        <is>
          <t>Frankincense</t>
        </is>
      </c>
      <c r="BD37" t="inlineStr">
        <is>
          <t>Luck, Protection, SPIRITUALITY, PROTECT AGAINST NEGATIVITY, EXC, Exorcism</t>
        </is>
      </c>
      <c r="BE37" t="inlineStr">
        <is>
          <t>ENLIGHTENMENT, INSPIRATION, INTROSPECTION, AIDS MEDITATION</t>
        </is>
      </c>
      <c r="BF37"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G37" t="inlineStr">
        <is>
          <t>Tea Tree</t>
        </is>
      </c>
      <c r="BH37" t="inlineStr">
        <is>
          <t>Strength</t>
        </is>
      </c>
      <c r="BI37" t="inlineStr">
        <is>
          <t>MEDICINAL</t>
        </is>
      </c>
      <c r="BJ37"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L37" t="inlineStr">
        <is>
          <t>GINGER ROOT</t>
        </is>
      </c>
      <c r="BM37" s="42" t="inlineStr">
        <is>
          <t>Hot root from warm soil, the herb that puts fire where fire is needed. Love, passion and success carried in its heat. Psychic protection and development both sharpened. Sensuality and health brought alive. Where a working needs waking up, this wakes it.</t>
        </is>
      </c>
    </row>
    <row r="38" ht="409.5" customHeight="1" s="56">
      <c r="A38" t="inlineStr">
        <is>
          <t>GOLDENROD</t>
        </is>
      </c>
      <c r="B38" t="inlineStr">
        <is>
          <t>GOLDROD</t>
        </is>
      </c>
      <c r="C38" t="inlineStr">
        <is>
          <t>Solidago canadensis</t>
        </is>
      </c>
      <c r="D38" t="inlineStr">
        <is>
          <t>Love rituals, Finding future love, Love sealing, Prophecy, Divination, Dowsing, Treasure seeking, Lost object finding, Inner attunement, Foretelling the future, Future rituals, Daily sachets, Love,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Attraction, Attracting a mate, Attracting a soulmate, Conjuring a lover, HELP ATTRACT OPPOSITE SEX, Enhancing divination, Divinatory incense, Future divination, Scrying, Prophetic dreams, Invoking dreams, Dream work, Dreams, Visions, Seeing the unseen, Seeing manifestations, Truth, Honesty, Removing deception, Subconscious work, Digging into the subconscious, Uprooting what is hidden</t>
        </is>
      </c>
      <c r="E38" t="inlineStr">
        <is>
          <t>APHRODITE, VENUS, TAURUS, LIBRA</t>
        </is>
      </c>
      <c r="F38" t="inlineStr">
        <is>
          <t>VENUS</t>
        </is>
      </c>
      <c r="G38" t="inlineStr">
        <is>
          <t>AIR</t>
        </is>
      </c>
      <c r="H38" t="inlineStr">
        <is>
          <t>FEMININE</t>
        </is>
      </c>
      <c r="I38" t="inlineStr">
        <is>
          <t>FRIDAY</t>
        </is>
      </c>
      <c r="J38" t="inlineStr">
        <is>
          <t>APHRODITE</t>
        </is>
      </c>
      <c r="K38" t="inlineStr">
        <is>
          <t>OSTARA, BELTANE</t>
        </is>
      </c>
      <c r="L38" t="inlineStr">
        <is>
          <t>Plant near doorstep for money/peace/love/prosperity.</t>
        </is>
      </c>
      <c r="M38" t="inlineStr">
        <is>
          <t>Love rituals, Finding future love, Love sealing, Prophecy, Divination, Dowsing, Treasure seeking, Lost object finding, Inner attunement, Foretelling the future</t>
        </is>
      </c>
      <c r="N38" t="inlineStr">
        <is>
          <t>in rituals concerning love or the quest for love.</t>
        </is>
      </c>
      <c r="O38" t="inlineStr">
        <is>
          <t>Any herb related to Venus is a good herb for love rituals. Carry flowers for a day and your future love is supposed to appear the next day. Give your lover some goldenrod tea to seal their love for you. Burn or crush leaves or flowers in rituals concerning love or the quest for love. Goldenrod is also a prophecy and divination herb. Cut a stalk of goldenrod and use it as a dowsing rod to search for treasure or lost objects — the flower will nod in the direction of what you are seeking. Drink a tea to become more attuned with your inner self so that you can foretell your own future. Burn or crush in rituals concerning the future, or carry daily in a sachet.</t>
        </is>
      </c>
      <c r="P38" t="inlineStr">
        <is>
          <t>Geranium</t>
        </is>
      </c>
      <c r="Q38" t="inlineStr">
        <is>
          <t>Europe (Fields, open land)</t>
        </is>
      </c>
      <c r="R38" t="inlineStr">
        <is>
          <t>Generally considered safe for most uses. Always use in moderation.</t>
        </is>
      </c>
      <c r="AM38" t="inlineStr">
        <is>
          <t>quartz Rose</t>
        </is>
      </c>
      <c r="AN38" t="inlineStr">
        <is>
          <t>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t>
        </is>
      </c>
      <c r="AO38" t="inlineStr">
        <is>
          <t>Confidence, Peace, Fertility, creativity, Love, compassion, beauty, Fidelity, Happiness</t>
        </is>
      </c>
      <c r="AP38" t="inlineStr">
        <is>
          <t>Seraphinite</t>
        </is>
      </c>
      <c r="AQ38" t="inlineStr">
        <is>
          <t>Seraphinite is a powerful healing stone which is becoming increasingly popular. It is an excellent healing stone which boosts the energy of both the healer, the patient. Some people even say that it causes regeneration, miraculous healings.</t>
        </is>
      </c>
      <c r="AR38" t="inlineStr">
        <is>
          <t>Purification, centering, compassion, healing.</t>
        </is>
      </c>
      <c r="AY38" t="inlineStr">
        <is>
          <t>Geranium</t>
        </is>
      </c>
      <c r="AZ38" t="inlineStr">
        <is>
          <t>Love, Fertility, Healing, Protection</t>
        </is>
      </c>
      <c r="BA38" t="inlineStr">
        <is>
          <t>ASSURANCE, Harmony, Peace, ANTI-DEPRESSANT</t>
        </is>
      </c>
      <c r="BB38"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C38" t="inlineStr">
        <is>
          <t>Apple</t>
        </is>
      </c>
      <c r="BD38" t="inlineStr">
        <is>
          <t>Love, Happiness, WISDOM IN MAGICK</t>
        </is>
      </c>
      <c r="BE38" t="inlineStr">
        <is>
          <t>UPLIFTING</t>
        </is>
      </c>
      <c r="BF38"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G38" t="inlineStr">
        <is>
          <t>Thyme</t>
        </is>
      </c>
      <c r="BH38" t="inlineStr">
        <is>
          <t>Healing, Love, Purification, Confidence</t>
        </is>
      </c>
      <c r="BI38" t="inlineStr">
        <is>
          <t>Harmony, STRENGTHENS, SUPP, Amulets/talismans</t>
        </is>
      </c>
      <c r="BJ38" t="inlineStr">
        <is>
          <t>In the stories of the knights, Thyme was the herb of bravery. Before a battle, they would wear a sprig of thyme near their hearts, believing the herb would gift them the heart of a lion and ensure their courage never failed when the steel was drawn.</t>
        </is>
      </c>
      <c r="BK38" t="inlineStr">
        <is>
          <t>TAURUS, LIBRA</t>
        </is>
      </c>
      <c r="BL38" t="inlineStr">
        <is>
          <t>GOLDENROD</t>
        </is>
      </c>
      <c r="BM38" s="42" t="inlineStr">
        <is>
          <t>Autumn gold along the forest edge, the herb of the searching heart. Love rituals and the finding of future love both warmed by its energy. Prophecy, divination and dowsing sharpened. What has been lost — object or direction — finds its way back in its light.</t>
        </is>
      </c>
    </row>
    <row r="39" ht="409.5" customHeight="1" s="56">
      <c r="A39" t="inlineStr">
        <is>
          <t>GOLDENSEAL ROOT</t>
        </is>
      </c>
      <c r="B39" t="inlineStr">
        <is>
          <t>EYE BALM</t>
        </is>
      </c>
      <c r="C39" t="inlineStr">
        <is>
          <t>Hydrastis canadensis</t>
        </is>
      </c>
      <c r="D39" t="inlineStr">
        <is>
          <t>Attraction, Money, Wealth, Success, Prosperity, Business dealings, Healing, Illness spells, Increasing spell power, Attracting a mate, Attracting a soulmate, Conjuring a lover, HELP ATTRACT OPPOSITE SEX, Finding future love, Fertility, Female fertility, Fertility magic, Fertility charms, Aiding fertility, Increasing fertility, Fruitfulness, Virility, male virility, Abundant harvest, Wealth/Prosperity, Attracting business, abundance, Financial arrangements, Aiding gain, Gain, PROSPERITY SPELLS, Increasing wealth, Money spells, Attracting money, Drawing money, INCREASE MONEY, Breaking financial stagnation, Money mixtures, Protecting against poverty, Warding off poverty, Victory, victory in battle, Conquest, Overcoming opposition, Courtroom success, Legal matters, Justice, Healing magic, Healing spells, Healing sachets, Healing incenses, Healing mixtures, Healing rituals, Healing incense, Healing vibrations, healing after surgery, Aiding recovery, Aiding the ill, Improving health, Speeding recovery, Good health, health, Magical power, Increasing magical power, Power amplification, Bolstering spells, Bolstering incense, Strengthening spells, Potency, Power, Magic, WISDOM IN MAGICK, defensive magic</t>
        </is>
      </c>
      <c r="E39" t="inlineStr">
        <is>
          <t>Not specified</t>
        </is>
      </c>
      <c r="F39" t="inlineStr">
        <is>
          <t>VENUS</t>
        </is>
      </c>
      <c r="G39" t="inlineStr">
        <is>
          <t>FIRE</t>
        </is>
      </c>
      <c r="H39" t="inlineStr">
        <is>
          <t>Feminine</t>
        </is>
      </c>
      <c r="I39" t="inlineStr">
        <is>
          <t>Friday</t>
        </is>
      </c>
      <c r="J39" t="inlineStr">
        <is>
          <t>ALL</t>
        </is>
      </c>
      <c r="K39" t="inlineStr">
        <is>
          <t>OSTARA, BELTANE</t>
        </is>
      </c>
      <c r="L39" t="inlineStr">
        <is>
          <t>Valued by native people of the US for medicinal and dye purposes.</t>
        </is>
      </c>
      <c r="M39" t="inlineStr">
        <is>
          <t>Attraction, Money, Wealth, Success, Prosperity, Business dealings, Healing, Illness spells, Increasing spell power</t>
        </is>
      </c>
      <c r="N39" t="inlineStr">
        <is>
          <t>Used in prosperity rituals and healing ceremonies. Placed on altars to attract abundance; burned as incense during money workings.</t>
        </is>
      </c>
      <c r="O39" t="inlineStr">
        <is>
          <t>It is an herb of attraction, used in spells, rituals, and candle magic (sprinkle at the base of a green or gold candle) to attract money, wealth, success, and prosperity, and before embarking on business dealings and financial matters. Goldenseal is also one of the healing herbs and can be used alone or in combination with other healing herbs in spells and rituals for illnesses and health problems. It can be used in just about any charm or spell to increase the power of that spell.</t>
        </is>
      </c>
      <c r="P39" t="inlineStr">
        <is>
          <t>Ylang Ylang</t>
        </is>
      </c>
      <c r="Q39" t="inlineStr">
        <is>
          <t>Europe (Heaths, bogs)</t>
        </is>
      </c>
      <c r="R39" t="inlineStr">
        <is>
          <t>Warning: Should be avoided during pregnancy. May raise blood pressure. Do not use long-term.</t>
        </is>
      </c>
      <c r="AM39" t="inlineStr">
        <is>
          <t>Fuchsite</t>
        </is>
      </c>
      <c r="AN39" t="inlineStr">
        <is>
          <t>It is known as the Healers Stone as it is particularly good f, healers... especially those who regularly try to save others from themselves, when it might be better to let the person to take responsibility f, their own health concerns.a stone that will generally help you by stimulating your mind. This may intensify inspiration, aid with problem solving..., help to develop your intuition.</t>
        </is>
      </c>
      <c r="AO39" t="inlineStr">
        <is>
          <t>Healing, wisdom, intellect, productivity, independence, problem solving, balance in the family, equilibrium in relationships, reducing mood swings</t>
        </is>
      </c>
      <c r="AP39" t="inlineStr">
        <is>
          <t>Unakite</t>
        </is>
      </c>
      <c r="AQ39" t="inlineStr">
        <is>
          <t>The green, red tones have made this stone sacred to Mars, Venus, representing their passion, also the creative energy, magical power that is generated when two opposites are brought together in a balanced way. The stone can be used in any spells linked to strong emotions such as lust, Confidence, daring, also to increase marital harmony, strengthen partnerships, increase underst, ing between people.</t>
        </is>
      </c>
      <c r="AR39" t="inlineStr">
        <is>
          <t>Protection, Strength, Harmony, Healing, friendship, gardening, attracting animal guides, Peace, quiet.</t>
        </is>
      </c>
      <c r="AY39" t="inlineStr">
        <is>
          <t>Ylang Ylang</t>
        </is>
      </c>
      <c r="AZ39" t="inlineStr">
        <is>
          <t>SEX MAGIC, Protection, LOVE &amp; PEACE, CLEARING NEGATIVITY</t>
        </is>
      </c>
      <c r="BA39" t="inlineStr">
        <is>
          <t>Peace, ENTHUSIASM, Happiness, UPLIFTMENT</t>
        </is>
      </c>
      <c r="BB39"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39" t="inlineStr">
        <is>
          <t>Apple</t>
        </is>
      </c>
      <c r="BD39" t="inlineStr">
        <is>
          <t>Love, Happiness, WISDOM IN MAGICK</t>
        </is>
      </c>
      <c r="BE39" t="inlineStr">
        <is>
          <t>UPLIFTING</t>
        </is>
      </c>
      <c r="BF39"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G39" t="inlineStr">
        <is>
          <t>Thyme</t>
        </is>
      </c>
      <c r="BH39" t="inlineStr">
        <is>
          <t>Healing, Love, Purification, Confidence</t>
        </is>
      </c>
      <c r="BI39" t="inlineStr">
        <is>
          <t>Harmony, STRENGTHENS, SUPP, Amulets/talismans</t>
        </is>
      </c>
      <c r="BJ39" t="inlineStr">
        <is>
          <t>In the stories of the knights, Thyme was the herb of bravery. Before a battle, they would wear a sprig of thyme near their hearts, believing the herb would gift them the heart of a lion and ensure their courage never failed when the steel was drawn.</t>
        </is>
      </c>
      <c r="BL39" t="inlineStr">
        <is>
          <t>GOLDENSEAL ROOT</t>
        </is>
      </c>
      <c r="BM39" s="42" t="inlineStr">
        <is>
          <t>Rich and bitter root of the deep woods, the herb of drawn abundance. Attraction, money and success carried in its depth. Business dealings find it sympathetic. Healing and spell power both increased. Prosperity pulled from the earth's own store.</t>
        </is>
      </c>
    </row>
    <row r="40" ht="409.5" customHeight="1" s="56">
      <c r="A40" t="inlineStr">
        <is>
          <t>HEARTSEASE</t>
        </is>
      </c>
      <c r="B40" t="inlineStr">
        <is>
          <t>WILD PANSEY</t>
        </is>
      </c>
      <c r="C40" t="inlineStr">
        <is>
          <t>Viola tricolor</t>
        </is>
      </c>
      <c r="D40" t="inlineStr">
        <is>
          <t>Midsummer celebrations, Love charms, Heart magic, Beauty magic, Beltane, Beltane rituals, Beltane celebrations, Summer rituals, Midsummer, Midsummer magic, Midsummer rites, Midsummer/Litha rituals, Love, Love magick, Love drawing, Attracting love, Love-attracting rituals, Inviting love, Inducing love,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40" t="inlineStr">
        <is>
          <t>VENUS, CRONUS, CAPRICORN, AQUARIUS</t>
        </is>
      </c>
      <c r="F40" t="inlineStr">
        <is>
          <t>SATURN</t>
        </is>
      </c>
      <c r="G40" t="inlineStr">
        <is>
          <t>EARTH</t>
        </is>
      </c>
      <c r="H40" t="inlineStr">
        <is>
          <t>FEMININE</t>
        </is>
      </c>
      <c r="I40" t="inlineStr">
        <is>
          <t>SATURDAY</t>
        </is>
      </c>
      <c r="J40" t="inlineStr">
        <is>
          <t>ALL, VENUS</t>
        </is>
      </c>
      <c r="K40" t="inlineStr">
        <is>
          <t>SAMHAIN, YULE</t>
        </is>
      </c>
      <c r="L40" t="inlineStr">
        <is>
          <t>Infusion said to mend a broken heart.</t>
        </is>
      </c>
      <c r="M40" t="inlineStr">
        <is>
          <t>Midsummer celebrations, Love charms, Heart magic, Beauty magic</t>
        </is>
      </c>
      <c r="N40" t="inlineStr">
        <is>
          <t>Used in love magic and Midsummer celebrations. Placed on altars dedicated to heart chakra work and emotional healing rituals.</t>
        </is>
      </c>
      <c r="O40" t="inlineStr">
        <is>
          <t>Like vervain, this magic herb is often incorporated into Midsummer celebrations. It has many associations with the heart and is traditionally used in love charms. In terms of how this herb works — on the heart and skin — this is a sun plant, but in terms of its use in love and its small but lush beauty, it is all Venus.</t>
        </is>
      </c>
      <c r="P40" t="inlineStr">
        <is>
          <t>Patchouli</t>
        </is>
      </c>
      <c r="Q40" t="inlineStr">
        <is>
          <t>East Asia (Sunny woodlands)</t>
        </is>
      </c>
      <c r="R40" t="inlineStr">
        <is>
          <t>Generally considered safe for most uses. Always use in moderation.</t>
        </is>
      </c>
      <c r="AM40" t="inlineStr">
        <is>
          <t>Jet</t>
        </is>
      </c>
      <c r="AN40" t="inlineStr">
        <is>
          <t>Represents the power of the Goddess, the mystery of the night in which the silver Moon is Queen. Can be polished to a high sheen with brass polish (, a bit of elbow grease!), flat pieces of Jet make excellent magic mirr, s that can be used in scrying, divination to gain Underw, ld knowledge. Wear it in honour of the Mighty Dead, to speak with Underw, ld deities. Helpful f, those who find it hard to make firm decisions. Increases shamanic powers, especially the power to travel between planes. Acc, ding to an early writer Jet has eight virtues – it protects from st, Negating dreams, lightning, prevents poisoning, defends against s, cery, banishes demons from any home in which it is kept, an elixir given to one possessed by the ‘hateful fiend’ will reveal this, release them, a potion of it will rest, e health, the same potion rest, es a ‘smooth body’, whosoever takes the potion is immune to snakebite. Sacred to Cybele, the Mother goddess of Greek, Rome ~ hold a piece of Jet in your h, Amulets/talismans, you can ask her f, a favour.I</t>
        </is>
      </c>
      <c r="AO40" t="inlineStr">
        <is>
          <t>Purification, psychic protection, virility, control, Luck, Healing, Divination, protection from illness &amp; violence, guarding against nightmares.</t>
        </is>
      </c>
      <c r="AP40" t="inlineStr">
        <is>
          <t>obsidian snowflake</t>
        </is>
      </c>
      <c r="AQ40" t="inlineStr">
        <is>
          <t>It develops intuition, Divination, ability to f, esee future events. Obsidian protects from "evil eye", "bedevilling", Amulets/talismans, cery, damnations, other magic, protects its wearer in long trips, rest, es composure of after unf, tunate love, guards from infidelity. In the real life, Obsidian protects from any mischief, suppresses aggressive energy, sharpens mind, removes stress. Obsidian is a stone of prudence. When w, n constantly, Obsidian may f, ce its wearer to reduce his activity, make him inert. It is a magic stone. Any magician has an Obsidian stone to concentrate astral f, Samhain/ancestral altars, to grant vict, y over astral spirits.</t>
        </is>
      </c>
      <c r="AR40" t="inlineStr">
        <is>
          <t>Grounds spiritual energy to the physical plane, abs, bs negativity, enhances serenity</t>
        </is>
      </c>
      <c r="AY40" t="inlineStr">
        <is>
          <t>Patchouli</t>
        </is>
      </c>
      <c r="AZ40" t="inlineStr">
        <is>
          <t>Fertility, Love, Prosperity, RAISE SEXUAL ENERGY</t>
        </is>
      </c>
      <c r="BA40" t="inlineStr">
        <is>
          <t>ASTUTENESS, REASONABLENESS, STIMULATION, Aphrodisiac</t>
        </is>
      </c>
      <c r="BB40"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BC40" t="inlineStr">
        <is>
          <t>Cedarwood</t>
        </is>
      </c>
      <c r="BD40" t="inlineStr">
        <is>
          <t>Purification, Protection, RID OF BAD DREAMS, Prosperity</t>
        </is>
      </c>
      <c r="BE40" t="inlineStr">
        <is>
          <t>New beginnings, REGROWTH, CALMING &amp; COMF, Attracting good spirits, STRENGTHENING</t>
        </is>
      </c>
      <c r="BF40"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40" t="inlineStr">
        <is>
          <t>Geranium</t>
        </is>
      </c>
      <c r="BH40" t="inlineStr">
        <is>
          <t>Love, Fertility, Healing, Protection</t>
        </is>
      </c>
      <c r="BI40" t="inlineStr">
        <is>
          <t>ASSURANCE, Harmony, Peace, ANTI-DEPRESSANT</t>
        </is>
      </c>
      <c r="BJ40"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K40" t="inlineStr">
        <is>
          <t>CAPRICORN, AQUARIUS</t>
        </is>
      </c>
      <c r="BL40" t="inlineStr">
        <is>
          <t>HEARTSEASE</t>
        </is>
      </c>
      <c r="BM40" s="42" t="inlineStr">
        <is>
          <t>Wild pansy of the Midsummer meadow, small and vivid and full of summer warmth. Love charms and heart magic find it willing. Beauty magic softened and brightened. Beltane and Midsummer celebrations feel its joy — the woodland heart, open and unhesitant.</t>
        </is>
      </c>
    </row>
    <row r="41" ht="409.5" customHeight="1" s="56">
      <c r="A41" t="inlineStr">
        <is>
          <t>HEATHER</t>
        </is>
      </c>
      <c r="B41" t="inlineStr">
        <is>
          <t>ROSE MALLOW</t>
        </is>
      </c>
      <c r="C41" t="inlineStr">
        <is>
          <t>Calluna vulgaris</t>
        </is>
      </c>
      <c r="D41" t="inlineStr">
        <is>
          <t>Opening fairy portals, Enhancing beauty, Shapeshifting, Protection from shifters, Assisting transformation, Fairy portals, fairy magic, Fairy blessings, Breaking habits, Breaking bad habits, Ending negative self-talk, Letting go of relationships, Ending guilt, Release, Renewal, New beginnings, New beginning spells, Fresh starts, Transformation, Change, rebirth, Breakthrough, Awakening, Growth, New ideas, Transformation/Evolution</t>
        </is>
      </c>
      <c r="E41" t="inlineStr">
        <is>
          <t>LILITH, VENUS, TAURUS, LIBRA</t>
        </is>
      </c>
      <c r="F41" t="inlineStr">
        <is>
          <t>VENUS</t>
        </is>
      </c>
      <c r="G41" t="inlineStr">
        <is>
          <t>WATER</t>
        </is>
      </c>
      <c r="H41" t="inlineStr">
        <is>
          <t>FEMININE</t>
        </is>
      </c>
      <c r="I41" t="inlineStr">
        <is>
          <t>FRIDAY</t>
        </is>
      </c>
      <c r="J41" t="inlineStr">
        <is>
          <t>ALL</t>
        </is>
      </c>
      <c r="K41" t="inlineStr">
        <is>
          <t>OSTARA, BELTANE</t>
        </is>
      </c>
      <c r="L41" t="inlineStr">
        <is>
          <t>Sacred plant of Lilith.</t>
        </is>
      </c>
      <c r="M41" t="inlineStr">
        <is>
          <t>Opening fairy portals, Enhancing beauty, Shapeshifting, Protection from shifters, Assisting transformation</t>
        </is>
      </c>
      <c r="N41" t="inlineStr">
        <is>
          <t>Used in rituals for opening fairy portals and Midsummer ceremonies. Burned as incense to attract good spirits and blessings.</t>
        </is>
      </c>
      <c r="O41" t="inlineStr">
        <is>
          <t>Heather is said to open portals between this world and the fairy world. Heather has the best effect in magic spells that enhance physical beauty. It is also important in shapeshifting, being both protective against shifters and helpful to the witch taking on other forms.</t>
        </is>
      </c>
      <c r="P41" t="inlineStr">
        <is>
          <t>Ylang Ylang</t>
        </is>
      </c>
      <c r="Q41" t="inlineStr">
        <is>
          <t>Europe, North Africa (Waste ground)</t>
        </is>
      </c>
      <c r="R41" t="inlineStr">
        <is>
          <t>Generally considered safe for most uses. Always use in moderation.</t>
        </is>
      </c>
      <c r="AM41" t="inlineStr">
        <is>
          <t>Chrysocolla</t>
        </is>
      </c>
      <c r="AN41"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41" t="inlineStr">
        <is>
          <t>Clarity, Peace, patience, Love, wisdom, Negating dreams, Harmony, Prosperity, growth, hope, intimacy, Divination, tolerance, sleep, creativity, self-awareness.</t>
        </is>
      </c>
      <c r="AP41" t="inlineStr">
        <is>
          <t>Copper flakes</t>
        </is>
      </c>
      <c r="AQ41" t="inlineStr">
        <is>
          <t>Use copper in rituals, Bolstering spells, amulets to promote love, sensuality, friendship, positive relationships of any kind, negotiations, peace.</t>
        </is>
      </c>
      <c r="AR41" t="inlineStr">
        <is>
          <t>Love, Peace, friendships</t>
        </is>
      </c>
      <c r="AS41" t="inlineStr">
        <is>
          <t>Goldstone</t>
        </is>
      </c>
      <c r="AT41"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41" t="inlineStr">
        <is>
          <t>Hope, protection.</t>
        </is>
      </c>
      <c r="AV41" t="inlineStr">
        <is>
          <t>Jade (jadeite)</t>
        </is>
      </c>
      <c r="AW41"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41" t="inlineStr">
        <is>
          <t>Concentration, unconditional love, concentration, Fidelity, Harmony, Healing, justice, Protection, Luck, beauty, energy, stress relief, perspective, wisdom, growth.</t>
        </is>
      </c>
      <c r="AY41" t="inlineStr">
        <is>
          <t>Ylang Ylang</t>
        </is>
      </c>
      <c r="AZ41" t="inlineStr">
        <is>
          <t>SEX MAGIC, Protection, LOVE &amp; PEACE, CLEARING NEGATIVITY</t>
        </is>
      </c>
      <c r="BA41" t="inlineStr">
        <is>
          <t>Peace, ENTHUSIASM, Happiness, UPLIFTMENT</t>
        </is>
      </c>
      <c r="BB41"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41" t="inlineStr">
        <is>
          <t>Thyme</t>
        </is>
      </c>
      <c r="BD41" t="inlineStr">
        <is>
          <t>Healing, Love, Purification, Confidence</t>
        </is>
      </c>
      <c r="BE41" t="inlineStr">
        <is>
          <t>Harmony, STRENGTHENS, SUPP, Amulets/talismans</t>
        </is>
      </c>
      <c r="BF41" t="inlineStr">
        <is>
          <t>In the stories of the knights, Thyme was the herb of bravery. Before a battle, they would wear a sprig of thyme near their hearts, believing the herb would gift them the heart of a lion and ensure their courage never failed when the steel was drawn.</t>
        </is>
      </c>
      <c r="BG41" t="inlineStr">
        <is>
          <t>Vanilla</t>
        </is>
      </c>
      <c r="BH41" t="inlineStr">
        <is>
          <t>MENTAL POWERS, LOVING &amp; LUSTFUL ENERGIES</t>
        </is>
      </c>
      <c r="BI41" t="inlineStr">
        <is>
          <t>SOOTHES NERVES, CALMS, RELAXES</t>
        </is>
      </c>
      <c r="BJ41"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K41" t="inlineStr">
        <is>
          <t>TAURUS, LIBRA</t>
        </is>
      </c>
      <c r="BL41" t="inlineStr">
        <is>
          <t>HEATHER</t>
        </is>
      </c>
      <c r="BM41" s="42" t="inlineStr">
        <is>
          <t>Moorland purple in wind and rain, the plant of thresholds and in-between places. Fairy portals opened in its presence. Shapeshifting and transformation workings find it receptive. Midsummer ceremonies deepened. What crosses between worlds crosses more easily here.</t>
        </is>
      </c>
    </row>
    <row r="42" ht="409.5" customHeight="1" s="56">
      <c r="A42" t="inlineStr">
        <is>
          <t>HIBISCUS</t>
        </is>
      </c>
      <c r="B42" t="inlineStr">
        <is>
          <t>SOUR TREE</t>
        </is>
      </c>
      <c r="C42" t="inlineStr">
        <is>
          <t>Hibiscus syriacus</t>
        </is>
      </c>
      <c r="D42" t="inlineStr">
        <is>
          <t>Inviting love, Promoting fidelity, Passionate love-making, Love, Love magick, Love drawing, Attracting love, Love-attracting rituals,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Fidelity, Faithfulness, Loyalty, Ensuring a lover returns love, Aphrodisiac, Aphrodisiac tea, Sensuality, Lust, Lust/Sex, LOVING &amp; LUSTFUL ENERGIES, SEX MAGIC, RAISE SEXUAL ENERGY, Sexual energy</t>
        </is>
      </c>
      <c r="E42" t="inlineStr">
        <is>
          <t>APHRODITE, FREYA, KALI, VENUS, TAURUS</t>
        </is>
      </c>
      <c r="F42" t="inlineStr">
        <is>
          <t>VENUS</t>
        </is>
      </c>
      <c r="G42" t="inlineStr">
        <is>
          <t>WATER</t>
        </is>
      </c>
      <c r="H42" t="inlineStr">
        <is>
          <t>FEMININE</t>
        </is>
      </c>
      <c r="I42" t="inlineStr">
        <is>
          <t>FRIDAY</t>
        </is>
      </c>
      <c r="J42" t="inlineStr">
        <is>
          <t>APHRODITE</t>
        </is>
      </c>
      <c r="K42" t="inlineStr">
        <is>
          <t>OSTARA, BELTANE</t>
        </is>
      </c>
      <c r="L42" t="inlineStr">
        <is>
          <t>Sacred symbol in India (Kali, Ganesh).</t>
        </is>
      </c>
      <c r="M42" t="inlineStr">
        <is>
          <t>The flowers of the hibiscus may be burned as a type of incense, and are said to invite love, promote fidelity, and encourage passionate lovemaking.</t>
        </is>
      </c>
      <c r="N42" t="inlineStr">
        <is>
          <t>Used in love rituals and divination ceremonies. Burned as incense or steeped as tea to heighten psychic awareness during ritual.</t>
        </is>
      </c>
      <c r="O42" t="inlineStr">
        <is>
          <t>The flowers of the hibiscus may be burned as a type of incense, and are said to invite love, promote fidelity, and encourage passionate lovemaking.</t>
        </is>
      </c>
      <c r="P42" t="inlineStr">
        <is>
          <t>Ylang Ylang</t>
        </is>
      </c>
      <c r="Q42" t="inlineStr">
        <is>
          <t>Southern Europe, Middle East (Dry hillsides)</t>
        </is>
      </c>
      <c r="R42" t="inlineStr">
        <is>
          <t>Generally considered safe for most uses. May lower blood pressure — use with care if hypotensive.</t>
        </is>
      </c>
      <c r="AM42" t="inlineStr">
        <is>
          <t>Chrysocolla</t>
        </is>
      </c>
      <c r="AN42"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42" t="inlineStr">
        <is>
          <t>Clarity, Peace, patience, Love, wisdom, Negating dreams, Harmony, Prosperity, growth, hope, intimacy, Divination, tolerance, sleep, creativity, self-awareness.</t>
        </is>
      </c>
      <c r="AP42" t="inlineStr">
        <is>
          <t>Copper flakes</t>
        </is>
      </c>
      <c r="AQ42" t="inlineStr">
        <is>
          <t>Use copper in rituals, Bolstering spells, amulets to promote love, sensuality, friendship, positive relationships of any kind, negotiations, peace.</t>
        </is>
      </c>
      <c r="AR42" t="inlineStr">
        <is>
          <t>Love, Peace, friendships</t>
        </is>
      </c>
      <c r="AS42" t="inlineStr">
        <is>
          <t>Goldstone</t>
        </is>
      </c>
      <c r="AT42"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42" t="inlineStr">
        <is>
          <t>Hope, protection.</t>
        </is>
      </c>
      <c r="AV42" t="inlineStr">
        <is>
          <t>Jade (jadeite)</t>
        </is>
      </c>
      <c r="AW42"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42" t="inlineStr">
        <is>
          <t>Concentration, unconditional love, concentration, Fidelity, Harmony, Healing, justice, Protection, Luck, beauty, energy, stress relief, perspective, wisdom, growth.</t>
        </is>
      </c>
      <c r="AY42" t="inlineStr">
        <is>
          <t>Ylang Ylang</t>
        </is>
      </c>
      <c r="AZ42" t="inlineStr">
        <is>
          <t>SEX MAGIC, Protection, LOVE &amp; PEACE, CLEARING NEGATIVITY</t>
        </is>
      </c>
      <c r="BA42" t="inlineStr">
        <is>
          <t>Peace, ENTHUSIASM, Happiness, UPLIFTMENT</t>
        </is>
      </c>
      <c r="BB42"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42" t="inlineStr">
        <is>
          <t>Thyme</t>
        </is>
      </c>
      <c r="BD42" t="inlineStr">
        <is>
          <t>Healing, Love, Purification, Confidence</t>
        </is>
      </c>
      <c r="BE42" t="inlineStr">
        <is>
          <t>Harmony, STRENGTHENS, SUPP, Amulets/talismans</t>
        </is>
      </c>
      <c r="BF42" t="inlineStr">
        <is>
          <t>In the stories of the knights, Thyme was the herb of bravery. Before a battle, they would wear a sprig of thyme near their hearts, believing the herb would gift them the heart of a lion and ensure their courage never failed when the steel was drawn.</t>
        </is>
      </c>
      <c r="BG42" t="inlineStr">
        <is>
          <t>Vanilla</t>
        </is>
      </c>
      <c r="BH42" t="inlineStr">
        <is>
          <t>MENTAL POWERS, LOVING &amp; LUSTFUL ENERGIES</t>
        </is>
      </c>
      <c r="BI42" t="inlineStr">
        <is>
          <t>SOOTHES NERVES, CALMS, RELAXES</t>
        </is>
      </c>
      <c r="BJ42"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K42" t="inlineStr">
        <is>
          <t>TAURUS</t>
        </is>
      </c>
      <c r="BL42" t="inlineStr">
        <is>
          <t>HIBISCUS</t>
        </is>
      </c>
      <c r="BM42" s="42" t="inlineStr">
        <is>
          <t>Tropical water energy, deep red and passionate. Love invited in, fidelity promoted, passionate energy raised. Divination and psychic sight heightened in its smoke. Love at its most vivid and alive — where the working asks for nothing held back.</t>
        </is>
      </c>
    </row>
    <row r="43" ht="409.5" customHeight="1" s="56">
      <c r="A43" t="inlineStr">
        <is>
          <t>HOREHOUND</t>
        </is>
      </c>
      <c r="B43" t="inlineStr">
        <is>
          <t>EYE OF THE STAR</t>
        </is>
      </c>
      <c r="C43" t="inlineStr">
        <is>
          <t>Marrubium vulgare</t>
        </is>
      </c>
      <c r="D43" t="inlineStr">
        <is>
          <t>Protection, Mental powers, Exorcism, Healing, Guarding against sorcery, Guarding against fascination, Exorcism herb scattering, Healing vibrations, Blessing the home, Blessing guests, Concentration, Focus, Creativity in magic, Mental clarity, Intuition, Protective charm, Protective charms, Protective sachets, Protective wreaths, Protective incense, PROTECT AGAINST NEGATIVITY, Protection from negativity, Circle protection, Wisdom, Knowledge, Intelligence, Sharpening the wits, Sharpening the brain, MEM, Memory, Illumination, Enlightenment,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after surgery, Aiding recovery, Aiding the ill, Improving health, Speeding recovery, Good health, health, Protection (hexes/evil), Psychic protection, Psychic shielding, Protection from hexes, Protection from conjure, Protection from evil, Protection from evil spirits, Protection from hauntings, Ju-ju / gris-gris protection,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Homestead protection, Sick-room blessings, Home protection, Household protection, Healing altars, Home blessing, Ensuring joy in the home, Tranquillity in the home, Blessing domestic animals, Meditation, Contemplation, Sun God offerings, Solar spells</t>
        </is>
      </c>
      <c r="E43" t="inlineStr">
        <is>
          <t>HORUS, SCORPIO</t>
        </is>
      </c>
      <c r="F43" t="inlineStr">
        <is>
          <t>MERCURY</t>
        </is>
      </c>
      <c r="G43" t="inlineStr">
        <is>
          <t>AIR</t>
        </is>
      </c>
      <c r="H43" t="inlineStr">
        <is>
          <t>MASCULINE</t>
        </is>
      </c>
      <c r="I43" t="inlineStr">
        <is>
          <t>Wednesday</t>
        </is>
      </c>
      <c r="J43" t="inlineStr">
        <is>
          <t>ALL</t>
        </is>
      </c>
      <c r="K43" t="inlineStr">
        <is>
          <t>OSTARA, MABON</t>
        </is>
      </c>
      <c r="L43" t="inlineStr">
        <is>
          <t>Said to keep off wild animals. Used in floor sweeps.</t>
        </is>
      </c>
      <c r="M43" t="inlineStr">
        <is>
          <t>Protection, mental powers, exorcism, and healing. Drunk as an infusion, it will clear your mind and strengthen mental powers.</t>
        </is>
      </c>
      <c r="N43" t="inlineStr">
        <is>
          <t>for ritual work, horehound increases your concentration and focus.</t>
        </is>
      </c>
      <c r="O43" t="inlineStr">
        <is>
          <t>Protection, mental powers, exorcism, and healing. Use in protective sachets and carry to guard against sorcery and fascination. Scatter as an exorcism herb. Horehound, when mixed with ash leaves and placed in a bowl of water, releases healing vibrations and should be placed in a sickroom. Horehound is an excellent herb to use in blessing the home. As a general herb for ritual work, horehound increases your concentration and focus. It increases the mental skills needed to keep distraction at bay and the ability to integrate the mind and body into the realm of the spiritual. Horehound can give you the freedom to weave your creativity into your magic. Drunk as an infusion, it will clear your mind and strengthen mental powers.</t>
        </is>
      </c>
      <c r="P43" t="inlineStr">
        <is>
          <t>Sandalwood w.i.</t>
        </is>
      </c>
      <c r="Q43" t="inlineStr">
        <is>
          <t>Southeast Asia (Tropical humid areas)</t>
        </is>
      </c>
      <c r="R43" t="inlineStr">
        <is>
          <t>Warning: Avoid during pregnancy. Large doses may cause irregular heartbeat. Do not use medicinally long-term.</t>
        </is>
      </c>
      <c r="AM43" t="inlineStr">
        <is>
          <t>Aventurine</t>
        </is>
      </c>
      <c r="AN43"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O43" t="inlineStr">
        <is>
          <t>Creativity, motivation, inner peace, business success, intellect, perception, soothing emotions, heartache, clarity, imagination, independence, Happiness, sexuality, Strength, Prosperity, romance.</t>
        </is>
      </c>
      <c r="AY43" t="inlineStr">
        <is>
          <t>Sandalwood w.i.</t>
        </is>
      </c>
      <c r="AZ43" t="inlineStr">
        <is>
          <t>Protection, EXC, SISM</t>
        </is>
      </c>
      <c r="BA43" t="inlineStr">
        <is>
          <t>SPIRITUALITY, HARMONISING</t>
        </is>
      </c>
      <c r="BB43"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BC43" t="inlineStr">
        <is>
          <t>Marjoram</t>
        </is>
      </c>
      <c r="BD43" t="inlineStr">
        <is>
          <t>Happiness, Healing, Love, Prosperity, Protection</t>
        </is>
      </c>
      <c r="BE43" t="inlineStr">
        <is>
          <t>Harmony, Peace, PERSEVERANCE</t>
        </is>
      </c>
      <c r="BF43"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G43" t="inlineStr">
        <is>
          <t>Bergamot</t>
        </is>
      </c>
      <c r="BH43" t="inlineStr">
        <is>
          <t>PROSPERITY SPELLS, Prosperity</t>
        </is>
      </c>
      <c r="BI43" t="inlineStr">
        <is>
          <t>Harmony, Happiness, Strength</t>
        </is>
      </c>
      <c r="BJ43" t="inlineStr">
        <is>
          <t>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t>
        </is>
      </c>
      <c r="BK43" t="inlineStr">
        <is>
          <t>SCORPIO</t>
        </is>
      </c>
      <c r="BL43" t="inlineStr">
        <is>
          <t>HOREHOUND</t>
        </is>
      </c>
      <c r="BM43" s="42" t="inlineStr">
        <is>
          <t>Bitter and tenacious as the herb that clings to the old wall. Mental fortitude carried in its bitterness. Protection given teeth, exorcism made clearer. Sorcery and fascination find no grip. Concentration sharpened for the ritual ahead.</t>
        </is>
      </c>
    </row>
    <row r="44" ht="409.5" customHeight="1" s="56">
      <c r="A44" t="inlineStr">
        <is>
          <t>HYSSOP</t>
        </is>
      </c>
      <c r="B44" t="inlineStr">
        <is>
          <t>ISOPO</t>
        </is>
      </c>
      <c r="C44" t="inlineStr">
        <is>
          <t>Hyssopus officinalis</t>
        </is>
      </c>
      <c r="D44" t="inlineStr">
        <is>
          <t>Purification, Self-defence, Protection, Sweeping sacred spaces, Cleansing objects, Home protection, Mind protection, Body protection, Dragon energy, Incense burning,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body and spirit,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Household protection, Healing altars, Home blessing, Ensuring joy in the home, Tranquillity in the home, Blessing guests, Blessing domestic animals, Meditation, Contemplation, Concentration, Focus, Sun God offerings, Solar spells</t>
        </is>
      </c>
      <c r="E44" t="inlineStr">
        <is>
          <t>JUPITER, ZEUS, CANCER, SAGITTARIUS, PISCES</t>
        </is>
      </c>
      <c r="F44" t="inlineStr">
        <is>
          <t>JUPITER</t>
        </is>
      </c>
      <c r="G44" t="inlineStr">
        <is>
          <t>FIRE</t>
        </is>
      </c>
      <c r="H44" t="inlineStr">
        <is>
          <t>MASCULINE</t>
        </is>
      </c>
      <c r="I44" t="inlineStr">
        <is>
          <t>THURSDAY</t>
        </is>
      </c>
      <c r="J44" t="inlineStr">
        <is>
          <t>ZEUS</t>
        </is>
      </c>
      <c r="K44" t="inlineStr">
        <is>
          <t>LAMMAS, MABON</t>
        </is>
      </c>
      <c r="L44" t="inlineStr">
        <is>
          <t>Used as air freshener in Renaissance Europe.</t>
        </is>
      </c>
      <c r="M44" t="inlineStr">
        <is>
          <t>Purification, Self-defence, Protection, Sweeping sacred spaces, Cleansing objects, Home protection, Mind protection, Body protection, Dragon energy, Incense burning</t>
        </is>
      </c>
      <c r="N44" t="inlineStr">
        <is>
          <t>burning the plant as incense or in a fire.</t>
        </is>
      </c>
      <c r="O44" t="inlineStr">
        <is>
          <t>Add it into a sachet or water to infuse or sprinkle on people in need of purification. It is also good for use in magical self-defence — carry some in your pocket, or spread it around the perimeter of your property to add a layer of magical protection. Hyssop is a purifying herb, used to sweep sacred spaces. Infused with water, it is sprinkled lightly over objects to cleanse them. The plant cleanses and protects homes from harmful energies when hung at windows or doors, or scattered. It is used in many protection rituals for both the mind and the body. Hyssop is considered to contain dragon energy, and this can be bestowed by burning the plant as incense or in a fire.</t>
        </is>
      </c>
      <c r="P44" t="inlineStr">
        <is>
          <t>Clove Bud</t>
        </is>
      </c>
      <c r="Q44" t="inlineStr">
        <is>
          <t>Northern Hemisphere (Heaths, mountains)</t>
        </is>
      </c>
      <c r="R44" t="inlineStr">
        <is>
          <t>Warning: Avoid during pregnancy. Do not use in large quantities — hyssop oil is toxic if ingested.</t>
        </is>
      </c>
      <c r="AM44" t="inlineStr">
        <is>
          <t>Ametrine</t>
        </is>
      </c>
      <c r="AN44" t="inlineStr">
        <is>
          <t>Combines mental clarity with strength of will, making it a very powerful stone f, any magic user.</t>
        </is>
      </c>
      <c r="AO44" t="inlineStr">
        <is>
          <t>Astral travel, magickal power, meditation, removing negativity.</t>
        </is>
      </c>
      <c r="AY44" t="inlineStr">
        <is>
          <t>Clove Bud</t>
        </is>
      </c>
      <c r="AZ44" t="inlineStr">
        <is>
          <t>Love, Prosperity, Protection, HELP ATTRACT OPPOSITE SEX, Purification</t>
        </is>
      </c>
      <c r="BA44" t="inlineStr">
        <is>
          <t>INNER WARMTH, INSPIRATION, REGENERATION, MENTAL POWERS</t>
        </is>
      </c>
      <c r="BB44"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C44" t="inlineStr">
        <is>
          <t>Cinnamon</t>
        </is>
      </c>
      <c r="BD44" t="inlineStr">
        <is>
          <t>Love, Prosperity, Protection, HELP ATTRACT OPPOSITE SEX, Purification</t>
        </is>
      </c>
      <c r="BE44" t="inlineStr">
        <is>
          <t>INNER WARMTH, INSPIRATION, REGENERATION, MENTAL POWERS</t>
        </is>
      </c>
      <c r="BF44"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G44" t="inlineStr">
        <is>
          <t>Juniper</t>
        </is>
      </c>
      <c r="BH44" t="inlineStr">
        <is>
          <t>AID MEDITATION, Healing, Love, Protection</t>
        </is>
      </c>
      <c r="BI44" t="inlineStr">
        <is>
          <t>ENLIGHTENMENT, INNER VISION, SINCERITY, UPLIFTING, CENTRING</t>
        </is>
      </c>
      <c r="BJ44"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BK44" t="inlineStr">
        <is>
          <t>CANCER, SAGITTARIUS, PISCES</t>
        </is>
      </c>
      <c r="BL44" t="inlineStr">
        <is>
          <t>HYSSOP</t>
        </is>
      </c>
      <c r="BM44" s="42" t="inlineStr">
        <is>
          <t>Ancient purification herb, holy and fire-bright since before the oldest rites. Sacred spaces swept clean, objects cleansed of what clings. Home, mind and body all guarded in its presence. Where the space must be made pure before anything else can begin.</t>
        </is>
      </c>
    </row>
    <row r="45" ht="409.5" customHeight="1" s="56">
      <c r="A45" t="inlineStr">
        <is>
          <t>JASMINE</t>
        </is>
      </c>
      <c r="B45" t="inlineStr">
        <is>
          <t>MOONLIGHT ON THE GROOVE</t>
        </is>
      </c>
      <c r="C45" t="inlineStr">
        <is>
          <t>Jasminum sambac</t>
        </is>
      </c>
      <c r="D45" t="inlineStr">
        <is>
          <t>Snakebite magic, Divination, Charging crystals, Spiritual love, Attracting a soulmate, Wealth, Money, Sleep, Prophetic dreams, New ideas, Enhancing divination, Divinatory incense, Foretelling the future, Future divination, Scrying, Dowsing, Prophecy, Love, Love magick, Love drawing, Attracting love, Love-attracting rituals, Inviting love, Inducing love, Love charms, Love enchantment, Finding love, Romantic love ceremonies, PROMOTE LOVE &amp; AFFECTION, LOVE &amp; PEACE,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Attraction, Attracting a mate, Conjuring a lover, HELP ATTRACT OPPOSITE SEX, Finding future love, Fertility, Female fertility, Fertility magic, Fertility charms, Aiding fertility, Increasing fertility, Fruitfulness, Virility, male virility, Abundant harvest, Prosperity,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Nightmare prevention, Preventing nightmares, Negating dreams, RID OF BAD DREAMS, Nightmares, Rest, Encouraging sound sleep, Invoking dreams, Dream work, Dreams, Visions, Seeing the unseen, Seeing manifestations, Truth, Honesty, Removing deception, Subconscious work, Digging into the subconscious, Uprooting what is hidden, Treasure seeking, Lost object finding, Breaking habits, Breaking bad habits, Ending negative self-talk, Letting go of relationships, Ending guilt, Release, Renewal, New beginnings, New beginning spells, Fresh starts, Transformation, Change, rebirth, Breakthrough, Awakening, Growth, Assisting transformation, Transformation/Evolution</t>
        </is>
      </c>
      <c r="E45" t="inlineStr">
        <is>
          <t>HESTIA, LUNA, SELENE, CANCER, SCORPIO, PISCES</t>
        </is>
      </c>
      <c r="F45" t="inlineStr">
        <is>
          <t>MOON</t>
        </is>
      </c>
      <c r="G45" t="inlineStr">
        <is>
          <t>WATER</t>
        </is>
      </c>
      <c r="H45" t="inlineStr">
        <is>
          <t>FEMININE</t>
        </is>
      </c>
      <c r="I45" t="inlineStr">
        <is>
          <t>MONDAY</t>
        </is>
      </c>
      <c r="J45" t="inlineStr">
        <is>
          <t>LUNA, SELENE</t>
        </is>
      </c>
      <c r="K45" t="inlineStr">
        <is>
          <t>IMBOLC, SAMHAIN</t>
        </is>
      </c>
      <c r="L45" t="inlineStr">
        <is>
          <t>None provided.</t>
        </is>
      </c>
      <c r="M45" t="inlineStr">
        <is>
          <t>Snakebite magic, Divination, Charging crystals, Spiritual love, Attracting a soulmate, Wealth, Money, Sleep, Prophetic dreams, New ideas</t>
        </is>
      </c>
      <c r="N45" t="inlineStr">
        <is>
          <t>burn the flowers to draw wealth and money.</t>
        </is>
      </c>
      <c r="O45" t="inlineStr">
        <is>
          <t>Uses include snakebite and divination; good for charging quartz crystals. Use in sachets and spells to draw spiritual love and attract a soul mate. Carry or burn the flowers to draw wealth and money. Use in dream pillows to induce sleep, or burn in the bedroom to bring prophetic dreams. Helps to promote new, innovative ideas.</t>
        </is>
      </c>
      <c r="P45" t="inlineStr">
        <is>
          <t>Melissa</t>
        </is>
      </c>
      <c r="Q45" t="inlineStr">
        <is>
          <t>Europe, Asia (Meadows, pastures)</t>
        </is>
      </c>
      <c r="R45" t="inlineStr">
        <is>
          <t>Generally considered safe for external and ritual use. Jasmine oil should not be ingested.</t>
        </is>
      </c>
      <c r="AM45" t="inlineStr">
        <is>
          <t>Aquamarine</t>
        </is>
      </c>
      <c r="AN45"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45" t="inlineStr">
        <is>
          <t>Psychism, Peace, Confidence, Purification</t>
        </is>
      </c>
      <c r="AP45" t="inlineStr">
        <is>
          <t>Calcite</t>
        </is>
      </c>
      <c r="AQ45"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45" t="inlineStr">
        <is>
          <t>Luck, Prosperity, problem resolution, gambling, Healing, creativity, business success, attracting love.</t>
        </is>
      </c>
      <c r="AS45" t="inlineStr">
        <is>
          <t>Quartz Clear</t>
        </is>
      </c>
      <c r="AT45"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45" t="inlineStr">
        <is>
          <t>Protection, Healing, psychism, Strength, lactation</t>
        </is>
      </c>
      <c r="AV45" t="inlineStr">
        <is>
          <t>Moonstone</t>
        </is>
      </c>
      <c r="AW45"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45"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45" t="inlineStr">
        <is>
          <t>Melissa</t>
        </is>
      </c>
      <c r="AZ45" t="inlineStr">
        <is>
          <t>Love, Healing, Prosperity</t>
        </is>
      </c>
      <c r="BA45" t="inlineStr">
        <is>
          <t>GENTLENESS, Peace, PROGRESSIVENESS</t>
        </is>
      </c>
      <c r="BB45" t="inlineStr">
        <is>
          <t>Called the 'Bee’s Delight,' it is said that if you hold a leaf of Melissa in your hand, bees will not sting you. The plant was gifted to humans by the bees themselves, who wanted to share the secret of their own contentment and the sweet hum of life.</t>
        </is>
      </c>
      <c r="BC45" t="inlineStr">
        <is>
          <t>Honeysuckle</t>
        </is>
      </c>
      <c r="BD45" t="inlineStr">
        <is>
          <t>INCREASE PSYCHIC ABILITIES, INCREASE MONEY, Protection</t>
        </is>
      </c>
      <c r="BE45" t="inlineStr">
        <is>
          <t>RELAXING, SOOTHING, UPLIFTING, PSYCHIC POWERS</t>
        </is>
      </c>
      <c r="BF45" t="inlineStr">
        <is>
          <t>In the language of the fae, honeysuckle is known as the 'honey of the woods.' It is said that if you place a blossom under your pillow, you will dream of the location of hidden treasures—not just of gold, but of lost loves and forgotten truths.</t>
        </is>
      </c>
      <c r="BG45" t="inlineStr">
        <is>
          <t>Rose</t>
        </is>
      </c>
      <c r="BH45" t="inlineStr">
        <is>
          <t>Peace, Protection, Luck, PROMOTE LOVE &amp; AFFECTION</t>
        </is>
      </c>
      <c r="BI45" t="inlineStr">
        <is>
          <t>BALANCING, STRENGTHENING, Attracting good spirits</t>
        </is>
      </c>
      <c r="BJ45"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K45" t="inlineStr">
        <is>
          <t>CANCER, SCORPIO, PISCES</t>
        </is>
      </c>
      <c r="BL45" t="inlineStr">
        <is>
          <t>JASMINE</t>
        </is>
      </c>
      <c r="BM45" s="42" t="inlineStr">
        <is>
          <t>Night-blooming and spirit-calling, the flower that rises when the veil is thin. Divination deepened, crystals charged in its presence. The soulmate drawn closer on its scent. Wealth and prophetic dreams both find it generous. The night garden's own magic.</t>
        </is>
      </c>
    </row>
    <row r="46" ht="409.5" customHeight="1" s="56">
      <c r="A46" t="inlineStr">
        <is>
          <t>JUNIPER BERRIES</t>
        </is>
      </c>
      <c r="B46" t="inlineStr">
        <is>
          <t>GIN BERRY</t>
        </is>
      </c>
      <c r="C46" t="inlineStr">
        <is>
          <t>Juniperus communis</t>
        </is>
      </c>
      <c r="D46" t="inlineStr">
        <is>
          <t>Anti-theft, Love, Exorcism, Health, Purification, Protection, Potency, Psychic powers, Attracting love, Preventing theft, Protection against theft, Love magick, Love drawing,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Magical power, Increasing magical power, Increasing spell power, Power amplification, Bolstering spells, Bolstering incense, Strengthening spells, Power, Magic, WISDOM IN MAGICK, defensive magic, Clairvoyance, Enhancing clairvoyance, Psychic development, INCREASE PSYCHIC ABILITIES, Psychic awareness, Stimulating psychic senses, Disabling psychic phenomena, Psychic communication, communication and psychic abilities</t>
        </is>
      </c>
      <c r="E46" t="inlineStr">
        <is>
          <t>JUPITER, ZEUS</t>
        </is>
      </c>
      <c r="F46" t="inlineStr">
        <is>
          <t>SUN</t>
        </is>
      </c>
      <c r="G46" t="inlineStr">
        <is>
          <t>FIRE</t>
        </is>
      </c>
      <c r="H46" t="inlineStr">
        <is>
          <t>MASCULINE</t>
        </is>
      </c>
      <c r="I46" t="inlineStr">
        <is>
          <t>Sunday</t>
        </is>
      </c>
      <c r="J46" t="inlineStr">
        <is>
          <t>ZEUS</t>
        </is>
      </c>
      <c r="K46" t="inlineStr">
        <is>
          <t>LAMMAS</t>
        </is>
      </c>
      <c r="L46" t="inlineStr">
        <is>
          <t>Earliest recorded medicinal use in Egyptian papyrus.</t>
        </is>
      </c>
      <c r="M46" t="inlineStr">
        <is>
          <t>Anti-theft, love, exorcism, and health workings. The herb enhances psychic powers and attracts love.</t>
        </is>
      </c>
      <c r="N46" t="inlineStr">
        <is>
          <t>burned, is a purifying and protective herb.</t>
        </is>
      </c>
      <c r="O46" t="inlineStr">
        <is>
          <t>Anti-theft, love, exorcism, and health workings. Juniper, when burned, is a purifying and protective herb. Men can use the berries to increase potency. The herb enhances psychic powers and attracts love.</t>
        </is>
      </c>
      <c r="P46" t="inlineStr">
        <is>
          <t>Juniper</t>
        </is>
      </c>
      <c r="Q46" t="inlineStr">
        <is>
          <t>Mediterranean (Sunny dry hillsides)</t>
        </is>
      </c>
      <c r="R46" t="inlineStr">
        <is>
          <t>Warning: Pregnant women and people with weak kidneys should not use juniper berries.</t>
        </is>
      </c>
      <c r="AM46" t="inlineStr">
        <is>
          <t>Ametrine</t>
        </is>
      </c>
      <c r="AN46" t="inlineStr">
        <is>
          <t>Combines mental clarity with strength of will, making it a very powerful stone f, any magic user.</t>
        </is>
      </c>
      <c r="AO46" t="inlineStr">
        <is>
          <t>Astral travel, magickal power, meditation, removing negativity.</t>
        </is>
      </c>
      <c r="AP46" t="inlineStr">
        <is>
          <t>Carnelian</t>
        </is>
      </c>
      <c r="AQ46"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46" t="inlineStr">
        <is>
          <t>Happiness, Protection, energy, easing depression, promoting self-confidence, Peace, concentration, focus, Attraction, sexuality, Love, Healing, courage.</t>
        </is>
      </c>
      <c r="AS46" t="inlineStr">
        <is>
          <t>Citrine</t>
        </is>
      </c>
      <c r="AT46"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46"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46" t="inlineStr">
        <is>
          <t>Quartz Clear</t>
        </is>
      </c>
      <c r="AW46"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46" t="inlineStr">
        <is>
          <t>Protection, Healing, psychism, Strength, lactation</t>
        </is>
      </c>
      <c r="AY46" t="inlineStr">
        <is>
          <t>Juniper</t>
        </is>
      </c>
      <c r="AZ46" t="inlineStr">
        <is>
          <t>AID MEDITATION, Healing, Love, Protection</t>
        </is>
      </c>
      <c r="BA46" t="inlineStr">
        <is>
          <t>ENLIGHTENMENT, INNER VISION, SINCERITY, UPLIFTING, CENTRING</t>
        </is>
      </c>
      <c r="BB46"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BC46" t="inlineStr">
        <is>
          <t>Cedarwood</t>
        </is>
      </c>
      <c r="BD46" t="inlineStr">
        <is>
          <t>Purification, Protection, RID OF BAD DREAMS, Prosperity</t>
        </is>
      </c>
      <c r="BE46" t="inlineStr">
        <is>
          <t>New beginnings, REGROWTH, CALMING &amp; COMF, Attracting good spirits, STRENGTHENING</t>
        </is>
      </c>
      <c r="BF46"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46" t="inlineStr">
        <is>
          <t>Frankincense</t>
        </is>
      </c>
      <c r="BH46" t="inlineStr">
        <is>
          <t>Luck, Protection, SPIRITUALITY, PROTECT AGAINST NEGATIVITY, EXC, Exorcism</t>
        </is>
      </c>
      <c r="BI46" t="inlineStr">
        <is>
          <t>ENLIGHTENMENT, INSPIRATION, INTROSPECTION, AIDS MEDITATION</t>
        </is>
      </c>
      <c r="BJ46"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L46" t="inlineStr">
        <is>
          <t>JUNIPER BERRIES</t>
        </is>
      </c>
      <c r="BM46" s="42" t="inlineStr">
        <is>
          <t>Fire berries of the high ground, the plant that burns away what should not remain. Anti-theft protection held in its sharp scent. Love attracted, exorcism supported, health maintained. Psychic powers sharpened. What clings without welcome cannot hold where this burns.</t>
        </is>
      </c>
    </row>
    <row r="47" ht="409.5" customHeight="1" s="56">
      <c r="A47" t="inlineStr">
        <is>
          <t>LADIES MANTLE</t>
        </is>
      </c>
      <c r="B47" t="inlineStr">
        <is>
          <t>LION’S FOOT</t>
        </is>
      </c>
      <c r="C47" t="inlineStr">
        <is>
          <t>Alchemilla vulgaris</t>
        </is>
      </c>
      <c r="D47" t="inlineStr">
        <is>
          <t>Increasing magical power, Aphrodisiac, Love potions, Love spells, Amulets, Attracting love, Fertility magic, Protection, Finding love, Magical power, Increasing spell power, Power amplification, Bolstering spells, Bolstering incense, Strengthening spells, Potency, Power, Magic, WISDOM IN MAGICK, defensive magic, Aphrodisiac tea, Sensuality, Lust, Lust/Sex, Passionate love-making, LOVING &amp; LUSTFUL ENERGIES, SEX MAGIC, RAISE SEXUAL ENERGY, Sexual energy,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Talismans, Protective sachets, Charm bags, Mojo bags, Sachets, Love, Love magick, Love drawing, Love-attracting rituals, Inviting love, Inducing love, Love charms, Love enchantment,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wreaths, Protective incense, PROTECT AGAINST NEGATIVITY, Protection from negativity, Circle protection</t>
        </is>
      </c>
      <c r="E47" t="inlineStr">
        <is>
          <t>EARTH AND WATER GODDESSES</t>
        </is>
      </c>
      <c r="F47" t="inlineStr">
        <is>
          <t>VENUS</t>
        </is>
      </c>
      <c r="G47" t="inlineStr">
        <is>
          <t>WATER</t>
        </is>
      </c>
      <c r="H47" t="inlineStr">
        <is>
          <t>FEMININE</t>
        </is>
      </c>
      <c r="I47" t="inlineStr">
        <is>
          <t>Friday</t>
        </is>
      </c>
      <c r="J47" t="inlineStr">
        <is>
          <t>ALL</t>
        </is>
      </c>
      <c r="K47" t="inlineStr">
        <is>
          <t>OSTARA, BELTANE</t>
        </is>
      </c>
      <c r="L47" t="inlineStr">
        <is>
          <t>Patron herb of Alchemists. Associated with Faery lore and the Goddess.</t>
        </is>
      </c>
      <c r="M47" t="inlineStr">
        <is>
          <t>Originally an herb of Freya, this herb is used in fertility magic and for protection.</t>
        </is>
      </c>
      <c r="N47" t="inlineStr">
        <is>
          <t>Increasing magical power, Aphrodisiac, Love potions, Love spells, Amulets</t>
        </is>
      </c>
      <c r="O47" t="inlineStr">
        <is>
          <t>Lady's Mantle increases the working power of any type of magic. This herb is an aphrodisiac; you can use it in any love potion. Collect the pollen from the flowers, or the roots may be dried and powdered (or, less potently, the leaves dried and powdered) for magical use. Lady's Mantle is used in love spells, potions, and amulets. Carry to attract love. Originally an herb of Freya, this herb is used in fertility magic and for protection. Ritual use: place a single flower in your hair or weave into a crown to find love.</t>
        </is>
      </c>
      <c r="P47" t="inlineStr">
        <is>
          <t>Ylang Ylang</t>
        </is>
      </c>
      <c r="Q47" t="inlineStr">
        <is>
          <t>Mediterranean (Woodland edges)</t>
        </is>
      </c>
      <c r="R47" t="inlineStr">
        <is>
          <t>Generally considered safe for most uses. Avoid excessive internal use during pregnancy.</t>
        </is>
      </c>
      <c r="AM47" t="inlineStr">
        <is>
          <t>Chrysocolla</t>
        </is>
      </c>
      <c r="AN47"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47" t="inlineStr">
        <is>
          <t>Clarity, Peace, patience, Love, wisdom, Negating dreams, Harmony, Prosperity, growth, hope, intimacy, Divination, tolerance, sleep, creativity, self-awareness.</t>
        </is>
      </c>
      <c r="AP47" t="inlineStr">
        <is>
          <t>Copper flakes</t>
        </is>
      </c>
      <c r="AQ47" t="inlineStr">
        <is>
          <t>Use copper in rituals, Bolstering spells, amulets to promote love, sensuality, friendship, positive relationships of any kind, negotiations, peace.</t>
        </is>
      </c>
      <c r="AR47" t="inlineStr">
        <is>
          <t>Love, Peace, friendships</t>
        </is>
      </c>
      <c r="AS47" t="inlineStr">
        <is>
          <t>Goldstone</t>
        </is>
      </c>
      <c r="AT47"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47" t="inlineStr">
        <is>
          <t>Hope, protection.</t>
        </is>
      </c>
      <c r="AV47" t="inlineStr">
        <is>
          <t>Jade (jadeite)</t>
        </is>
      </c>
      <c r="AW47"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47" t="inlineStr">
        <is>
          <t>Concentration, unconditional love, concentration, Fidelity, Harmony, Healing, justice, Protection, Luck, beauty, energy, stress relief, perspective, wisdom, growth.</t>
        </is>
      </c>
      <c r="AY47" t="inlineStr">
        <is>
          <t>Ylang Ylang</t>
        </is>
      </c>
      <c r="AZ47" t="inlineStr">
        <is>
          <t>SEX MAGIC, Protection, LOVE &amp; PEACE, CLEARING NEGATIVITY</t>
        </is>
      </c>
      <c r="BA47" t="inlineStr">
        <is>
          <t>Peace, ENTHUSIASM, Happiness, UPLIFTMENT</t>
        </is>
      </c>
      <c r="BB47"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47" t="inlineStr">
        <is>
          <t>Thyme</t>
        </is>
      </c>
      <c r="BD47" t="inlineStr">
        <is>
          <t>Healing, Love, Purification, Confidence</t>
        </is>
      </c>
      <c r="BE47" t="inlineStr">
        <is>
          <t>Harmony, STRENGTHENS, SUPP, Amulets/talismans</t>
        </is>
      </c>
      <c r="BF47" t="inlineStr">
        <is>
          <t>In the stories of the knights, Thyme was the herb of bravery. Before a battle, they would wear a sprig of thyme near their hearts, believing the herb would gift them the heart of a lion and ensure their courage never failed when the steel was drawn.</t>
        </is>
      </c>
      <c r="BG47" t="inlineStr">
        <is>
          <t>Vanilla</t>
        </is>
      </c>
      <c r="BH47" t="inlineStr">
        <is>
          <t>MENTAL POWERS, LOVING &amp; LUSTFUL ENERGIES</t>
        </is>
      </c>
      <c r="BI47" t="inlineStr">
        <is>
          <t>SOOTHES NERVES, CALMS, RELAXES</t>
        </is>
      </c>
      <c r="BJ47"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L47" t="inlineStr">
        <is>
          <t>LADIES MANTLE</t>
        </is>
      </c>
      <c r="BM47" s="42" t="inlineStr">
        <is>
          <t>Dew-catching cloak of the forest floor, Freya's own herb. Fertility magic and aphrodisiac energy run deep in its roots. Love potions and love spells find it receptive. Magical power increased in its presence. The feminine mysteries welcomed and held.</t>
        </is>
      </c>
    </row>
    <row r="48" ht="409.5" customHeight="1" s="56">
      <c r="A48" t="inlineStr">
        <is>
          <t>LAVENDER FLOWERS</t>
        </is>
      </c>
      <c r="B48" t="inlineStr">
        <is>
          <t>ELF LEAF</t>
        </is>
      </c>
      <c r="C48" t="inlineStr">
        <is>
          <t>Lavandula spp.</t>
        </is>
      </c>
      <c r="D48" t="inlineStr">
        <is>
          <t>Clairvoyance, Cleansing, Consecration, Happiness, Healing, Love, Midsummer magic, Money, Passion, Peace, Peace of mind, Protection, Psychic protection, Purification, Tranquillity, Blessings, Chastity, Divination, Dreams, Energy, Gentleness, Good luck, Grieving, Harmony, Keeping secrets, Magic, Meditation, Memory, Psychic development, Retention, Ritual, Sleep, Stability, Virility, Weddings, Enhancing clairvoyance, Psychic powers, INCREASE PSYCHIC ABILITIES, Psychic awareness, Stimulating psychic senses, Disabling psychic phenomena, Psychic communication, communication and psychic abilities,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Joy, Joyous celebrations, Contentment, Serenity, Ensuring joy in the home, PEACE &amp; HAPPINESS,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Calming, Soothing, Calm, Calmness, Relaxation, Calming energies, Calming the mind, Calming stormy situations, AID MEDITATION,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Contemplation, Concentration, Focus, Sun God offerings, Solar spells, Beltane, Beltane rituals, Beltane celebrations, Summer rituals, Midsummer, Midsummer celebrations, Midsummer rites, Midsummer/Litha rituals, Fertility, Female fertility, Fertility magic, Fertility charms, Aiding fertility, Increasing fertility, Fruitfulness,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Protective charm, Protective charms, Protective wreaths, Protective incense, PROTECT AGAINST NEGATIVITY, Protection from negativity, Circle protection,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Enhancing divination, Divinatory incense, Foretelling the future, Future divination, Scrying, Dowsing, Prophecy, Prophetic dreams, Invoking dreams, Dream work, Visions, Seeing the unseen, Seeing manifestations, Truth, Honesty, Removing deception, Subconscious work, Digging into the subconscious, Uprooting what is hidden, Treasure seeking, Lost object finding,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Magical power, Increasing magical power, Increasing spell power, Power amplification, Bolstering spells, Bolstering incense, Strengthening spells, Potency, Power, WISDOM IN MAGICK, defensive magic, Wisdom, Knowledge, Intelligence, Intuition, Mental clarity, Sharpening the wits, Sharpening the brain, Mental powers, MEM, Illumination, Enlightenment, Nightmare prevention, Preventing nightmares, Negating dreams, RID OF BAD DREAMS, Nightmares, Rest, Encouraging sound sleep, Hand-fastings, Sacred union rites</t>
        </is>
      </c>
      <c r="E48" t="inlineStr">
        <is>
          <t>HECATE, SATURN</t>
        </is>
      </c>
      <c r="F48" t="inlineStr">
        <is>
          <t>MERCURY</t>
        </is>
      </c>
      <c r="G48" t="inlineStr">
        <is>
          <t>AIR</t>
        </is>
      </c>
      <c r="H48" t="inlineStr">
        <is>
          <t>FEMININE</t>
        </is>
      </c>
      <c r="I48" t="inlineStr">
        <is>
          <t>Wednesday</t>
        </is>
      </c>
      <c r="J48" t="inlineStr">
        <is>
          <t>HECATE</t>
        </is>
      </c>
      <c r="K48" t="inlineStr">
        <is>
          <t>OSTARA, SAMHAIN</t>
        </is>
      </c>
      <c r="L48" t="inlineStr">
        <is>
          <t>Attributed to Hecate, Saturn, and snake goddesses.</t>
        </is>
      </c>
      <c r="M48" t="inlineStr">
        <is>
          <t>Use in workings of clairvoyance, cleansing, consecration, happiness, healing, love, Midsummer magic, money, passion, peace, peace of mind, protection, psychic protection, and purification. Other magical uses: tranquillity, blessings, chastity, divination, dreams, energy, gentleness, good luck, grieving, harmony, keeping secrets, increasing the dura</t>
        </is>
      </c>
      <c r="N48" t="inlineStr">
        <is>
          <t>Use in workings of clairvoyance, cleansing, consecration, happiness, healing, love, Midsummer magic, money, passion, peace, peace of mind, protection, psychic protection, and purification. Other magical uses: tranquillity, blessings, chastity, divination, dreams, energy, gentleness, good luck, grieving, harmony, keeping secrets, increasing the dura</t>
        </is>
      </c>
      <c r="O48" t="inlineStr">
        <is>
          <t>Use in workings of clairvoyance, cleansing, consecration, happiness, healing, love, Midsummer magic, money, passion, peace, peace of mind, protection, psychic protection, and purification. Other magical uses: tranquillity, blessings, chastity, divination, dreams, energy, gentleness, good luck, grieving, harmony, keeping secrets, increasing the duration of a spell, meditation, memory, psychic development, retention, ritual, sleep, stability, virility, and weddings.</t>
        </is>
      </c>
      <c r="P48" t="inlineStr">
        <is>
          <t>Lavender</t>
        </is>
      </c>
      <c r="Q48" t="inlineStr">
        <is>
          <t>South America (Subtropical shrublands)</t>
        </is>
      </c>
      <c r="R48" t="inlineStr">
        <is>
          <t>Generally considered safe. Avoid ingesting the essential oil. May cause skin irritation in sensitive individuals.</t>
        </is>
      </c>
      <c r="AM48" t="inlineStr">
        <is>
          <t>Aventurine</t>
        </is>
      </c>
      <c r="AN48"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O48" t="inlineStr">
        <is>
          <t>Creativity, motivation, inner peace, business success, intellect, perception, soothing emotions, heartache, clarity, imagination, independence, Happiness, sexuality, Strength, Prosperity, romance.</t>
        </is>
      </c>
      <c r="AY48" t="inlineStr">
        <is>
          <t>Lavender</t>
        </is>
      </c>
      <c r="AZ48" t="inlineStr">
        <is>
          <t>MEM, Clairvoyance, PEACE &amp; HAPPINESS, Purification, Happiness</t>
        </is>
      </c>
      <c r="BA48" t="inlineStr">
        <is>
          <t>REST, ATIVE, Peace, BALANCING, STIMULATING</t>
        </is>
      </c>
      <c r="BB48"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C48" t="inlineStr">
        <is>
          <t>Neroli</t>
        </is>
      </c>
      <c r="BD48" t="inlineStr">
        <is>
          <t>Prosperity</t>
        </is>
      </c>
      <c r="BE48" t="inlineStr">
        <is>
          <t>Peace, Happiness</t>
        </is>
      </c>
      <c r="BF48" t="inlineStr">
        <is>
          <t>In the palaces of old, orange blossoms were the sign of a royal wedding. It was said that the flower holds the promise of eternal spring, and that a bride wearing the blossoms would be granted a lifetime of fertility and the grace of a blooming garden.</t>
        </is>
      </c>
      <c r="BG48" t="inlineStr">
        <is>
          <t>Marjoram</t>
        </is>
      </c>
      <c r="BH48" t="inlineStr">
        <is>
          <t>Happiness, Healing, Love, Prosperity, Protection</t>
        </is>
      </c>
      <c r="BI48" t="inlineStr">
        <is>
          <t>Harmony, Peace, PERSEVERANCE</t>
        </is>
      </c>
      <c r="BJ48"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L48" t="inlineStr">
        <is>
          <t>LAVENDER FLOWERS</t>
        </is>
      </c>
      <c r="BM48" s="42" t="inlineStr">
        <is>
          <t>Purple hillside and the drowsy hum of bees in full sun. Clairvoyance carried in its calm, purification gentle but thorough. Happiness, healing and love drawn together. Harmony where there was discord, peace where there was noise. Midsummer magic, memory preserved.</t>
        </is>
      </c>
    </row>
    <row r="49" ht="409.5" customHeight="1" s="56">
      <c r="A49" t="inlineStr">
        <is>
          <t>LEMON BALM</t>
        </is>
      </c>
      <c r="B49" t="inlineStr">
        <is>
          <t>BEE BALM</t>
        </is>
      </c>
      <c r="C49" t="inlineStr">
        <is>
          <t>Melissa officinalis</t>
        </is>
      </c>
      <c r="D49" t="inlineStr">
        <is>
          <t>Love, Healing, Clairvoyance, Prosperity, Contacting planes, Spirit offerings, Happiness, Fertility,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Stimulating psychic senses, Disabling psychic phenomena, Psychic communication, communication and psychic abilities,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Joy, Joyous celebrations, Contentment</t>
        </is>
      </c>
      <c r="E49" t="inlineStr">
        <is>
          <t>Jupiter, Diana, Cybele, Ceres</t>
        </is>
      </c>
      <c r="F49" t="inlineStr">
        <is>
          <t>Moon, Neptune</t>
        </is>
      </c>
      <c r="G49" t="inlineStr">
        <is>
          <t>Water</t>
        </is>
      </c>
      <c r="H49" t="inlineStr">
        <is>
          <t>FEMININE</t>
        </is>
      </c>
      <c r="I49" t="inlineStr">
        <is>
          <t>Not specified</t>
        </is>
      </c>
      <c r="J49" t="inlineStr">
        <is>
          <t>DIANA, CYBELE, CERES</t>
        </is>
      </c>
      <c r="K49" t="inlineStr">
        <is>
          <t>LITHA</t>
        </is>
      </c>
      <c r="L49" t="inlineStr">
        <is>
          <t>Not specified</t>
        </is>
      </c>
      <c r="M49" t="inlineStr">
        <is>
          <t>Love, success, healing, and psychic work. Used to attract love and uplift spirits; strengthens the mind and eases anxiety in ritual.</t>
        </is>
      </c>
      <c r="N49" t="inlineStr">
        <is>
          <t>burned as offertory incense to matriarchal goddesses.</t>
        </is>
      </c>
      <c r="O49" t="inlineStr">
        <is>
          <t>Lemon balm is usually employed as a tea for the creation of love potions and philtres, or dried and burned as offertory incense to matriarchal goddesses. Incense made from lemon balm is also used by shamans and mediums to evoke a stronger connection to the spirit world, or to call upon ghosts and other otherworldly entities. It can sometimes be employed for spell works that evoke fertility, progress, fortune, or growth. Use lemon balm as a healing and restorative smudge or draught after break-ups and other painful experiences, to help ease the transition of painful emotions and to welcome more constructive, positive ones.</t>
        </is>
      </c>
      <c r="P49" t="inlineStr">
        <is>
          <t>Lemon</t>
        </is>
      </c>
      <c r="Q49" t="inlineStr">
        <is>
          <t>Southeast Asia (Tropical regions)</t>
        </is>
      </c>
      <c r="R49" t="inlineStr">
        <is>
          <t>Warning: Pregnant and breastfeeding women should avoid it. May interact with thyroid medications.</t>
        </is>
      </c>
      <c r="AM49" t="inlineStr">
        <is>
          <t>Aquamarine</t>
        </is>
      </c>
      <c r="AN49"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49" t="inlineStr">
        <is>
          <t>Psychism, Peace, Confidence, Purification</t>
        </is>
      </c>
      <c r="AP49" t="inlineStr">
        <is>
          <t>Calcite</t>
        </is>
      </c>
      <c r="AQ49"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49" t="inlineStr">
        <is>
          <t>Luck, Prosperity, problem resolution, gambling, Healing, creativity, business success, attracting love.</t>
        </is>
      </c>
      <c r="AS49" t="inlineStr">
        <is>
          <t>Flourite</t>
        </is>
      </c>
      <c r="AT49" t="inlineStr">
        <is>
          <t>Flu, ite is one of the most powerful stones f, creativity, mental powers. It is renowned f, giving a clarity of vision that is wonderful f, art, creative writing, astral travel, meditation, scrying, most magical w, k. It is very protective, keeps the bearer safe on dangerous paths, whether they are in the real w, Otherworld travel, the magical realms. Lessens the fear of ridicule, failure while also boosting confidence, belief in your talents. Brings inspiration, iginality, beauty to any artistic, creative project. Flu, ite awakens the intuitive senses that are used when w, king with crystals, it is one of the easiest stones f, a beginner to get a 'feel' f</t>
        </is>
      </c>
      <c r="AU49" t="inlineStr">
        <is>
          <t>Good luck, concentration, keenness of mind, perspective, reducing emotional involvement, increasing mental power, logic, managing anger, analytical skill, intellect, truth.</t>
        </is>
      </c>
      <c r="AV49" t="inlineStr">
        <is>
          <t>Moonstone</t>
        </is>
      </c>
      <c r="AW49"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49"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49" t="inlineStr">
        <is>
          <t>Lemon</t>
        </is>
      </c>
      <c r="AZ49" t="inlineStr">
        <is>
          <t>Purification, Love, FRIENDSHIP</t>
        </is>
      </c>
      <c r="BA49" t="inlineStr">
        <is>
          <t>AWARENESS, CLARITY, REJUVENATION, Peace</t>
        </is>
      </c>
      <c r="BB49" t="inlineStr">
        <is>
          <t>It was common practice in the Mediterranean to keep a bowl of lemons near the hearth. It was said that the lemon’s sourness could 'eat' the malice of visitors. If someone entered with a bitter heart, the lemon would absorb the negativity, keeping the family home sweet and secure.</t>
        </is>
      </c>
      <c r="BC49" t="inlineStr">
        <is>
          <t>Rosemary</t>
        </is>
      </c>
      <c r="BD49" t="inlineStr">
        <is>
          <t>Healing, Love, Protection, Purification</t>
        </is>
      </c>
      <c r="BE49" t="inlineStr">
        <is>
          <t>CLARITY, ENERGY, STRENGTH OF CHARACTER, Confidence</t>
        </is>
      </c>
      <c r="BF49"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BG49" t="inlineStr">
        <is>
          <t>Melissa</t>
        </is>
      </c>
      <c r="BH49" t="inlineStr">
        <is>
          <t>Love, Healing, Prosperity</t>
        </is>
      </c>
      <c r="BI49" t="inlineStr">
        <is>
          <t>GENTLENESS, Peace, PROGRESSIVENESS</t>
        </is>
      </c>
      <c r="BJ49" t="inlineStr">
        <is>
          <t>Called the 'Bee’s Delight,' it is said that if you hold a leaf of Melissa in your hand, bees will not sting you. The plant was gifted to humans by the bees themselves, who wanted to share the secret of their own contentment and the sweet hum of life.</t>
        </is>
      </c>
      <c r="BL49" t="inlineStr">
        <is>
          <t>LEMON BALM</t>
        </is>
      </c>
      <c r="BM49" s="42" t="inlineStr">
        <is>
          <t>Lemon-scented and moon-bright, the herb of lifted spirits and open hearts. Love drawn in on its sweetness, healing deepened in its calm. Clairvoyance and prosperity both find it willing. Burned to matriarchal goddesses as offering. Happiness and fertility carried in equal measure.</t>
        </is>
      </c>
    </row>
    <row r="50" ht="409.5" customHeight="1" s="56">
      <c r="A50" t="inlineStr">
        <is>
          <t>LEMON VERBENA</t>
        </is>
      </c>
      <c r="B50" t="inlineStr">
        <is>
          <t>HERB LOUISE</t>
        </is>
      </c>
      <c r="C50" t="inlineStr">
        <is>
          <t>Aloysia citrodora</t>
        </is>
      </c>
      <c r="D50" t="inlineStr">
        <is>
          <t>Breaking bad habits, Purifying body and mind, Cleansing space, Removing negative energy, Inner child connection, Creativity, Earth festivals, Love philtres, Sacred union rites, Astral travel, Prophetic dreams, Breaking habits, Ending negative self-talk, Letting go of relationships, Ending guilt, Release, Renewal, New beginnings, New beginning spells, Fresh starts, Transformation, Change, rebirth, Breakthrough, Awakening, Growth, New ideas, Assisting transformation, Transformation/Evolution, Banishing, Banishing negative energies, Banishing smudge, Banishing pesky spirits, Banishing unwanted energies, Casting away evil spirits, Repelling negativity, Driving away negativity, Removing negative spirits, Removing residual energies, Clearing negativity, Removing negativity, Keeping away negative forces, Exorcism, Exorcisms, Exorcism herb scattering, Exorcising demons, Exorcising evil ghosts, Exorcising evil entities, EXC, Cleansing, Cleansing the aura, Cleansing baths, Cleansing tools, Cleansing the home, Pre-ritual cleansing, Removing dark energies, Clearing aura attachments, Cleansing atmospheres, Cleansing objects, Cleansing body and spirit, Sweeping sacred spaces, Cleansing ritual areas, Cleansing negativity, Ritual baths, Ritual bath, Cleansing before ritual, Imbolc/Ostara, Imbolc, Imbolc rites, Ostara, Ostara rites, Spring rituals, Spring festivals, Spring Equinox rites, Spring/Imbolc/Ostara/Beltane, Spring tonic, Weddings, Hand-fastings, Love, Love magick, Love drawing, Attracting love, Love-attracting rituals, Inviting love, Inducing love, Love charms, Love enchantment, Finding love, Romantic love ceremonies, PROMOTE LOVE &amp; AFFECTION, LOVE &amp; PEACE, Spiritual love, Love rituals, Star magick, Moon magic, Astral projection,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Invoking dreams, Dream work, Dreams, Visions, Seeing the unseen, Seeing manifestations, Truth, Honesty, Removing deception, Subconscious work, Digging into the subconscious, Uprooting what is hidden, Scrying, Dowsing, Treasure seeking, Lost object finding</t>
        </is>
      </c>
      <c r="E50" t="inlineStr">
        <is>
          <t>HERMES, MERCURY, GEMINI, VIRGO</t>
        </is>
      </c>
      <c r="F50" t="inlineStr">
        <is>
          <t>MERCURY</t>
        </is>
      </c>
      <c r="G50" t="inlineStr">
        <is>
          <t>AIR</t>
        </is>
      </c>
      <c r="H50" t="inlineStr">
        <is>
          <t>MASCULINE</t>
        </is>
      </c>
      <c r="I50" t="inlineStr">
        <is>
          <t>WEDNESDAY</t>
        </is>
      </c>
      <c r="J50" t="inlineStr">
        <is>
          <t>AMATERASU, ARADIA, CYBELE, CERES, DIANA, JANA</t>
        </is>
      </c>
      <c r="K50" t="inlineStr">
        <is>
          <t>LITHA</t>
        </is>
      </c>
      <c r="L50" t="inlineStr">
        <is>
          <t>Traditional luck herb. Ability to convert bad luck to good.</t>
        </is>
      </c>
      <c r="M50" t="inlineStr">
        <is>
          <t>creative endeavours and for festivals that celebrate the gifts of Mother Earth.</t>
        </is>
      </c>
      <c r="N50" t="inlineStr">
        <is>
          <t>Lemon verbena is known and used in spells to break bad habits, purify the body and mind, and cleanse your space and remove negative energy or malevolent spells due to its camphor content.</t>
        </is>
      </c>
      <c r="O50" t="inlineStr">
        <is>
          <t>Lemon verbena is known and used in spells to break bad habits, purify the body and mind, and cleanse your space and remove negative energy or malevolent spells due to its camphor content. Its purifying effects as an herb are mild and you are best advised to use it with a mixture of purifying herbs, oils, and resins such as myrrh, rue, sandalwood, gardenia, sage, and frankincense. Lemon verbena is well suited to connecting with the inner child. It opens the mind to experiencing familiar things in a new light. It can be used for creative endeavours and for festivals that celebrate the gifts of Mother Earth. It may be included in love philtres and potions and for rites of sacred union. It may also be used for astral travel and prophetic dreams.</t>
        </is>
      </c>
      <c r="P50" t="inlineStr">
        <is>
          <t>Lemon</t>
        </is>
      </c>
      <c r="Q50" t="inlineStr">
        <is>
          <t>Europe (Temperate deciduous forests)</t>
        </is>
      </c>
      <c r="R50" t="inlineStr">
        <is>
          <t>Generally safe for culinary and ritual use. May cause photosensitivity with prolonged skin contact.</t>
        </is>
      </c>
      <c r="AM50" t="inlineStr">
        <is>
          <t>Aventurine</t>
        </is>
      </c>
      <c r="AN50"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AO50" t="inlineStr">
        <is>
          <t>Creativity, motivation, inner peace, business success, intellect, perception, soothing emotions, heartache, clarity, imagination, independence, Happiness, sexuality, Strength, Prosperity, romance.</t>
        </is>
      </c>
      <c r="AY50" t="inlineStr">
        <is>
          <t>Lemon</t>
        </is>
      </c>
      <c r="AZ50" t="inlineStr">
        <is>
          <t>Purification, Love, FRIENDSHIP</t>
        </is>
      </c>
      <c r="BA50" t="inlineStr">
        <is>
          <t>AWARENESS, CLARITY, REJUVENATION, Peace</t>
        </is>
      </c>
      <c r="BB50" t="inlineStr">
        <is>
          <t>It was common practice in the Mediterranean to keep a bowl of lemons near the hearth. It was said that the lemon’s sourness could 'eat' the malice of visitors. If someone entered with a bitter heart, the lemon would absorb the negativity, keeping the family home sweet and secure.</t>
        </is>
      </c>
      <c r="BC50" t="inlineStr">
        <is>
          <t>Bergamot</t>
        </is>
      </c>
      <c r="BD50" t="inlineStr">
        <is>
          <t>PROSPERITY SPELLS, Prosperity</t>
        </is>
      </c>
      <c r="BE50" t="inlineStr">
        <is>
          <t>Harmony, Happiness, Strength</t>
        </is>
      </c>
      <c r="BF50" t="inlineStr">
        <is>
          <t>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t>
        </is>
      </c>
      <c r="BG50" t="inlineStr">
        <is>
          <t>Lemon Grass</t>
        </is>
      </c>
      <c r="BH50" t="inlineStr">
        <is>
          <t>Divination, REPELS, Love</t>
        </is>
      </c>
      <c r="BI50" t="inlineStr">
        <is>
          <t>Harmony, Peace, UPLIFTING, TONIC, REFRESHING</t>
        </is>
      </c>
      <c r="BJ50" t="inlineStr">
        <is>
          <t>In the humid tropics, it was told that if you plant Lemon Grass around your home, the spirits of the wind will be distracted by its sweet, sharp scent. They will spend so much time dancing around the grass that they will forget to enter your home to cause trouble.</t>
        </is>
      </c>
      <c r="BK50" t="inlineStr">
        <is>
          <t>GEMINI, VIRGO</t>
        </is>
      </c>
      <c r="BL50" t="inlineStr">
        <is>
          <t>LEMON VERBENA</t>
        </is>
      </c>
      <c r="BM50" s="42" t="inlineStr">
        <is>
          <t>Sharp citrus clarity, the herb of the clean break. What has become habit loosens in its presence. Body and mind purified, space cleared of what no longer belongs. Creative work brightened. Where the old pattern needs cutting and something new needs room to root.</t>
        </is>
      </c>
    </row>
    <row r="51" ht="409.5" customHeight="1" s="56">
      <c r="A51" t="inlineStr">
        <is>
          <t>LEMONGRASS</t>
        </is>
      </c>
      <c r="B51" t="inlineStr">
        <is>
          <t>SWEET RUSH</t>
        </is>
      </c>
      <c r="C51" t="inlineStr">
        <is>
          <t>Cymbopogon citratus</t>
        </is>
      </c>
      <c r="D51" t="inlineStr">
        <is>
          <t>Offerings to forest spirits, Offerings to gods, Warding off illness, Warding off hexes, Smudging, Pre-ritual cleansing,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Warding off evil,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Removing dark energies, Clearing aura attachments, Cleansing atmospheres, Cleansing objects, Cleansing body and spirit, Sweeping sacred spaces, Cleansing ritual areas, Cleansing negativity, Ritual baths, Ritual bath, Cleansing before ritual, Purifying body and mind</t>
        </is>
      </c>
      <c r="E51" t="inlineStr">
        <is>
          <t>Not specified</t>
        </is>
      </c>
      <c r="F51" t="inlineStr">
        <is>
          <t>Not specified</t>
        </is>
      </c>
      <c r="G51" t="inlineStr">
        <is>
          <t>Air</t>
        </is>
      </c>
      <c r="H51" t="inlineStr">
        <is>
          <t>Masculine</t>
        </is>
      </c>
      <c r="I51" t="inlineStr">
        <is>
          <t>Not specified</t>
        </is>
      </c>
      <c r="J51" t="inlineStr">
        <is>
          <t>AMATERASU</t>
        </is>
      </c>
      <c r="K51" t="inlineStr">
        <is>
          <t>LITHA</t>
        </is>
      </c>
      <c r="L51" t="inlineStr">
        <is>
          <t>In Hoodoo used to ward off evil and bring good luck.</t>
        </is>
      </c>
      <c r="M51" t="inlineStr">
        <is>
          <t>Offerings to forest spirits, Offerings to gods, Warding off illness, Warding off hexes, Smudging, Pre-ritual cleansing</t>
        </is>
      </c>
      <c r="N51" t="inlineStr">
        <is>
          <t>burned by shamans as an offering to forest spirits or as an offering to gods.</t>
        </is>
      </c>
      <c r="O51" t="inlineStr">
        <is>
          <t>Dried lemongrass leaves are burned by shamans as an offering to forest spirits or as an offering to gods. Dried lemongrass may also be used as an incense wafted around to help ward off illness or hexes, and can double as a smudging herb to cleanse one's person prior to initiating any ritualistic activity.</t>
        </is>
      </c>
      <c r="P51" t="inlineStr">
        <is>
          <t>Lemon Grass</t>
        </is>
      </c>
      <c r="Q51" t="inlineStr">
        <is>
          <t>Middle East, Mediterranean (Cultivated)</t>
        </is>
      </c>
      <c r="R51" t="inlineStr">
        <is>
          <t>Warning: People with hypoglycemia or hypotension should use with care.</t>
        </is>
      </c>
      <c r="AY51" t="inlineStr">
        <is>
          <t>Lemon</t>
        </is>
      </c>
      <c r="AZ51" t="inlineStr">
        <is>
          <t>Purification, Love, FRIENDSHIP</t>
        </is>
      </c>
      <c r="BA51" t="inlineStr">
        <is>
          <t>AWARENESS, CLARITY, REJUVENATION, Peace</t>
        </is>
      </c>
      <c r="BB51" t="inlineStr">
        <is>
          <t>It was common practice in the Mediterranean to keep a bowl of lemons near the hearth. It was said that the lemon’s sourness could 'eat' the malice of visitors. If someone entered with a bitter heart, the lemon would absorb the negativity, keeping the family home sweet and secure.</t>
        </is>
      </c>
      <c r="BC51" t="inlineStr">
        <is>
          <t>Lemon Grass</t>
        </is>
      </c>
      <c r="BD51" t="inlineStr">
        <is>
          <t>Divination, REPELS, Love</t>
        </is>
      </c>
      <c r="BE51" t="inlineStr">
        <is>
          <t>Harmony, Peace, UPLIFTING, TONIC, REFRESHING</t>
        </is>
      </c>
      <c r="BF51" t="inlineStr">
        <is>
          <t>In the humid tropics, it was told that if you plant Lemon Grass around your home, the spirits of the wind will be distracted by its sweet, sharp scent. They will spend so much time dancing around the grass that they will forget to enter your home to cause trouble.</t>
        </is>
      </c>
      <c r="BG51" t="inlineStr">
        <is>
          <t>Orange Bitter</t>
        </is>
      </c>
      <c r="BH51" t="inlineStr">
        <is>
          <t>Divination, Love, Luck, Prosperity</t>
        </is>
      </c>
      <c r="BI51" t="inlineStr">
        <is>
          <t>CREATIVITY, LIGHTHEARTEDNESS, POSITIVITY, SENSUAL</t>
        </is>
      </c>
      <c r="BJ51" t="inlineStr">
        <is>
          <t>It was whispered that the bitter orange was the fruit of the sun’s own garden. Because it grew in the heat, it was believed to hold the fire of the sun, and those who bathed in its essence would find their spirits lightened, as if they were walking in perpetual midday.</t>
        </is>
      </c>
      <c r="BL51" t="inlineStr">
        <is>
          <t>LEMONGRASS</t>
        </is>
      </c>
      <c r="BM51" s="42" t="inlineStr">
        <is>
          <t>Tall grass of forest spirits, the shaman's offering to what is wild and holy. Illness and hexes warded in its smoke. Pre-ritual cleansing sharpened. Divination and love both find it responsive. Given freely to the spirits of wild places — and they receive it well.</t>
        </is>
      </c>
    </row>
    <row r="52" ht="409.5" customHeight="1" s="56">
      <c r="A52" t="inlineStr">
        <is>
          <t>LINDEN</t>
        </is>
      </c>
      <c r="B52" t="inlineStr">
        <is>
          <t>LIME TREE</t>
        </is>
      </c>
      <c r="C52" t="inlineStr">
        <is>
          <t>Tilia europaea</t>
        </is>
      </c>
      <c r="D52" t="inlineStr">
        <is>
          <t>Love, creativity, enlightenment, healing, enchantments, prosperity, peace, luck, protection, binding spells, contacting other planes,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52" t="inlineStr">
        <is>
          <t>APHRODITE, ARIARHOD</t>
        </is>
      </c>
      <c r="F52" t="inlineStr">
        <is>
          <t>JUPITER</t>
        </is>
      </c>
      <c r="G52" t="inlineStr">
        <is>
          <t>AIR</t>
        </is>
      </c>
      <c r="H52" t="inlineStr">
        <is>
          <t>FEMININE</t>
        </is>
      </c>
      <c r="I52" t="inlineStr">
        <is>
          <t>Thursday</t>
        </is>
      </c>
      <c r="J52" t="inlineStr">
        <is>
          <t>APHRODITE</t>
        </is>
      </c>
      <c r="K52" t="inlineStr">
        <is>
          <t>LAMMAS, MABON</t>
        </is>
      </c>
      <c r="L52" t="inlineStr">
        <is>
          <t>In European folklore, the linden tree was sacred and considered a place of communal gathering and justice. In Germanic tradition it was the tree of Freya and associated with love and fidelity. Couples would meet beneath linden trees to settle disputes. The tree was believed to ward off evil and lightning.</t>
        </is>
      </c>
      <c r="M52" t="inlineStr">
        <is>
          <t>creative endeavours, enlightenment, love attraction, healing, and enchantments.</t>
        </is>
      </c>
      <c r="N52" t="inlineStr">
        <is>
          <t>Used in rituals for love attraction and creative inspiration. Burned as incense during meditation and enlightenment ceremonies.</t>
        </is>
      </c>
      <c r="O52" t="inlineStr">
        <is>
          <t>Linden wood is laden with the power of attraction that underlies not only love, infatuation, and harmony, but also the very fabric of the material cosmos in forces such as magnetism, adhesion, and gravity. Linden is excellent for carving and capable of supporting fine details. It is especially suited to star magic, spells of creation and transmutation, illumination, love, attraction, healing, enhancement of beauty and peace, and acts of enchantment. Wands made from linden are used for creative endeavours, enlightenment, love attraction, healing, and enchantments. It is said to be protective and useful in magic to do with love and luck. The bark of the linden carried prevents intoxication, while the leaves and flowers are used in love spells. Hang branches over an entry door for protection or grow in the garden to entice elemental spirits.</t>
        </is>
      </c>
      <c r="P52" t="inlineStr">
        <is>
          <t>Honeysuckle</t>
        </is>
      </c>
      <c r="Q52" t="inlineStr">
        <is>
          <t>Mediterranean (Open ground)</t>
        </is>
      </c>
      <c r="R52" t="inlineStr">
        <is>
          <t>Warning: Excessive use of linden tea may cause heart damage. Use in moderation.</t>
        </is>
      </c>
      <c r="AY52" t="inlineStr">
        <is>
          <t>Honeysuckle</t>
        </is>
      </c>
      <c r="AZ52" t="inlineStr">
        <is>
          <t>INCREASE PSYCHIC ABILITIES, INCREASE MONEY, Protection</t>
        </is>
      </c>
      <c r="BA52" t="inlineStr">
        <is>
          <t>RELAXING, SOOTHING, UPLIFTING, PSYCHIC POWERS</t>
        </is>
      </c>
      <c r="BB52" t="inlineStr">
        <is>
          <t>In the language of the fae, honeysuckle is known as the 'honey of the woods.' It is said that if you place a blossom under your pillow, you will dream of the location of hidden treasures—not just of gold, but of lost loves and forgotten truths.</t>
        </is>
      </c>
      <c r="BC52" t="inlineStr">
        <is>
          <t>Clove Bud</t>
        </is>
      </c>
      <c r="BD52" t="inlineStr">
        <is>
          <t>Love, Prosperity, Protection, HELP ATTRACT OPPOSITE SEX, Purification</t>
        </is>
      </c>
      <c r="BE52" t="inlineStr">
        <is>
          <t>INNER WARMTH, INSPIRATION, REGENERATION, MENTAL POWERS</t>
        </is>
      </c>
      <c r="BF52"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G52" t="inlineStr">
        <is>
          <t>Cinnamon</t>
        </is>
      </c>
      <c r="BH52" t="inlineStr">
        <is>
          <t>Love, Prosperity, Protection, HELP ATTRACT OPPOSITE SEX, Purification</t>
        </is>
      </c>
      <c r="BI52" t="inlineStr">
        <is>
          <t>INNER WARMTH, INSPIRATION, REGENERATION, MENTAL POWERS</t>
        </is>
      </c>
      <c r="BJ52"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L52" t="inlineStr">
        <is>
          <t>LINDEN</t>
        </is>
      </c>
      <c r="BM52" s="42" t="inlineStr">
        <is>
          <t>Lime flower and honey-scent, the midsummer canopy where worlds meet. Love drawn in on its sweetness, creative work inspired beneath it. Healing and enchantments deepened in its presence. Prosperity, peace and luck carried in equal measure. Binding and spirit contact both find it receptive.</t>
        </is>
      </c>
    </row>
    <row r="53" ht="390" customHeight="1" s="56">
      <c r="A53" t="inlineStr">
        <is>
          <t>LINSEED</t>
        </is>
      </c>
      <c r="B53" t="inlineStr">
        <is>
          <t>FLAX</t>
        </is>
      </c>
      <c r="C53" t="inlineStr">
        <is>
          <t>Linum usitatissimum</t>
        </is>
      </c>
      <c r="D53" t="inlineStr">
        <is>
          <t>Increasing wealth, Protecting against poverty, Protection (hexes/evil), Attracting money, Warding off poverty, Preventing evil from entering, Healing rituals, Healing mixtures, Money spells, Prosperity rituals, Protection while asleep,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Money, Drawing money, INCREASE MONEY, Breaking financial stagnation, Money mixtures,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Healing, Healing magic, Healing spells, Healing sachets, Healing incenses, Healing incense, Healing vibrations, healing after surgery, Aiding recovery, Aiding the ill, Improving health, Speeding recovery, Good health, health</t>
        </is>
      </c>
      <c r="E53" t="inlineStr">
        <is>
          <t>FRIGGA, HERMES, PERSEPHONE, GEMINI, VIRGO</t>
        </is>
      </c>
      <c r="F53" t="inlineStr">
        <is>
          <t>MERCURY</t>
        </is>
      </c>
      <c r="G53" t="inlineStr">
        <is>
          <t>FIRE</t>
        </is>
      </c>
      <c r="H53" t="inlineStr">
        <is>
          <t>MASCULINE</t>
        </is>
      </c>
      <c r="I53" t="inlineStr">
        <is>
          <t>WEDNESDAY</t>
        </is>
      </c>
      <c r="J53" t="inlineStr">
        <is>
          <t>PERSEPHONE</t>
        </is>
      </c>
      <c r="K53" t="inlineStr">
        <is>
          <t>OSTARA, MABON</t>
        </is>
      </c>
      <c r="L53" t="inlineStr">
        <is>
          <t>Used in rituals to Hulda, a Teutonic Goddess.</t>
        </is>
      </c>
      <c r="M53" t="inlineStr">
        <is>
          <t>Increasing wealth, Protecting against poverty, Protection against s, cery, Attracting money, Warding off poverty, Preventing evil from entering, Healing rituals, Healing mixtures, Money spells</t>
        </is>
      </c>
      <c r="N53" t="inlineStr">
        <is>
          <t>altar while performing healing rituals and add them to healing mixtures.</t>
        </is>
      </c>
      <c r="O53" t="inlineStr">
        <is>
          <t>Flax seeds are often used as a symbol for money in charms, such as putting flax seeds in one's wallet to increase wealth, or in one's shoe to protect against poverty. The blue flax flowers are used to protect against sorcery. Flax seeds were used to attract money by placing the seeds in a jar with a few coins. A mixture of flax seeds and red pepper kept in a box in the home has been said to prevent evil from entering. Sprinkle flax seeds on the altar while performing healing rituals and add them to healing mixtures. Use in money spells. Place a few seeds in your wallet, purse, or pocket to attract money. For protection while asleep, mix equal parts of flax seed and mustard seed and keep the mixture next to the bed.</t>
        </is>
      </c>
      <c r="P53" t="inlineStr">
        <is>
          <t>Sandalwood w.i.</t>
        </is>
      </c>
      <c r="Q53" t="inlineStr">
        <is>
          <t>Europe, Asia (Damp meadows)</t>
        </is>
      </c>
      <c r="R53" t="inlineStr">
        <is>
          <t>Generally safe in moderate amounts. Drink plenty of water when using internally. Avoid if bowel obstruction suspected.</t>
        </is>
      </c>
      <c r="AM53" t="inlineStr">
        <is>
          <t>agate Botswana</t>
        </is>
      </c>
      <c r="AN53" t="inlineStr">
        <is>
          <t>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t>
        </is>
      </c>
      <c r="AO53" t="inlineStr">
        <is>
          <t>Energy of growth, expansion, New beginnings, nourishment, health. It enhances vitality, brings abundance, keeps us growing physically.</t>
        </is>
      </c>
      <c r="AY53" t="inlineStr">
        <is>
          <t>Sandalwood w.i.</t>
        </is>
      </c>
      <c r="AZ53" t="inlineStr">
        <is>
          <t>Protection, EXC, SISM</t>
        </is>
      </c>
      <c r="BA53" t="inlineStr">
        <is>
          <t>SPIRITUALITY, HARMONISING</t>
        </is>
      </c>
      <c r="BB53"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BC53" t="inlineStr">
        <is>
          <t>Marjoram</t>
        </is>
      </c>
      <c r="BD53" t="inlineStr">
        <is>
          <t>Happiness, Healing, Love, Prosperity, Protection</t>
        </is>
      </c>
      <c r="BE53" t="inlineStr">
        <is>
          <t>Harmony, Peace, PERSEVERANCE</t>
        </is>
      </c>
      <c r="BF53"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G53" t="inlineStr">
        <is>
          <t>Clove Bud</t>
        </is>
      </c>
      <c r="BH53" t="inlineStr">
        <is>
          <t>Love, Prosperity, Protection, HELP ATTRACT OPPOSITE SEX, Purification</t>
        </is>
      </c>
      <c r="BI53" t="inlineStr">
        <is>
          <t>INNER WARMTH, INSPIRATION, REGENERATION, MENTAL POWERS</t>
        </is>
      </c>
      <c r="BJ53"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K53" t="inlineStr">
        <is>
          <t>GEMINI, VIRGO</t>
        </is>
      </c>
      <c r="BL53" t="inlineStr">
        <is>
          <t>LINSEED</t>
        </is>
      </c>
      <c r="BM53" s="42" t="inlineStr">
        <is>
          <t>Small seed of earth and careful protection. Wealth increased, poverty warded, sorcery held at arm's length. What has been earned stays earned in its presence. Where financial safety is being built and what is gathered needs guarding.</t>
        </is>
      </c>
    </row>
    <row r="54" ht="409.5" customHeight="1" s="56">
      <c r="A54" t="inlineStr">
        <is>
          <t>MARIGOLD</t>
        </is>
      </c>
      <c r="B54" t="inlineStr">
        <is>
          <t>BRIDEWORT</t>
        </is>
      </c>
      <c r="C54" t="inlineStr">
        <is>
          <t>Calendula officinalis</t>
        </is>
      </c>
      <c r="D54" t="inlineStr">
        <is>
          <t>Increasing potency of amulets, Increasing potency of talismans, Prophetic dreams, Protection (fire elementals), Legal matters, Courtroom success, Improving charisma, Improving charm, Gaining dominant roles, Gaining powerful roles, Invoking dreams, Dream work, Dreams, Visions, Seeing the unseen, Seeing manifestations, Truth, Honesty, Removing deception, Subconscious work, Digging into the subconscious, Uprooting what is hidden, Scrying, Dowsing, Treasure seeking, Lost object finding, Success, Victory, victory in battle, Conquest, Overcoming opposition, Justice</t>
        </is>
      </c>
      <c r="E54" t="inlineStr">
        <is>
          <t>Xochiquetzal, Mary</t>
        </is>
      </c>
      <c r="F54" t="inlineStr">
        <is>
          <t>SUN</t>
        </is>
      </c>
      <c r="G54" t="inlineStr">
        <is>
          <t>FIRE</t>
        </is>
      </c>
      <c r="H54" t="inlineStr">
        <is>
          <t>MASCULINE</t>
        </is>
      </c>
      <c r="I54" t="inlineStr">
        <is>
          <t>Sunday</t>
        </is>
      </c>
      <c r="J54" t="inlineStr">
        <is>
          <t>ALL</t>
        </is>
      </c>
      <c r="K54" t="inlineStr">
        <is>
          <t>LITHA, YULE</t>
        </is>
      </c>
      <c r="L54" t="inlineStr">
        <is>
          <t>Powerful protective herb. Garlands hung on doorways to prevent evil.</t>
        </is>
      </c>
      <c r="M54" t="inlineStr">
        <is>
          <t>Increasing potency of amulets, Increasing potency of talismans, Prophetic dreams, Protection (fire elementals), Legal matters, Courtroom success, Improving charisma, Improving charm, Gaining dominant roles, Gaining powerful roles</t>
        </is>
      </c>
      <c r="N54" t="inlineStr">
        <is>
          <t>Used in Samhain and Day of the Dead rituals to honour ancestors. Placed on altars as offerings; used to consecrate sacred tools.</t>
        </is>
      </c>
      <c r="O54" t="inlineStr">
        <is>
          <t>Calendula may help to increase the potency of amulets or talismans if employed in consecration, while its petals made into a sachet and placed beneath a pillow are said to bring about prophetic dreams. The seeds of the calendula are typically associated with protective properties sympathetic to fire elementals. When carried in a mojo bag or medicine pouch, it is said to help in all legal matters, especially if carried into a courtroom during a hearing. Bathing in water infused with calendula is said to help improve one's charisma and charm, and it may have been employed to this effect by leaders or individuals who wished to obtain dominant or powerful roles in their respective fields.</t>
        </is>
      </c>
      <c r="P54" t="inlineStr">
        <is>
          <t>Cedarwood</t>
        </is>
      </c>
      <c r="Q54" t="inlineStr">
        <is>
          <t>Europe (Woodland edges, gardens)</t>
        </is>
      </c>
      <c r="R54" t="inlineStr">
        <is>
          <t>Warning: Individuals can have allergic reactions. Pregnant women should avoid internal use.</t>
        </is>
      </c>
      <c r="AM54" t="inlineStr">
        <is>
          <t>Ametrine</t>
        </is>
      </c>
      <c r="AN54" t="inlineStr">
        <is>
          <t>Combines mental clarity with strength of will, making it a very powerful stone f, any magic user.</t>
        </is>
      </c>
      <c r="AO54" t="inlineStr">
        <is>
          <t>Astral travel, magickal power, meditation, removing negativity.</t>
        </is>
      </c>
      <c r="AP54" t="inlineStr">
        <is>
          <t>Carnelian</t>
        </is>
      </c>
      <c r="AQ54"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54" t="inlineStr">
        <is>
          <t>Happiness, Protection, energy, easing depression, promoting self-confidence, Peace, concentration, focus, Attraction, sexuality, Love, Healing, courage.</t>
        </is>
      </c>
      <c r="AS54" t="inlineStr">
        <is>
          <t>Citrine</t>
        </is>
      </c>
      <c r="AT54"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54"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54" t="inlineStr">
        <is>
          <t>Quartz Clear</t>
        </is>
      </c>
      <c r="AW54"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54" t="inlineStr">
        <is>
          <t>Protection, Healing, psychism, Strength, lactation</t>
        </is>
      </c>
      <c r="AY54" t="inlineStr">
        <is>
          <t>Cedarwood</t>
        </is>
      </c>
      <c r="AZ54" t="inlineStr">
        <is>
          <t>Purification, Protection, RID OF BAD DREAMS, Prosperity</t>
        </is>
      </c>
      <c r="BA54" t="inlineStr">
        <is>
          <t>New beginnings, REGROWTH, CALMING &amp; COMF, Attracting good spirits, STRENGTHENING</t>
        </is>
      </c>
      <c r="BB54"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C54" t="inlineStr">
        <is>
          <t>Frankincense</t>
        </is>
      </c>
      <c r="BD54" t="inlineStr">
        <is>
          <t>Luck, Protection, SPIRITUALITY, PROTECT AGAINST NEGATIVITY, EXC, Exorcism</t>
        </is>
      </c>
      <c r="BE54" t="inlineStr">
        <is>
          <t>ENLIGHTENMENT, INSPIRATION, INTROSPECTION, AIDS MEDITATION</t>
        </is>
      </c>
      <c r="BF54"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G54" t="inlineStr">
        <is>
          <t>Tea Tree</t>
        </is>
      </c>
      <c r="BH54" t="inlineStr">
        <is>
          <t>Strength</t>
        </is>
      </c>
      <c r="BI54" t="inlineStr">
        <is>
          <t>MEDICINAL</t>
        </is>
      </c>
      <c r="BJ54"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L54" t="inlineStr">
        <is>
          <t>MARIGOLD</t>
        </is>
      </c>
      <c r="BM54" s="42" t="inlineStr">
        <is>
          <t>Sun-fire and Samhain gold, the flower that strengthens and honours. Amulets and talismans made more potent in its presence. Prophetic dreams arrive more clearly. Legal matters find it sympathetic. The dead honoured at ancestral altars in its golden light.</t>
        </is>
      </c>
    </row>
    <row r="55" ht="409.5" customHeight="1" s="56">
      <c r="A55" t="inlineStr">
        <is>
          <t>MEADOW SWEET</t>
        </is>
      </c>
      <c r="B55" t="inlineStr">
        <is>
          <t>GRAVELROOT</t>
        </is>
      </c>
      <c r="C55" t="inlineStr">
        <is>
          <t>Filipendula ulmaria</t>
        </is>
      </c>
      <c r="D55" t="inlineStr">
        <is>
          <t>Love, divination, peace, happiness, and Midsummer rituals. Strew across floors for joy and peace in the home. Use in Midsummer/Litha incense blends. Carry to attract love and promote cheerfulness. Place on the altar during divination to encourage truthful visions. One of the three sacred herbs of the Druids.,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55" t="inlineStr">
        <is>
          <t>BLODEUWEDD, AINE,GWENA, MORGANA, MAB, TITIANA, FREYA, APHRODITE</t>
        </is>
      </c>
      <c r="F55" t="inlineStr">
        <is>
          <t>VENUS</t>
        </is>
      </c>
      <c r="G55" t="inlineStr">
        <is>
          <t>WATER</t>
        </is>
      </c>
      <c r="H55" t="inlineStr">
        <is>
          <t>FEMININE</t>
        </is>
      </c>
      <c r="I55" t="inlineStr">
        <is>
          <t>Friday</t>
        </is>
      </c>
      <c r="J55" t="inlineStr">
        <is>
          <t>TITANIA, APHRODITE</t>
        </is>
      </c>
      <c r="K55" t="inlineStr">
        <is>
          <t>LAMMAS</t>
        </is>
      </c>
      <c r="L55" t="inlineStr">
        <is>
          <t>Meadowsweet was one of the three most sacred herbs to the ancient Druids, alongside Vervain and Water Mint. It was used to garland Midsummer altars and woven into bridal wreaths — hence its folk name Bridewort. In Welsh mythology, the wizard Gwydion created the flower maiden Blodeuwedd partly from meadowsweet blossoms.</t>
        </is>
      </c>
      <c r="M55" t="inlineStr">
        <is>
          <t>love, peace, and happiness.</t>
        </is>
      </c>
      <c r="N55" t="inlineStr">
        <is>
          <t>altar when making love charms and conducting love spells to increase their potency.</t>
        </is>
      </c>
      <c r="O55" t="inlineStr">
        <is>
          <t>Protection against evil influences; promotes love, balance, and harmony. Place meadowsweet on the altar when making love charms and conducting love spells to increase their potency. Wear at Lammas to join with the Goddess of courage and protection, and use to attune to the fairy realm. Meadowsweet is used for love, peace, and happiness. The fresh plant is used as an altar decoration for love magic, and the dried herb can be used in various love potions. The scent of meadowsweet cheers the heart. The plant can be used in magic to discover thieves. The flowers can be used in bridal bouquets. Meadowsweet tea can be drunk to heighten the energy and merriment of the occasion.</t>
        </is>
      </c>
      <c r="P55" t="inlineStr">
        <is>
          <t>Ylang Ylang</t>
        </is>
      </c>
      <c r="Q55" t="inlineStr">
        <is>
          <t>Europe, Asia (Dry waste ground)</t>
        </is>
      </c>
      <c r="R55" t="inlineStr">
        <is>
          <t>Warning: Contains salicylates — avoid if allergic to aspirin. Do not give to children with fever.</t>
        </is>
      </c>
      <c r="AM55" t="inlineStr">
        <is>
          <t>Chrysocolla</t>
        </is>
      </c>
      <c r="AN55"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55" t="inlineStr">
        <is>
          <t>Clarity, Peace, patience, Love, wisdom, Negating dreams, Harmony, Prosperity, growth, hope, intimacy, Divination, tolerance, sleep, creativity, self-awareness.</t>
        </is>
      </c>
      <c r="AP55" t="inlineStr">
        <is>
          <t>Copper flakes</t>
        </is>
      </c>
      <c r="AQ55" t="inlineStr">
        <is>
          <t>Use copper in rituals, Bolstering spells, amulets to promote love, sensuality, friendship, positive relationships of any kind, negotiations, peace.</t>
        </is>
      </c>
      <c r="AR55" t="inlineStr">
        <is>
          <t>Love, Peace, friendships</t>
        </is>
      </c>
      <c r="AS55" t="inlineStr">
        <is>
          <t>Goldstone</t>
        </is>
      </c>
      <c r="AT55"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55" t="inlineStr">
        <is>
          <t>Hope, protection.</t>
        </is>
      </c>
      <c r="AV55" t="inlineStr">
        <is>
          <t>Jade (jadeite)</t>
        </is>
      </c>
      <c r="AW55"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55" t="inlineStr">
        <is>
          <t>Concentration, unconditional love, concentration, Fidelity, Harmony, Healing, justice, Protection, Luck, beauty, energy, stress relief, perspective, wisdom, growth.</t>
        </is>
      </c>
      <c r="AY55" t="inlineStr">
        <is>
          <t>Ylang Ylang</t>
        </is>
      </c>
      <c r="AZ55" t="inlineStr">
        <is>
          <t>SEX MAGIC, Protection, LOVE &amp; PEACE, CLEARING NEGATIVITY</t>
        </is>
      </c>
      <c r="BA55" t="inlineStr">
        <is>
          <t>Peace, ENTHUSIASM, Happiness, UPLIFTMENT</t>
        </is>
      </c>
      <c r="BB55"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55" t="inlineStr">
        <is>
          <t>Rose</t>
        </is>
      </c>
      <c r="BD55" t="inlineStr">
        <is>
          <t>Peace, Protection, Luck, PROMOTE LOVE &amp; AFFECTION</t>
        </is>
      </c>
      <c r="BE55" t="inlineStr">
        <is>
          <t>BALANCING, STRENGTHENING, Attracting good spirits</t>
        </is>
      </c>
      <c r="BF55"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G55" t="inlineStr">
        <is>
          <t>Thyme</t>
        </is>
      </c>
      <c r="BH55" t="inlineStr">
        <is>
          <t>Healing, Love, Purification, Confidence</t>
        </is>
      </c>
      <c r="BI55" t="inlineStr">
        <is>
          <t>Harmony, STRENGTHENS, SUPP, Amulets/talismans</t>
        </is>
      </c>
      <c r="BJ55" t="inlineStr">
        <is>
          <t>In the stories of the knights, Thyme was the herb of bravery. Before a battle, they would wear a sprig of thyme near their hearts, believing the herb would gift them the heart of a lion and ensure their courage never failed when the steel was drawn.</t>
        </is>
      </c>
      <c r="BL55" t="inlineStr">
        <is>
          <t>MEADOW SWEET</t>
        </is>
      </c>
      <c r="BM55" s="42" t="inlineStr">
        <is>
          <t>Water plant of the summer meadow, sweet and dreaming at Midsummer. Love, peace and happiness all carried in its softness. Divination deepened. Strewn across floors for joy in the home. Love charm potency increased where it is present on the altar.</t>
        </is>
      </c>
    </row>
    <row r="56" ht="409.5" customHeight="1" s="56">
      <c r="A56" t="inlineStr">
        <is>
          <t>HONESTY</t>
        </is>
      </c>
      <c r="B56" t="inlineStr">
        <is>
          <t>MOONWORT</t>
        </is>
      </c>
      <c r="C56" t="inlineStr">
        <is>
          <t>Lunaria annua</t>
        </is>
      </c>
      <c r="D56" t="inlineStr">
        <is>
          <t>Moon magic, fairy magic, money, transformation, and prophetic dreams. The silver seed pods are used in money spells and prosperity workings. Hang the dried plants in the home to attract fairy blessings. Use in full moon rituals and Esbat workings. Place under the pillow for prophetic dreams about love and the future., Love, Love magick, Love drawing, Attracting love, Love-attracting rituals, Inviting love, Inducing love, Love charms, Love enchantment, Finding love, Romantic love ceremonies, PROMOTE LOVE &amp; AFFECTION, LOVE &amp; PEACE, Spiritual love, Love rituals, Star magick,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Fairy portals, Opening fairy portals, Fairy blessings</t>
        </is>
      </c>
      <c r="E56" t="inlineStr">
        <is>
          <t>GEMINI, VIRGO, AQUARIUS, VENUS</t>
        </is>
      </c>
      <c r="F56" t="inlineStr">
        <is>
          <t>MOON</t>
        </is>
      </c>
      <c r="G56" t="inlineStr">
        <is>
          <t>WATER</t>
        </is>
      </c>
      <c r="H56" t="inlineStr">
        <is>
          <t>FEMININE</t>
        </is>
      </c>
      <c r="I56" t="inlineStr">
        <is>
          <t>Monday</t>
        </is>
      </c>
      <c r="J56" t="inlineStr">
        <is>
          <t>ALL</t>
        </is>
      </c>
      <c r="K56" t="inlineStr">
        <is>
          <t>IMBOLC, SAMHAIN</t>
        </is>
      </c>
      <c r="L56" t="inlineStr">
        <is>
          <t>Moonwort was said by Gerard's Herbal to be so powerful it could remove the shoes from horses standing in it at night. It was believed to open locks and breaks chains — a plant of liberation and lunar magic. Alchemists prized it as an ingredient in the philosopher's stone. The silver discs of Lunaria were said to be solidified moonlight.</t>
        </is>
      </c>
      <c r="M56" t="inlineStr">
        <is>
          <t>Moon magic, fairy magic, money, transformation, and prophetic dreams. The silver seed pods are used in money spells and prosperity workings. Hang the dried plants in the home to attract fairy blessings. Use in full moon rituals and Esbat workings. Place under the pillow for prophetic dreams about love and the future.</t>
        </is>
      </c>
      <c r="N56" t="inlineStr">
        <is>
          <t>and prophetic dreams. The silver seed pods are used in money spells and prosperity workings. Hang the dried plants in the home to attract fairy blessings. Use in full moon rituals and Esbat workings. Place under the pillow for prophetic dreams about love and the future.</t>
        </is>
      </c>
      <c r="O56" t="inlineStr">
        <is>
          <t>Moonwort is used in spells concerning love. Moonwort placed in boxes and bags is said to produce silver. It has long been used in money spells of all types. It is also said to be useful in opening locks (by placing it in the keyhole) and breaking chains (by simply touching them).</t>
        </is>
      </c>
      <c r="P56" t="inlineStr">
        <is>
          <t>Melissa</t>
        </is>
      </c>
      <c r="Q56" t="inlineStr">
        <is>
          <t>Europe, Asia (Fields, waste ground)</t>
        </is>
      </c>
      <c r="R56" t="inlineStr">
        <is>
          <t>Generally safe for ritual use. Seeds and pods are non-toxic. Always use in moderation.</t>
        </is>
      </c>
      <c r="AM56" t="inlineStr">
        <is>
          <t>Aquamarine</t>
        </is>
      </c>
      <c r="AN56"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56" t="inlineStr">
        <is>
          <t>Psychism, Peace, Confidence, Purification</t>
        </is>
      </c>
      <c r="AP56" t="inlineStr">
        <is>
          <t>Calcite</t>
        </is>
      </c>
      <c r="AQ56"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56" t="inlineStr">
        <is>
          <t>Luck, Prosperity, problem resolution, gambling, Healing, creativity, business success, attracting love.</t>
        </is>
      </c>
      <c r="AS56" t="inlineStr">
        <is>
          <t>Quartz Clear</t>
        </is>
      </c>
      <c r="AT56"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56" t="inlineStr">
        <is>
          <t>Protection, Healing, psychism, Strength, lactation</t>
        </is>
      </c>
      <c r="AV56" t="inlineStr">
        <is>
          <t>Moonstone</t>
        </is>
      </c>
      <c r="AW56"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56"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56" t="inlineStr">
        <is>
          <t>Melissa</t>
        </is>
      </c>
      <c r="AZ56" t="inlineStr">
        <is>
          <t>Love, Healing, Prosperity</t>
        </is>
      </c>
      <c r="BA56" t="inlineStr">
        <is>
          <t>GENTLENESS, Peace, PROGRESSIVENESS</t>
        </is>
      </c>
      <c r="BB56" t="inlineStr">
        <is>
          <t>Called the 'Bee’s Delight,' it is said that if you hold a leaf of Melissa in your hand, bees will not sting you. The plant was gifted to humans by the bees themselves, who wanted to share the secret of their own contentment and the sweet hum of life.</t>
        </is>
      </c>
      <c r="BC56" t="inlineStr">
        <is>
          <t>Honeysuckle</t>
        </is>
      </c>
      <c r="BD56" t="inlineStr">
        <is>
          <t>INCREASE PSYCHIC ABILITIES, INCREASE MONEY, Protection</t>
        </is>
      </c>
      <c r="BE56" t="inlineStr">
        <is>
          <t>RELAXING, SOOTHING, UPLIFTING, PSYCHIC POWERS</t>
        </is>
      </c>
      <c r="BF56" t="inlineStr">
        <is>
          <t>In the language of the fae, honeysuckle is known as the 'honey of the woods.' It is said that if you place a blossom under your pillow, you will dream of the location of hidden treasures—not just of gold, but of lost loves and forgotten truths.</t>
        </is>
      </c>
      <c r="BG56" t="inlineStr">
        <is>
          <t>Rose</t>
        </is>
      </c>
      <c r="BH56" t="inlineStr">
        <is>
          <t>Peace, Protection, Luck, PROMOTE LOVE &amp; AFFECTION</t>
        </is>
      </c>
      <c r="BI56" t="inlineStr">
        <is>
          <t>BALANCING, STRENGTHENING, Attracting good spirits</t>
        </is>
      </c>
      <c r="BJ56"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K56" t="inlineStr">
        <is>
          <t>GEMINI, VIRGO, AQUARIUS</t>
        </is>
      </c>
      <c r="BL56" t="inlineStr">
        <is>
          <t>HONESTY</t>
        </is>
      </c>
      <c r="BM56" s="42" t="inlineStr">
        <is>
          <t>Silver seed pods and moonlight, the plant of quiet mystery and hidden light. Moon magic and fairy magic both find it willing. Money drawn in, transformation supported. Prophetic dreams arrive in its silver presence. Where what is hoped for needs a vessel to hold it.</t>
        </is>
      </c>
    </row>
    <row r="57" ht="409.5" customHeight="1" s="56">
      <c r="A57" t="inlineStr">
        <is>
          <t>MULLEIN</t>
        </is>
      </c>
      <c r="B57" t="inlineStr">
        <is>
          <t>GRAVE YARD DUST</t>
        </is>
      </c>
      <c r="C57" t="inlineStr">
        <is>
          <t>Verbascum thapsus</t>
        </is>
      </c>
      <c r="D57" t="inlineStr">
        <is>
          <t>Warding, Protection, Casting away evil spirits, Necromancy, Calling spirits, Binding spirits, Seeing manifestations, Nether-realm travel, Communing with the departed, Communing with otherworldly entities, Prophetic dreams, Astral travel, Preventing nightmares, Encouraging sound sleep,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Protective charm, Protective charms, Protective sachets, Protective wreaths, Protective incense, PROTECT AGAINST NEGATIVITY, Protection from negativity, Circle protection, Banishing, Banishing negative energies, Banishing smudge, Banishing pesky spirits, Banishing unwanted energies,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Contacting planes, Contacting other planes, Communion with spirits, Spirit work, Walking between worlds, SISM, contacting a specific person, Samhain/ancestral altars, Ancestral altars, Ancestor rituals, Rituals for the dead, Honouring the dead, ancestral magic, ancestral memory, Samhain rituals, death rites, Death and rebirth rites, Peaceful transition for the dead, ancestors, Crone magic, Seeing past lives, Reincarnation, Reincarnation knowledge, Past lives, Mabon/Samhain, Mabon rituals, Samhain, Love, Love magick, Love drawing, Attracting love, Love-attracting rituals, Inviting love, Inducing love, Love charms, Love enchantment, Finding love, Romantic love ceremonies, PROMOTE LOVE &amp; AFFECTION, LOVE &amp; PEACE, Spiritual love, Love rituals, Star magick, Moon magic, Astral projection,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Summoning spirits, Conjuring spirits, Conjuring beneficial spirits, Otherworld travel, Shamanic work, shamanic journeying,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Invoking dreams, Dream work, Dreams, Visions, Seeing the unseen, Truth, Honesty, Removing deception, Subconscious work, Digging into the subconscious, Uprooting what is hidden, Scrying, Dowsing, Treasure seeking, Lost object finding, Nightmare prevention, Negating dreams, RID OF BAD DREAMS, Nightmares, Sleep, Rest</t>
        </is>
      </c>
      <c r="E57" t="inlineStr">
        <is>
          <t>Not specified</t>
        </is>
      </c>
      <c r="F57" t="inlineStr">
        <is>
          <t>Not specified</t>
        </is>
      </c>
      <c r="G57" t="inlineStr">
        <is>
          <t>Not specified</t>
        </is>
      </c>
      <c r="H57" t="inlineStr">
        <is>
          <t>FEMININE</t>
        </is>
      </c>
      <c r="I57" t="inlineStr">
        <is>
          <t>Not specified</t>
        </is>
      </c>
      <c r="J57" t="inlineStr">
        <is>
          <t>ALL</t>
        </is>
      </c>
      <c r="K57" t="inlineStr">
        <is>
          <t>ALL SABBATS</t>
        </is>
      </c>
      <c r="L57" t="inlineStr">
        <is>
          <t>Seeds employed as fish poison by tribal cultures.</t>
        </is>
      </c>
      <c r="M57" t="inlineStr">
        <is>
          <t>Warding, Protection, Casting away evil spirits, Necromancy, Calling spirits, Binding spirits, Seeing manifestations, Nether-realm travel, Communing with the departed, Communing with otherworldly entities</t>
        </is>
      </c>
      <c r="N57" t="inlineStr">
        <is>
          <t>incense or sewn into an herbal pouch and placed beneath a pillow, keep nightmares at bay and encourage sound sleep.</t>
        </is>
      </c>
      <c r="O57" t="inlineStr">
        <is>
          <t>Mullein is a very notorious herb employed for warding and protection. It is used by many ceremonial magicians as a protection herb, to cast away any type of evil spirit or entity by the sight or scent of the plant alone. When its stems are employed as lighting materials, it serves a necromantic purpose, allowing the magician to see and commune with the dead and departed, as well as to call spirits and bind them to the magician's will. When made into a decoction and drunk, or dried and smoked, mullein can also be employed to allow one to see manifestations or to travel into the nether-realms and commune with the departed or with otherworldly entities safely. Mullein tea is also believed by witches and shamans to encourage prophetic dreams and astral travel, while its dried leaves and flowers, when used as incense or sewn into an herbal pouch and placed beneath a pillow, keep nightmares at bay and encourage sound sleep.</t>
        </is>
      </c>
      <c r="Q57" t="inlineStr">
        <is>
          <t>Northeast Africa, Arabian Peninsula (Arid areas)</t>
        </is>
      </c>
      <c r="R57" t="inlineStr">
        <is>
          <t>Warning: Care should be taken when employing the seed of the plant — it is toxic.</t>
        </is>
      </c>
      <c r="BL57" t="inlineStr">
        <is>
          <t>MULLEIN</t>
        </is>
      </c>
      <c r="BM57" s="42" t="inlineStr">
        <is>
          <t>Tall torch of the hedgerow, burning silver at the boundary between the living and the dead. Protection and warding held in its upright presence. Spirits called, bound, seen in its smoke. Nightmares turned away. The sentinel plant — it stands where others will not.</t>
        </is>
      </c>
    </row>
    <row r="58" ht="409.5" customHeight="1" s="56">
      <c r="A58" t="inlineStr">
        <is>
          <t>MUSTARD SEED WHITE</t>
        </is>
      </c>
      <c r="B58" t="inlineStr">
        <is>
          <t>EYE OF NEWT</t>
        </is>
      </c>
      <c r="C58" t="inlineStr">
        <is>
          <t>Brassica Alba</t>
        </is>
      </c>
      <c r="D58" t="inlineStr">
        <is>
          <t>Fertility, Healing, Love, Protection, Communication, Attracting good spirits, Exorcism, Prosperity, Good luck, Sensuality, Spell-breaking, Strength, Curses, Protection (hexes/evil),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Aphrodisiac, Aphrodisiac tea, Lust, Lust/Sex, Passionate love-making, LOVING &amp; LUSTFUL ENERGIES, SEX MAGIC, RAISE SEXUAL ENERGY, Sexual energy, Physical Strength, Fortitude, Vitality, Inner power, and strength,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t>
        </is>
      </c>
      <c r="E58" t="inlineStr">
        <is>
          <t>HERNE, GREEN MAN</t>
        </is>
      </c>
      <c r="F58" t="inlineStr">
        <is>
          <t>MARS</t>
        </is>
      </c>
      <c r="G58" t="inlineStr">
        <is>
          <t>FIRE</t>
        </is>
      </c>
      <c r="H58" t="inlineStr">
        <is>
          <t>MASCULINE</t>
        </is>
      </c>
      <c r="I58" t="inlineStr">
        <is>
          <t>Tuesday</t>
        </is>
      </c>
      <c r="J58" t="inlineStr">
        <is>
          <t>ALL</t>
        </is>
      </c>
      <c r="K58" t="inlineStr">
        <is>
          <t>BELTANE, SAMHAIN</t>
        </is>
      </c>
      <c r="L58" t="inlineStr">
        <is>
          <t>Discovery attributed to Asclepius.</t>
        </is>
      </c>
      <c r="M58" t="inlineStr">
        <is>
          <t>fertility, health, love, passion, and protection spells.</t>
        </is>
      </c>
      <c r="N58" t="inlineStr">
        <is>
          <t>Attracting good spirits</t>
        </is>
      </c>
      <c r="O58" t="inlineStr">
        <is>
          <t>Use for fertility, health, love, passion, and protection spells. It can also be employed in workings involving commanding, exorcism, gain, good luck, sensuality, spell-breaking, strength, success, and virility. Can also be used for curses and hexes, but care should be taken as this invokes the threefold rule.</t>
        </is>
      </c>
      <c r="P58" t="inlineStr">
        <is>
          <t>Pine</t>
        </is>
      </c>
      <c r="Q58" t="inlineStr">
        <is>
          <t>Global temperate regions (Damp soil)</t>
        </is>
      </c>
      <c r="R58" t="inlineStr">
        <is>
          <t>Warning: Can cause skin and mucous membrane irritation. Do not apply to broken skin. Keep away from eyes.</t>
        </is>
      </c>
      <c r="AM58" t="inlineStr">
        <is>
          <t>Bloodstone</t>
        </is>
      </c>
      <c r="AN58"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O58" t="inlineStr">
        <is>
          <t>Healing, Prosperity, Confidence, physical strength, stress relief, help in business, legal matters, revitalization, guidance, rain, ganization.</t>
        </is>
      </c>
      <c r="AP58" t="inlineStr">
        <is>
          <t>Garnet</t>
        </is>
      </c>
      <c r="AQ58"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R58" t="inlineStr">
        <is>
          <t>Healing, cheery disposition, Confidence, Love, business success, past life regression, consistency of love &amp; friendship, travel protection, Happiness, Peace, Harmony, patience, inspiration, persistence, wisdom, fertility.</t>
        </is>
      </c>
      <c r="AS58" t="inlineStr">
        <is>
          <t>Pyrite (Fool's Gold)</t>
        </is>
      </c>
      <c r="AT58"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AU58" t="inlineStr">
        <is>
          <t>Logic, clarity, mem, Clairvoyance, Prosperity, will power, grounding, Harmony, Strength</t>
        </is>
      </c>
      <c r="AV58" t="inlineStr">
        <is>
          <t>Red Jasper</t>
        </is>
      </c>
      <c r="AW58"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AX58" t="inlineStr">
        <is>
          <t>Beauty, grace, increasing mental processes, Luck, easing pain of childbirth, Anti-theft, ming barrier against dangerous whims &amp; desires.</t>
        </is>
      </c>
      <c r="AY58" t="inlineStr">
        <is>
          <t>Pine</t>
        </is>
      </c>
      <c r="AZ58" t="inlineStr">
        <is>
          <t>PROSPERITY SPELLS, Prosperity</t>
        </is>
      </c>
      <c r="BA58" t="inlineStr">
        <is>
          <t>Harmony, Happiness, Strength</t>
        </is>
      </c>
      <c r="BB58"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58" t="inlineStr">
        <is>
          <t>Ginger</t>
        </is>
      </c>
      <c r="BD58" t="inlineStr">
        <is>
          <t>Prosperity, Healing, Love, Strength</t>
        </is>
      </c>
      <c r="BE58" t="inlineStr">
        <is>
          <t>Confidence, EMPATHY, LIBERATION, OPTIMISM, STRENGTHENS</t>
        </is>
      </c>
      <c r="BF58" t="inlineStr">
        <is>
          <t>It is said that Ginger grew where a drop of liquid sun hit the earth. Because of its fiery taste, it was believed to grant the eater the 'fire of the gut,' helping them digest not just food, but life experiences, turning bitterness into wisdom.</t>
        </is>
      </c>
      <c r="BG58" t="inlineStr">
        <is>
          <t>Cedarwood</t>
        </is>
      </c>
      <c r="BH58" t="inlineStr">
        <is>
          <t>Purification, Protection, RID OF BAD DREAMS, Prosperity</t>
        </is>
      </c>
      <c r="BI58" t="inlineStr">
        <is>
          <t>New beginnings, REGROWTH, CALMING &amp; COMF, Attracting good spirits, STRENGTHENING</t>
        </is>
      </c>
      <c r="BJ58"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L58" t="inlineStr">
        <is>
          <t>MUSTARD SEED WHITE</t>
        </is>
      </c>
      <c r="BM58" s="42" t="inlineStr">
        <is>
          <t>Tiny fire seed, fierce energy compressed into almost nothing. Fertility, healing and love carried in its heat. Good spirits drawn in, unwanted presences driven out. Prosperity and good luck both find it generous. Small, yes — but very definitely there.</t>
        </is>
      </c>
    </row>
    <row r="59" ht="409.5" customHeight="1" s="56">
      <c r="A59" t="inlineStr">
        <is>
          <t>MYRRH GUM</t>
        </is>
      </c>
      <c r="B59" t="inlineStr">
        <is>
          <t>KARAN</t>
        </is>
      </c>
      <c r="C59" t="inlineStr">
        <is>
          <t>Commiphora myrrha</t>
        </is>
      </c>
      <c r="D59" t="inlineStr">
        <is>
          <t>Purification, Lifting vibrations, Contemplation, Meditation, Peace, Increasing power of incense, Healing incenses, Healing sachets, Consecration, Blessing objects, Protection, Guarding against evil, Understanding sorrow, Comforting grief, Hex breaking, Banishing pesky spirits, Banishing unwanted energies, Protection of the home, Purifying ritual areas, Purifying  Purifying new homes, Purifying new homes, Purifying the home, Self-purification, Purifying ritual spaces, Purification rituals, Sanctifying an area, Dedicating sacred spaces, Creating sacred spaces,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Concentration, Focus, Sun God offerings, Solar spells, Healing, Healing magic, Healing spells, Healing mixtures, Healing rituals, Healing incense, Healing vibrations, healing after surgery, Aiding recovery, Aiding the ill, Improving health, Speeding recovery, Good health, health, Protective charm, Protective charms, Protective wreaths, Protective incense, PROTECT AGAINST NEGATIVITY, Protection from negativity, Circle protection, Protection (hexes/evil), Psychic protection, Psychic shielding, Protection from hexes, Protection from conjure, Protection from evil, Protection from evil spirits, Protection from hauntings, Ju-ju / gris-gris protection, Guarding against sorcery,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Spell-breaking, Reversing harmful spells, Breaking spells, Removing hexes, Removing curses, Removing jinxes, Removing bad luck, Breaking hexes, Returning hexes, hex-breaking, Removing hexes and curses, Removing a jinx, Luck, Good luck, Good luck in family matters, Fortune, Casino luck, WISHES, Wish magick, Carrying wishes, Transmuting wishes, Banishing, Banishing negative energies, Banishing smudge,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59" t="inlineStr">
        <is>
          <t>ISIS, ADONIS,RA, MARIAN</t>
        </is>
      </c>
      <c r="F59" t="inlineStr">
        <is>
          <t>MOON</t>
        </is>
      </c>
      <c r="G59" t="inlineStr">
        <is>
          <t>WATER</t>
        </is>
      </c>
      <c r="H59" t="inlineStr">
        <is>
          <t>FEMININE</t>
        </is>
      </c>
      <c r="I59" t="inlineStr">
        <is>
          <t>Monday</t>
        </is>
      </c>
      <c r="J59" t="inlineStr">
        <is>
          <t>ISIS, RA</t>
        </is>
      </c>
      <c r="K59" t="inlineStr">
        <is>
          <t>IMBOLC, SAMHAIN</t>
        </is>
      </c>
      <c r="L59" t="inlineStr">
        <is>
          <t>Helps raise magickal energies.</t>
        </is>
      </c>
      <c r="M59" t="inlineStr">
        <is>
          <t>Myrrh brings comfort to those who have lost a loved one, whose troubled hearts need the healing strength of understanding the mystery of death.</t>
        </is>
      </c>
      <c r="N59" t="inlineStr">
        <is>
          <t>Burned as incense, myrrh purifies the area, lifts the vibrations, aids contemplation and meditation, and creates peace.</t>
        </is>
      </c>
      <c r="O59" t="inlineStr">
        <is>
          <t>Burned as incense, myrrh purifies the area, lifts the vibrations, aids contemplation and meditation, and creates peace. However, it is seldom burned alone — usually in conjunction with frankincense or other resins. Myrrh increases the power of any incense to which it is added. Myrrh is also included in healing incenses and sachets, and its smoke is used to consecrate, purify, and bless objects such as amulets, talismans, charms, and magical tools. It also aids meditation and contemplation and is used in healing mixtures. Guards against evil, brings peace, and assists in understanding personal sorrow. Myrrh brings comfort to those who have lost a loved one, whose troubled hearts need the healing strength of understanding the mystery of death. Myrrh can be used to purify, protect, and break hexes. If you are having trouble with unwanted magical energies sent to you, anoint your house both first thing in the morning and last thing at night with myrrh for protection.</t>
        </is>
      </c>
      <c r="P59" t="inlineStr">
        <is>
          <t>Melissa</t>
        </is>
      </c>
      <c r="Q59" t="inlineStr">
        <is>
          <t>Indonesia (Tropical rainforests)</t>
        </is>
      </c>
      <c r="R59" t="inlineStr">
        <is>
          <t>Warning: Avoid during pregnancy. May interact with diabetes medications. Do not ingest large quantities.</t>
        </is>
      </c>
      <c r="AM59" t="inlineStr">
        <is>
          <t>Aquamarine</t>
        </is>
      </c>
      <c r="AN59"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59" t="inlineStr">
        <is>
          <t>Psychism, Peace, Confidence, Purification</t>
        </is>
      </c>
      <c r="AP59" t="inlineStr">
        <is>
          <t>Calcite</t>
        </is>
      </c>
      <c r="AQ59"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59" t="inlineStr">
        <is>
          <t>Luck, Prosperity, problem resolution, gambling, Healing, creativity, business success, attracting love.</t>
        </is>
      </c>
      <c r="AS59" t="inlineStr">
        <is>
          <t>Quartz Clear</t>
        </is>
      </c>
      <c r="AT59"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59" t="inlineStr">
        <is>
          <t>Protection, Healing, psychism, Strength, lactation</t>
        </is>
      </c>
      <c r="AV59" t="inlineStr">
        <is>
          <t>Moonstone</t>
        </is>
      </c>
      <c r="AW59"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59"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59" t="inlineStr">
        <is>
          <t>Melissa</t>
        </is>
      </c>
      <c r="AZ59" t="inlineStr">
        <is>
          <t>Love, Healing, Prosperity</t>
        </is>
      </c>
      <c r="BA59" t="inlineStr">
        <is>
          <t>GENTLENESS, Peace, PROGRESSIVENESS</t>
        </is>
      </c>
      <c r="BB59" t="inlineStr">
        <is>
          <t>Called the 'Bee’s Delight,' it is said that if you hold a leaf of Melissa in your hand, bees will not sting you. The plant was gifted to humans by the bees themselves, who wanted to share the secret of their own contentment and the sweet hum of life.</t>
        </is>
      </c>
      <c r="BC59" t="inlineStr">
        <is>
          <t>Honeysuckle</t>
        </is>
      </c>
      <c r="BD59" t="inlineStr">
        <is>
          <t>INCREASE PSYCHIC ABILITIES, INCREASE MONEY, Protection</t>
        </is>
      </c>
      <c r="BE59" t="inlineStr">
        <is>
          <t>RELAXING, SOOTHING, UPLIFTING, PSYCHIC POWERS</t>
        </is>
      </c>
      <c r="BF59" t="inlineStr">
        <is>
          <t>In the language of the fae, honeysuckle is known as the 'honey of the woods.' It is said that if you place a blossom under your pillow, you will dream of the location of hidden treasures—not just of gold, but of lost loves and forgotten truths.</t>
        </is>
      </c>
      <c r="BG59" t="inlineStr">
        <is>
          <t>Rose</t>
        </is>
      </c>
      <c r="BH59" t="inlineStr">
        <is>
          <t>Peace, Protection, Luck, PROMOTE LOVE &amp; AFFECTION</t>
        </is>
      </c>
      <c r="BI59" t="inlineStr">
        <is>
          <t>BALANCING, STRENGTHENING, Attracting good spirits</t>
        </is>
      </c>
      <c r="BJ59"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L59" t="inlineStr">
        <is>
          <t>MYRRH GUM</t>
        </is>
      </c>
      <c r="BM59" s="42" t="inlineStr">
        <is>
          <t>Sacred resin of grief and deep healing, the smoke of the sacred wound. Vibrations lifted, contemplation deepened, meditation held in its stillness. Comfort brought to those who grieve. Healing incenses made richer. The oldest offering — purifying and lifting in equal measure.</t>
        </is>
      </c>
    </row>
    <row r="60" ht="409.5" customHeight="1" s="56">
      <c r="A60" t="inlineStr">
        <is>
          <t>MYRRH GUM POWDER</t>
        </is>
      </c>
      <c r="B60" t="inlineStr">
        <is>
          <t>BOLA POWDER</t>
        </is>
      </c>
      <c r="C60" t="inlineStr">
        <is>
          <t>Commiphora myrrha</t>
        </is>
      </c>
      <c r="D60" t="inlineStr">
        <is>
          <t>Purification, protection, healing, meditation, and funerary rites. One of the most ancient and sacred of all magical resins. Burn to consecrate ritual space and sacred tools. Use in healing incense and protection blends. Add to anointing oils for spiritual work. Combine with frankincense for the classic sacred temple blend.,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t>
        </is>
      </c>
      <c r="E60" t="inlineStr">
        <is>
          <t>ISIS, ADONIS,RA, MARIAN</t>
        </is>
      </c>
      <c r="F60" t="inlineStr">
        <is>
          <t>MOON</t>
        </is>
      </c>
      <c r="G60" t="inlineStr">
        <is>
          <t>WATER</t>
        </is>
      </c>
      <c r="H60" t="inlineStr">
        <is>
          <t>FEMININE</t>
        </is>
      </c>
      <c r="I60" t="inlineStr">
        <is>
          <t>Monday</t>
        </is>
      </c>
      <c r="J60" t="inlineStr">
        <is>
          <t>ISIS, RA</t>
        </is>
      </c>
      <c r="K60" t="inlineStr">
        <is>
          <t>IMBOLC, SAMHAIN</t>
        </is>
      </c>
      <c r="L60" t="inlineStr">
        <is>
          <t>Myrrh was one of the gifts of the Magi and was used by the ancient Egyptians in the embalming process, believing it would preserve the spirit as well as the body. Mary Magdalene anointed Jesus with myrrh-based oils. In ancient trade, myrrh was worth more than gold by weight. Its bitter tears were said to be the weeping of trees that loved the gods.</t>
        </is>
      </c>
      <c r="M60" t="inlineStr">
        <is>
          <t>Myrrh brings comfort to those who have lost a loved one, whose troubled hearts need the healing strength of understanding the mystery of death.</t>
        </is>
      </c>
      <c r="N60" t="inlineStr">
        <is>
          <t>Burned as incense, myrrh purifies the area, lifts the vibrations, aids contemplation and meditation, and creates peace.</t>
        </is>
      </c>
      <c r="O60" t="inlineStr">
        <is>
          <t>Burned as incense, myrrh purifies the area, lifts the vibrations, aids contemplation and meditation, and creates peace. However, it is seldom burned alone — usually in conjunction with frankincense or other resins. Myrrh increases the power of any incense to which it is added. Myrrh is also included in healing incenses and sachets, and its smoke is used to consecrate, purify, and bless objects such as amulets, talismans, charms, and magical tools. It also aids meditation and contemplation and is used in healing mixtures. Guards against evil, brings peace, and assists in understanding personal sorrow. Myrrh brings comfort to those who have lost a loved one, whose troubled hearts need the healing strength of understanding the mystery of death. Myrrh can be used to purify, protect, and break hexes. Anoint your house first thing in the morning and last thing at night with myrrh for protection against pesky or unwanted magical energies.</t>
        </is>
      </c>
      <c r="P60" t="inlineStr">
        <is>
          <t>Melissa</t>
        </is>
      </c>
      <c r="Q60" t="inlineStr">
        <is>
          <t>Europe, North America (Deciduous tree bark)</t>
        </is>
      </c>
      <c r="R60" t="inlineStr">
        <is>
          <t>Warning: Avoid during pregnancy. May interact with diabetes medications. Do not ingest large quantities.</t>
        </is>
      </c>
      <c r="AM60" t="inlineStr">
        <is>
          <t>Aquamarine</t>
        </is>
      </c>
      <c r="AN60"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60" t="inlineStr">
        <is>
          <t>Psychism, Peace, Confidence, Purification</t>
        </is>
      </c>
      <c r="AP60" t="inlineStr">
        <is>
          <t>Calcite</t>
        </is>
      </c>
      <c r="AQ60"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60" t="inlineStr">
        <is>
          <t>Luck, Prosperity, problem resolution, gambling, Healing, creativity, business success, attracting love.</t>
        </is>
      </c>
      <c r="AS60" t="inlineStr">
        <is>
          <t>Quartz Clear</t>
        </is>
      </c>
      <c r="AT60"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60" t="inlineStr">
        <is>
          <t>Protection, Healing, psychism, Strength, lactation</t>
        </is>
      </c>
      <c r="AV60" t="inlineStr">
        <is>
          <t>Moonstone</t>
        </is>
      </c>
      <c r="AW60"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60"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60" t="inlineStr">
        <is>
          <t>Melissa</t>
        </is>
      </c>
      <c r="AZ60" t="inlineStr">
        <is>
          <t>Love, Healing, Prosperity</t>
        </is>
      </c>
      <c r="BA60" t="inlineStr">
        <is>
          <t>GENTLENESS, Peace, PROGRESSIVENESS</t>
        </is>
      </c>
      <c r="BB60" t="inlineStr">
        <is>
          <t>Called the 'Bee’s Delight,' it is said that if you hold a leaf of Melissa in your hand, bees will not sting you. The plant was gifted to humans by the bees themselves, who wanted to share the secret of their own contentment and the sweet hum of life.</t>
        </is>
      </c>
      <c r="BC60" t="inlineStr">
        <is>
          <t>Honeysuckle</t>
        </is>
      </c>
      <c r="BD60" t="inlineStr">
        <is>
          <t>INCREASE PSYCHIC ABILITIES, INCREASE MONEY, Protection</t>
        </is>
      </c>
      <c r="BE60" t="inlineStr">
        <is>
          <t>RELAXING, SOOTHING, UPLIFTING, PSYCHIC POWERS</t>
        </is>
      </c>
      <c r="BF60" t="inlineStr">
        <is>
          <t>In the language of the fae, honeysuckle is known as the 'honey of the woods.' It is said that if you place a blossom under your pillow, you will dream of the location of hidden treasures—not just of gold, but of lost loves and forgotten truths.</t>
        </is>
      </c>
      <c r="BG60" t="inlineStr">
        <is>
          <t>Rose</t>
        </is>
      </c>
      <c r="BH60" t="inlineStr">
        <is>
          <t>Peace, Protection, Luck, PROMOTE LOVE &amp; AFFECTION</t>
        </is>
      </c>
      <c r="BI60" t="inlineStr">
        <is>
          <t>BALANCING, STRENGTHENING, Attracting good spirits</t>
        </is>
      </c>
      <c r="BJ60"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L60" t="inlineStr">
        <is>
          <t>MYRRH GUM POWDER</t>
        </is>
      </c>
      <c r="BM60" s="42" t="inlineStr">
        <is>
          <t>Ancient resin of sacred purpose, carrying the weight of deep time. Purification, protection and healing all deepened in its presence. Funerary rites and grief work find it essential. The resin that has always been lit at the threshold between the living and what lies beyond.</t>
        </is>
      </c>
    </row>
    <row r="61" ht="409.5" customHeight="1" s="56">
      <c r="A61" t="inlineStr">
        <is>
          <t>NETTLE</t>
        </is>
      </c>
      <c r="B61" t="inlineStr">
        <is>
          <t>STINGING NETTLE</t>
        </is>
      </c>
      <c r="C61" t="inlineStr">
        <is>
          <t>Urtica dioica</t>
        </is>
      </c>
      <c r="D61" t="inlineStr">
        <is>
          <t>Protection, healing, lust, courage, and exorcism. Stuff a poppet with nettles to break curses and return them to the sender. Throw into a fire to avert danger. Carry in a charm bag for courage and to ward off fear. Sprinkle around the home to drive out negative presences. Use in healing spells for building strength and vitality., Protective charm, Protective charms, Protective sachets, Protective wreaths, Protective incense, PROTECT AGAINST NEGATIVITY, Protection from negativity, Circle protection</t>
        </is>
      </c>
      <c r="E61" t="inlineStr">
        <is>
          <t>GEMINI, VIRGO, AQUARIUS, VENUS</t>
        </is>
      </c>
      <c r="F61" t="inlineStr">
        <is>
          <t>MERCURY</t>
        </is>
      </c>
      <c r="G61" t="inlineStr">
        <is>
          <t>FIRE</t>
        </is>
      </c>
      <c r="H61" t="inlineStr">
        <is>
          <t>MASCULINE</t>
        </is>
      </c>
      <c r="I61" t="inlineStr">
        <is>
          <t>WEDNESDAY</t>
        </is>
      </c>
      <c r="J61" t="inlineStr">
        <is>
          <t>ALL, ARES</t>
        </is>
      </c>
      <c r="K61" t="inlineStr">
        <is>
          <t>OSTARA, MABON</t>
        </is>
      </c>
      <c r="L61" t="inlineStr">
        <is>
          <t>The stinging nettle has been used in magic for thousands of years — its sting itself was used in folk medicine, deliberately applied to arthritic joints to stimulate healing. In Norse tradition, nettle cloth was woven to make garments of protection. The fairy tale of the Seven Swans features a heroine who must weave shirts from nettles to break an enchantment.</t>
        </is>
      </c>
      <c r="M61" t="inlineStr">
        <is>
          <t>Protection, healing, lust, courage, and exorcism. Stuff a poppet with nettles to break curses and return them to the sender. Throw into a fire to avert danger. Carry in a charm bag for courage and to ward off fear. Sprinkle around the home to drive out negative presences. Use in healing spells for building strength and vitality.</t>
        </is>
      </c>
      <c r="N61" t="inlineStr">
        <is>
          <t>for purification baths and used as holy water for the charging and blessing of ritual tools.</t>
        </is>
      </c>
      <c r="O61" t="inlineStr">
        <is>
          <t>When burned as a smudge or incense, nettle helps to dispel sickness, drive away demonic entities, and deter ghosts. Dried and powdered leaves or roots were sprinkled around the perimeters of a house to protect it from all sorts of malignant forces. Fresh garlands of stinging nettles were hung above sickbeds to help hasten recovery and drive away illness, while brews made from the leaves and roots were employed for purification baths and used as holy water for the charging and blessing of ritual tools. When combined with yarrow, it was used as a smudge to cast away negative forces and to dispel deep-seated fears. When made into cloth or paper, it was considered the best type of parchment for grimoires and amulets which required the use of words of power.</t>
        </is>
      </c>
      <c r="P61" t="inlineStr">
        <is>
          <t>Sandalwood w.i.</t>
        </is>
      </c>
      <c r="Q61" t="inlineStr">
        <is>
          <t>Northeast Africa (Arid dry hills)</t>
        </is>
      </c>
      <c r="R61" t="inlineStr">
        <is>
          <t>Warning: Do not use if pregnant, have hypertension, diabetes or serious kidney disease.</t>
        </is>
      </c>
      <c r="AM61" t="inlineStr">
        <is>
          <t>agate Botswana</t>
        </is>
      </c>
      <c r="AN61" t="inlineStr">
        <is>
          <t>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t>
        </is>
      </c>
      <c r="AO61" t="inlineStr">
        <is>
          <t>Energy of growth, expansion, New beginnings, nourishment, health. It enhances vitality, brings abundance, keeps us growing physically.</t>
        </is>
      </c>
      <c r="AY61" t="inlineStr">
        <is>
          <t>Sandalwood w.i.</t>
        </is>
      </c>
      <c r="AZ61" t="inlineStr">
        <is>
          <t>Protection, EXC, SISM</t>
        </is>
      </c>
      <c r="BA61" t="inlineStr">
        <is>
          <t>SPIRITUALITY, HARMONISING</t>
        </is>
      </c>
      <c r="BB61"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BC61" t="inlineStr">
        <is>
          <t>Marjoram</t>
        </is>
      </c>
      <c r="BD61" t="inlineStr">
        <is>
          <t>Happiness, Healing, Love, Prosperity, Protection</t>
        </is>
      </c>
      <c r="BE61" t="inlineStr">
        <is>
          <t>Harmony, Peace, PERSEVERANCE</t>
        </is>
      </c>
      <c r="BF61"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BG61" t="inlineStr">
        <is>
          <t>Clove Bud</t>
        </is>
      </c>
      <c r="BH61" t="inlineStr">
        <is>
          <t>Love, Prosperity, Protection, HELP ATTRACT OPPOSITE SEX, Purification</t>
        </is>
      </c>
      <c r="BI61" t="inlineStr">
        <is>
          <t>INNER WARMTH, INSPIRATION, REGENERATION, MENTAL POWERS</t>
        </is>
      </c>
      <c r="BJ61"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K61" t="inlineStr">
        <is>
          <t>GEMINI, VIRGO, AQUARIUS</t>
        </is>
      </c>
      <c r="BL61" t="inlineStr">
        <is>
          <t>NETTLE</t>
        </is>
      </c>
      <c r="BM61" s="42" t="inlineStr">
        <is>
          <t>Stinging fire of the wild edge, the herb that demands respect and rewards it. Curses broken and returned to sender. Purification baths sharpened, ritual tools blessed in its presence. Protection, healing, courage and exorcism all find it a fierce ally.</t>
        </is>
      </c>
    </row>
    <row r="62" ht="409.5" customHeight="1" s="56">
      <c r="A62" t="inlineStr">
        <is>
          <t>NUTMEG POWDER</t>
        </is>
      </c>
      <c r="B62" t="inlineStr">
        <is>
          <t>NUX MOSHATA</t>
        </is>
      </c>
      <c r="C62" t="inlineStr">
        <is>
          <t>Myristica fragrans</t>
        </is>
      </c>
      <c r="D62" t="inlineStr">
        <is>
          <t>Enhancing clairvoyance, Enhancing divination, Drawing money, Invoking dreams, Aiding fertility, Aiding gain, Love, Meditation, Passion, Prosperity, Clairvoyance, Psychic development, Psychic powers, INCREASE PSYCHIC ABILITIES, Psychic awareness, Stimulating psychic senses, Disabling psychic phenomena, Psychic communication, communication and psychic abilities, Divination, Divinatory incense, Foretelling the future, Future divination, Scrying, Dowsing, Prophecy, Fertility, Female fertility, Fertility magic, Fertility charms, Increasing fertility, Fruitfulness, Virility, male virility, Abundant harvest, Wealth, Wealth/Prosperity, Attracting business, Business dealings, abundance, Financial arrangements, Gain, PROSPERITY SPELLS, Increasing wealth, Money, Money spells, Attracting money, INCREASE MONEY, Breaking financial stagnation, Money mixtures, Protecting against poverty, Warding off poverty, Prophetic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Desire</t>
        </is>
      </c>
      <c r="E62" t="inlineStr">
        <is>
          <t>ARES, MARS, ARIES, SCORPIO</t>
        </is>
      </c>
      <c r="F62" t="inlineStr">
        <is>
          <t>MARS</t>
        </is>
      </c>
      <c r="G62" t="inlineStr">
        <is>
          <t>FIRE</t>
        </is>
      </c>
      <c r="H62" t="inlineStr">
        <is>
          <t>MASCULINE</t>
        </is>
      </c>
      <c r="I62" t="inlineStr">
        <is>
          <t>TUESDAY</t>
        </is>
      </c>
      <c r="J62" t="inlineStr">
        <is>
          <t>ARES</t>
        </is>
      </c>
      <c r="K62" t="inlineStr">
        <is>
          <t>BELTANE, SAMHAIN</t>
        </is>
      </c>
      <c r="L62" t="inlineStr">
        <is>
          <t>Associated with Samhain and Yule. Creole folk used in love charms.</t>
        </is>
      </c>
      <c r="M62" t="inlineStr">
        <is>
          <t>It is used in matters pertaining to love, meditation, passion, and prosperity.</t>
        </is>
      </c>
      <c r="N62" t="inlineStr">
        <is>
          <t>Meditation</t>
        </is>
      </c>
      <c r="O62" t="inlineStr">
        <is>
          <t>Nutmeg is mainly used to enhance clairvoyance and divination. It is also used in spells for drawing money, invoking dreams, aiding fertility, and gain. It is used in matters pertaining to love, meditation, passion, and prosperity.</t>
        </is>
      </c>
      <c r="P62" t="inlineStr">
        <is>
          <t>Pine</t>
        </is>
      </c>
      <c r="Q62" t="inlineStr">
        <is>
          <t>Europe, Mediterranean (Rocky slopes)</t>
        </is>
      </c>
      <c r="R62" t="inlineStr">
        <is>
          <t>Warning: Toxic in large quantities — can cause hallucinations, nausea, and seizures. Use small amounts only.</t>
        </is>
      </c>
      <c r="AM62" t="inlineStr">
        <is>
          <t>Bloodstone</t>
        </is>
      </c>
      <c r="AN62"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O62" t="inlineStr">
        <is>
          <t>Healing, Prosperity, Confidence, physical strength, stress relief, help in business, legal matters, revitalization, guidance, rain, ganization.</t>
        </is>
      </c>
      <c r="AP62" t="inlineStr">
        <is>
          <t>Garnet</t>
        </is>
      </c>
      <c r="AQ62"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R62" t="inlineStr">
        <is>
          <t>Healing, cheery disposition, Confidence, Love, business success, past life regression, consistency of love &amp; friendship, travel protection, Happiness, Peace, Harmony, patience, inspiration, persistence, wisdom, fertility.</t>
        </is>
      </c>
      <c r="AS62" t="inlineStr">
        <is>
          <t>Pyrite (Fool's Gold)</t>
        </is>
      </c>
      <c r="AT62"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AU62" t="inlineStr">
        <is>
          <t>Logic, clarity, mem, Clairvoyance, Prosperity, will power, grounding, Harmony, Strength</t>
        </is>
      </c>
      <c r="AV62" t="inlineStr">
        <is>
          <t>Red Jasper</t>
        </is>
      </c>
      <c r="AW62"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AX62" t="inlineStr">
        <is>
          <t>Beauty, grace, increasing mental processes, Luck, easing pain of childbirth, Anti-theft, ming barrier against dangerous whims &amp; desires.</t>
        </is>
      </c>
      <c r="AY62" t="inlineStr">
        <is>
          <t>Pine</t>
        </is>
      </c>
      <c r="AZ62" t="inlineStr">
        <is>
          <t>PROSPERITY SPELLS, Prosperity</t>
        </is>
      </c>
      <c r="BA62" t="inlineStr">
        <is>
          <t>Harmony, Happiness, Strength</t>
        </is>
      </c>
      <c r="BB62"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62" t="inlineStr">
        <is>
          <t>Ginger</t>
        </is>
      </c>
      <c r="BD62" t="inlineStr">
        <is>
          <t>Prosperity, Healing, Love, Strength</t>
        </is>
      </c>
      <c r="BE62" t="inlineStr">
        <is>
          <t>Confidence, EMPATHY, LIBERATION, OPTIMISM, STRENGTHENS</t>
        </is>
      </c>
      <c r="BF62" t="inlineStr">
        <is>
          <t>It is said that Ginger grew where a drop of liquid sun hit the earth. Because of its fiery taste, it was believed to grant the eater the 'fire of the gut,' helping them digest not just food, but life experiences, turning bitterness into wisdom.</t>
        </is>
      </c>
      <c r="BG62" t="inlineStr">
        <is>
          <t>Cedarwood</t>
        </is>
      </c>
      <c r="BH62" t="inlineStr">
        <is>
          <t>Purification, Protection, RID OF BAD DREAMS, Prosperity</t>
        </is>
      </c>
      <c r="BI62" t="inlineStr">
        <is>
          <t>New beginnings, REGROWTH, CALMING &amp; COMF, Attracting good spirits, STRENGTHENING</t>
        </is>
      </c>
      <c r="BJ62"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K62" t="inlineStr">
        <is>
          <t>ARIES, SCORPIO</t>
        </is>
      </c>
      <c r="BL62" t="inlineStr">
        <is>
          <t>NUTMEG POWDER</t>
        </is>
      </c>
      <c r="BM62" s="42" t="inlineStr">
        <is>
          <t>Warm spice from the tropical forest, the herb that sharpens the inner sight. Clairvoyance and divination both deepened. Money drawn in, dreams invoked with intention. Fertility aided, meditation steadied. Love and prosperity both find it warm and willing.</t>
        </is>
      </c>
    </row>
    <row r="63" ht="409.5" customHeight="1" s="56">
      <c r="A63" t="inlineStr">
        <is>
          <t>OAK MOSS</t>
        </is>
      </c>
      <c r="B63" t="inlineStr">
        <is>
          <t>OLD MAN’S BEARD</t>
        </is>
      </c>
      <c r="C63" t="inlineStr">
        <is>
          <t>Evernia prunastri</t>
        </is>
      </c>
      <c r="D63" t="inlineStr">
        <is>
          <t>Money, luck, strength, and Druidic ritual work. Place in money sachets and wallets to attract and retain wealth. Used in spells for business success and financial stability. Add to incense for connection to ancient forest magic and the Green Man. Excellent for grounding spells and earth magic rituals.,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t>
        </is>
      </c>
      <c r="E63" t="inlineStr">
        <is>
          <t>HECATE, CRONE, HADES, PLUTO</t>
        </is>
      </c>
      <c r="F63" t="inlineStr">
        <is>
          <t>JUPITER</t>
        </is>
      </c>
      <c r="G63" t="inlineStr">
        <is>
          <t>EARTH</t>
        </is>
      </c>
      <c r="H63" t="inlineStr">
        <is>
          <t>FEMININE</t>
        </is>
      </c>
      <c r="I63" t="inlineStr">
        <is>
          <t>Thursday</t>
        </is>
      </c>
      <c r="J63" t="inlineStr">
        <is>
          <t>HECATE, PLUTO</t>
        </is>
      </c>
      <c r="K63" t="inlineStr">
        <is>
          <t>LAMMAS, MABON</t>
        </is>
      </c>
      <c r="L63" t="inlineStr">
        <is>
          <t>Oak Moss was sacred to the Druids as an extension of the sacred oak tree. Druids gathering mistletoe would also collect oak moss from the same trees, considering it an extension of the oak's power. In perfumery oak moss is a classic base note — its earthy, ancient smell is considered the scent of deep forest magic.</t>
        </is>
      </c>
      <c r="M63" t="inlineStr">
        <is>
          <t>Luck, money, protection, and strength. Oak moss may be used as an ingredient or substitute for magic spells and formulas related to Jupiter matters such as growth, legal matters, luck, meditation, money, prosperity, settling legal matters, and spirituality.</t>
        </is>
      </c>
      <c r="N63" t="inlineStr">
        <is>
          <t>Oak moss may be used as an ingredient or substitute for magic spells and formulas related to Jupiter matters such as growth, legal matters, luck, meditation, money, prosperity, settling legal matters, and spirituality.</t>
        </is>
      </c>
      <c r="O63" t="inlineStr">
        <is>
          <t>Luck, money, protection, and strength. Oak moss may be used as an ingredient or substitute for magic spells and formulas related to Jupiter matters such as growth, legal matters, luck, meditation, money, prosperity, settling legal matters, and spirituality. It is a good addition to potpourri, helping to fix the scents and add a forest-like smell. It is especially suited for work involving the Crone or other permutations of death and birth, and it helps us connect to elemental earth energy. Use in prosperity spells, gnome magic, and spells to Mother Earth. Use in itch bottles for home and business.</t>
        </is>
      </c>
      <c r="P63" t="inlineStr">
        <is>
          <t>Honeysuckle</t>
        </is>
      </c>
      <c r="Q63" t="inlineStr">
        <is>
          <t>Mediterranean (Rocky hillsides)</t>
        </is>
      </c>
      <c r="R63" t="inlineStr">
        <is>
          <t>Warning: Do not ingest.</t>
        </is>
      </c>
      <c r="AM63" t="inlineStr">
        <is>
          <t>Emerald</t>
        </is>
      </c>
      <c r="AN63" t="inlineStr">
        <is>
          <t>Emerald is also a stone of great vision, Divination, associated with the eyes, Clairvoyance, long believed to f, etell future events, reveal one’s truths. It is a stone of wisdom, enhancing mem, increasing mental clarity. It combines intelligence with discernment, brings to the conscious mind what is unconsciously known. Emerald also increases focus, intent, activating psychic abilities, opening clairvoyance. Traditionally it was used as a protection against enchantment, Bolstering spells</t>
        </is>
      </c>
      <c r="AO63" t="inlineStr">
        <is>
          <t>Vision, divination, clairvoyance, love, prosperity, healing, fertility, memory, communication, truth, loyalty</t>
        </is>
      </c>
      <c r="AY63" t="inlineStr">
        <is>
          <t>Honeysuckle</t>
        </is>
      </c>
      <c r="AZ63" t="inlineStr">
        <is>
          <t>INCREASE PSYCHIC ABILITIES, INCREASE MONEY, Protection</t>
        </is>
      </c>
      <c r="BA63" t="inlineStr">
        <is>
          <t>RELAXING, SOOTHING, UPLIFTING, PSYCHIC POWERS</t>
        </is>
      </c>
      <c r="BB63" t="inlineStr">
        <is>
          <t>In the language of the fae, honeysuckle is known as the 'honey of the woods.' It is said that if you place a blossom under your pillow, you will dream of the location of hidden treasures—not just of gold, but of lost loves and forgotten truths.</t>
        </is>
      </c>
      <c r="BC63" t="inlineStr">
        <is>
          <t>Clove Bud</t>
        </is>
      </c>
      <c r="BD63" t="inlineStr">
        <is>
          <t>Love, Prosperity, Protection, HELP ATTRACT OPPOSITE SEX, Purification</t>
        </is>
      </c>
      <c r="BE63" t="inlineStr">
        <is>
          <t>INNER WARMTH, INSPIRATION, REGENERATION, MENTAL POWERS</t>
        </is>
      </c>
      <c r="BF63"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G63" t="inlineStr">
        <is>
          <t>Cinnamon</t>
        </is>
      </c>
      <c r="BH63" t="inlineStr">
        <is>
          <t>Love, Prosperity, Protection, HELP ATTRACT OPPOSITE SEX, Purification</t>
        </is>
      </c>
      <c r="BI63" t="inlineStr">
        <is>
          <t>INNER WARMTH, INSPIRATION, REGENERATION, MENTAL POWERS</t>
        </is>
      </c>
      <c r="BJ63"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L63" t="inlineStr">
        <is>
          <t>OAK MOSS</t>
        </is>
      </c>
      <c r="BM63" s="42" t="inlineStr">
        <is>
          <t>Forest floor and old stone, the smell of deep Druidic practice. Jupiter's own energy — money, luck and strength running through ancient roots. Druidic ritual work finds it grounding. Where the working needs to go deep and stay rooted, this holds it there.</t>
        </is>
      </c>
    </row>
    <row r="64" ht="409.5" customHeight="1" s="56">
      <c r="A64" t="inlineStr">
        <is>
          <t>OAKBARK RED</t>
        </is>
      </c>
      <c r="B64" t="inlineStr">
        <is>
          <t>JOVE’S NUTS</t>
        </is>
      </c>
      <c r="C64" t="inlineStr">
        <is>
          <t>Quercus Robur</t>
        </is>
      </c>
      <c r="D64" t="inlineStr">
        <is>
          <t>Truth, Steadfast knowledge, Protection, Vitality, Long life, Healing, Grounding, Focus, Observation, Intuition, Bravery, Presence, Leadership skills, Prosperity, Strength, Psychic development, Rest, Sleep, Prophetic dreams, Invoking dreams, Dream work, Dreams, Visions, Seeing the unseen, Seeing manifestations, Honesty, Removing deception, Subconscious work, Digging into the subconscious, Uprooting what is hidden, Scrying, Dowsing, Treasure seeking, Lost object finding, Protective charm, Protective charms, Protective sachets, Protective wreaths, Protective incense, PROTECT AGAINST NEGATIVITY, Protection from negativity, Circle protection, Physical Strength, Fortitude, Inner power, and strength, Longevity, Immortality, Eternal youth, Rejuvenation, Vigorous old age, Lengthening lifespan, Life,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Sun God offerings, Solar spells, Wisdom, Knowledge, Intelligence, Mental clarity, Sharpening the wits, Sharpening the brain, Mental powers, MEM, Memory, Illumination, Enlightenment, Confidence, Self-confidence, Courage, Determination, Will Power, Leadership, Commanding, Personal power,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Clairvoyance, Enhancing clairvoyance, Psychic powers, INCREASE PSYCHIC ABILITIES, Psychic awareness, Stimulating psychic senses, Disabling psychic phenomena, Psychic communication, communication and psychic abilities, Nightmare prevention, Preventing nightmares, Negating dreams, RID OF BAD DREAMS, Nightmares, Encouraging sound sleep</t>
        </is>
      </c>
      <c r="E64" t="inlineStr">
        <is>
          <t>CERNUNNOS, FREYA, HELIOS, HERNE, DAGDA</t>
        </is>
      </c>
      <c r="F64" t="inlineStr">
        <is>
          <t>JUPITER</t>
        </is>
      </c>
      <c r="G64" t="inlineStr">
        <is>
          <t>EARTH</t>
        </is>
      </c>
      <c r="H64" t="inlineStr">
        <is>
          <t>MASCULINE</t>
        </is>
      </c>
      <c r="I64" t="inlineStr">
        <is>
          <t>Thursday</t>
        </is>
      </c>
      <c r="J64" t="inlineStr">
        <is>
          <t>CYBELE, GAIA, JUPITER, PAN, THOR, ZEUS</t>
        </is>
      </c>
      <c r="K64" t="inlineStr">
        <is>
          <t>LAMMAS, MABON</t>
        </is>
      </c>
      <c r="L64" t="inlineStr">
        <is>
          <t>Sacred tree of Celtic Astrology. Closely aligned with the elements.</t>
        </is>
      </c>
      <c r="M64" t="inlineStr">
        <is>
          <t>protection, psychic development, rest, and sleep.</t>
        </is>
      </c>
      <c r="N64" t="inlineStr">
        <is>
          <t>Psychic development</t>
        </is>
      </c>
      <c r="O64" t="inlineStr">
        <is>
          <t>Truth, steadfast knowledge, and protection. Oak wands bring vitality and long life. Utilised as a healing wood and very well grounded considering its strong connection to the earth, this wood helps centre the mind, allowing it to focus on the task at hand and ignore distractions. Oak helps promote both observation and intuition. Oak magic inspires bravery, presence, leadership skills, prosperity, and strength. Use for protection, psychic development, rest, and sleep.</t>
        </is>
      </c>
      <c r="P64" t="inlineStr">
        <is>
          <t>Clove Bud</t>
        </is>
      </c>
      <c r="Q64" t="inlineStr">
        <is>
          <t>Mediterranean (Cultivated gardens)</t>
        </is>
      </c>
      <c r="R64" t="inlineStr">
        <is>
          <t>Warning: Do not ingest.</t>
        </is>
      </c>
      <c r="AM64" t="inlineStr">
        <is>
          <t>Emerald</t>
        </is>
      </c>
      <c r="AN64" t="inlineStr">
        <is>
          <t>Emerald is also a stone of great vision, Divination, associated with the eyes, Clairvoyance, long believed to f, etell future events, reveal one’s truths. It is a stone of wisdom, enhancing mem, increasing mental clarity. It combines intelligence with discernment, brings to the conscious mind what is unconsciously known. Emerald also increases focus, intent, activating psychic abilities, opening clairvoyance. Traditionally it was used as a protection against enchantment, Bolstering spells</t>
        </is>
      </c>
      <c r="AO64" t="inlineStr">
        <is>
          <t>Vision, divination, clairvoyance, love, prosperity, healing, fertility, memory, communication, truth, loyalty</t>
        </is>
      </c>
      <c r="AY64" t="inlineStr">
        <is>
          <t>Clove Bud</t>
        </is>
      </c>
      <c r="AZ64" t="inlineStr">
        <is>
          <t>Love, Prosperity, Protection, HELP ATTRACT OPPOSITE SEX, Purification</t>
        </is>
      </c>
      <c r="BA64" t="inlineStr">
        <is>
          <t>INNER WARMTH, INSPIRATION, REGENERATION, MENTAL POWERS</t>
        </is>
      </c>
      <c r="BB64"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C64" t="inlineStr">
        <is>
          <t>Cinnamon</t>
        </is>
      </c>
      <c r="BD64" t="inlineStr">
        <is>
          <t>Love, Prosperity, Protection, HELP ATTRACT OPPOSITE SEX, Purification</t>
        </is>
      </c>
      <c r="BE64" t="inlineStr">
        <is>
          <t>INNER WARMTH, INSPIRATION, REGENERATION, MENTAL POWERS</t>
        </is>
      </c>
      <c r="BF64"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G64" t="inlineStr">
        <is>
          <t>Cedarwood</t>
        </is>
      </c>
      <c r="BH64" t="inlineStr">
        <is>
          <t>Purification, Protection, RID OF BAD DREAMS, Prosperity</t>
        </is>
      </c>
      <c r="BI64" t="inlineStr">
        <is>
          <t>New beginnings, REGROWTH, CALMING &amp; COMF, Attracting good spirits, STRENGTHENING</t>
        </is>
      </c>
      <c r="BJ64"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L64" t="inlineStr">
        <is>
          <t>OAKBARK RED</t>
        </is>
      </c>
      <c r="BM64" s="42" t="inlineStr">
        <is>
          <t>The oak's own heartwood truth — steadfast, vital, enduring. Knowledge held firm, protection rooted deeply. Long life and healing carried in its grain. Grounding and focus held in equal measure. Bravery and intuition both strengthened in its presence.</t>
        </is>
      </c>
    </row>
    <row r="65" ht="363" customHeight="1" s="56">
      <c r="A65" t="inlineStr">
        <is>
          <t>OAKLEAF</t>
        </is>
      </c>
      <c r="B65" t="inlineStr">
        <is>
          <t>DEVIL’S ANGER</t>
        </is>
      </c>
      <c r="C65" t="inlineStr">
        <is>
          <t>Quercus robur leaves</t>
        </is>
      </c>
      <c r="D65" t="inlineStr">
        <is>
          <t>Purification, Cleansing body and spirit, Aiding recovery, Protection from evil, Keeping illness away,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Sweeping sacred spaces, Cleansing ritual areas, Cleansing negativity, Ritual baths, Ritual bath, Cleansing before ritual, Purifying body and mind, Healing, Healing magic, Healing spells, Healing sachets, Healing incenses, Healing mixtures, Healing rituals, Healing incense, Healing vibrations, healing after surgery, Aiding the ill, Improving health, Speeding recovery, Good health, health, Protection (hexes/evil), Psychic protection, Psychic shielding, Protection from hexes, Protection from conjure,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sickness away, Curing fevers, Dispelling melancholy, Preventing illness, Protection against disease</t>
        </is>
      </c>
      <c r="E65" t="inlineStr">
        <is>
          <t>CERNUNNOS, FREYA, HELIOS, HERNE, DAGDA</t>
        </is>
      </c>
      <c r="F65" t="inlineStr">
        <is>
          <t>JUPITER</t>
        </is>
      </c>
      <c r="G65" t="inlineStr">
        <is>
          <t>EARTH</t>
        </is>
      </c>
      <c r="H65" t="inlineStr">
        <is>
          <t>MASCULINE</t>
        </is>
      </c>
      <c r="I65" t="inlineStr">
        <is>
          <t>Thursday</t>
        </is>
      </c>
      <c r="J65" t="inlineStr">
        <is>
          <t>CYBELE, GAIA, JUPITER, PAN, THOR, ZEUS</t>
        </is>
      </c>
      <c r="K65" t="inlineStr">
        <is>
          <t>LAMMAS, MABON</t>
        </is>
      </c>
      <c r="L65" t="inlineStr">
        <is>
          <t>Sacred to Herne and Dagda. King of the Forest.</t>
        </is>
      </c>
      <c r="M65" t="inlineStr">
        <is>
          <t>Purification, Cleansing body and spirit, Aiding recovery, Protection from evil, Keeping illness away</t>
        </is>
      </c>
      <c r="N65" t="inlineStr">
        <is>
          <t>burned in the house of sick friends to aid recovery.</t>
        </is>
      </c>
      <c r="O65" t="inlineStr">
        <is>
          <t>Gather the leaves by night. They are a symbol of purification used in the bath to cleanse the body and spirit, and burned in the house of sick friends to aid recovery. Carrying a leaf of oak close to the heart will protect you from evil, purify, and keep illness away.</t>
        </is>
      </c>
      <c r="P65" t="inlineStr">
        <is>
          <t>Clove Bud</t>
        </is>
      </c>
      <c r="Q65" t="inlineStr">
        <is>
          <t>Europe, North Africa (Damp marshy areas)</t>
        </is>
      </c>
      <c r="R65" t="inlineStr">
        <is>
          <t>Warning: Do not ingest.</t>
        </is>
      </c>
      <c r="AM65" t="inlineStr">
        <is>
          <t>Emerald</t>
        </is>
      </c>
      <c r="AN65" t="inlineStr">
        <is>
          <t>Emerald is also a stone of great vision, Divination, associated with the eyes, Clairvoyance, long believed to f, etell future events, reveal one’s truths. It is a stone of wisdom, enhancing mem, increasing mental clarity. It combines intelligence with discernment, brings to the conscious mind what is unconsciously known. Emerald also increases focus, intent, activating psychic abilities, opening clairvoyance. Traditionally it was used as a protection against enchantment, Bolstering spells</t>
        </is>
      </c>
      <c r="AO65" t="inlineStr">
        <is>
          <t>Vision, divination, clairvoyance, love, prosperity, healing, fertility, memory, communication, truth, loyalty</t>
        </is>
      </c>
      <c r="AY65" t="inlineStr">
        <is>
          <t>Clove Bud</t>
        </is>
      </c>
      <c r="AZ65" t="inlineStr">
        <is>
          <t>Love, Prosperity, Protection, HELP ATTRACT OPPOSITE SEX, Purification</t>
        </is>
      </c>
      <c r="BA65" t="inlineStr">
        <is>
          <t>INNER WARMTH, INSPIRATION, REGENERATION, MENTAL POWERS</t>
        </is>
      </c>
      <c r="BB65"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C65" t="inlineStr">
        <is>
          <t>Cinnamon</t>
        </is>
      </c>
      <c r="BD65" t="inlineStr">
        <is>
          <t>Love, Prosperity, Protection, HELP ATTRACT OPPOSITE SEX, Purification</t>
        </is>
      </c>
      <c r="BE65" t="inlineStr">
        <is>
          <t>INNER WARMTH, INSPIRATION, REGENERATION, MENTAL POWERS</t>
        </is>
      </c>
      <c r="BF65"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BG65" t="inlineStr">
        <is>
          <t>Cedarwood</t>
        </is>
      </c>
      <c r="BH65" t="inlineStr">
        <is>
          <t>Purification, Protection, RID OF BAD DREAMS, Prosperity</t>
        </is>
      </c>
      <c r="BI65" t="inlineStr">
        <is>
          <t>New beginnings, REGROWTH, CALMING &amp; COMF, Attracting good spirits, STRENGTHENING</t>
        </is>
      </c>
      <c r="BJ65"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L65" t="inlineStr">
        <is>
          <t>OAKLEAF</t>
        </is>
      </c>
      <c r="BM65" s="42" t="inlineStr">
        <is>
          <t>Purification from the most sacred tree, cleansing body and spirit to the core. Recovery aided, evil held at a distance. Burned in the homes of the sick — the forest's own medicine, the oldest remedy on the altar.</t>
        </is>
      </c>
    </row>
    <row r="66" ht="409.5" customHeight="1" s="56">
      <c r="A66" t="inlineStr">
        <is>
          <t>SWEET MYRRH</t>
        </is>
      </c>
      <c r="B66" t="inlineStr">
        <is>
          <t>OPOPONAX</t>
        </is>
      </c>
      <c r="C66" t="inlineStr">
        <is>
          <t>Commiphora erythraea</t>
        </is>
      </c>
      <c r="D66" t="inlineStr">
        <is>
          <t>Purification, Lifting vibrations, Contemplation, Meditation, Peace, Increasing power of incense, Healing incenses, Healing sachets, Consecration, Blessing objects, Protection, Guarding against evil, Wisdom, Magical power, Purifying ritual areas, Purifying  Purifying new homes, Purifying new homes, Purifying the home, Self-purification, Purifying ritual spaces, Purification rituals, Sanctifying an area, Dedicating sacred spaces, Creating sacred spaces,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Concentration, Focus, Sun God offerings, Solar spells, Healing, Healing magic, Healing spells, Healing mixtures, Healing rituals, Healing incense, Healing vibrations, healing after surgery, Aiding recovery, Aiding the ill, Improving health, Speeding recovery, Good health, health, Protective charm, Protective charms, Protective wreaths, Protective incense, PROTECT AGAINST NEGATIVITY, Protection from negativity, Circle protection, Protection (hexes/evil), Psychic protection, Psychic shielding, Protection from hexes, Protection from conjure, Protection from evil, Protection from evil spirits, Protection from hauntings, Ju-ju / gris-gris protection, Guarding against sorcery,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Knowledge, Intelligence, Intuition, Mental clarity, Sharpening the wits, Sharpening the brain, Mental powers, MEM, Memory, Illumination, Enlightenment, Increasing magical power, Increasing spell power, Power amplification, Bolstering spells, Bolstering incense, Strengthening spells, Potency, Power, Magic, WISDOM IN MAGICK, defensive magic</t>
        </is>
      </c>
      <c r="E66" t="inlineStr">
        <is>
          <t>ISIS</t>
        </is>
      </c>
      <c r="F66" t="inlineStr">
        <is>
          <t>MOON</t>
        </is>
      </c>
      <c r="G66" t="inlineStr">
        <is>
          <t>AIR</t>
        </is>
      </c>
      <c r="H66" t="inlineStr">
        <is>
          <t>FEMININE</t>
        </is>
      </c>
      <c r="I66" t="inlineStr">
        <is>
          <t>MONDAY</t>
        </is>
      </c>
      <c r="J66" t="inlineStr">
        <is>
          <t>ISIS</t>
        </is>
      </c>
      <c r="K66" t="inlineStr">
        <is>
          <t>IMBOLC, SAMHAIN</t>
        </is>
      </c>
      <c r="L66" t="inlineStr">
        <is>
          <t>Associated with Chiron.</t>
        </is>
      </c>
      <c r="M66" t="inlineStr">
        <is>
          <t>Purification, Lifting vibrations, Contemplation, Meditation, Peace, Increasing power of incense, Healing incenses, Healing sachets, Consecration, Blessing objects</t>
        </is>
      </c>
      <c r="N66" t="inlineStr">
        <is>
          <t>Burned as incense, sweet myrrh purifies the area, lifts the vibrations, aids contemplation and meditation, and creates peace.</t>
        </is>
      </c>
      <c r="O66" t="inlineStr">
        <is>
          <t>Burned as incense, sweet myrrh purifies the area, lifts the vibrations, aids contemplation and meditation, and creates peace. However, it is seldom burned alone — usually in conjunction with frankincense or other resins. Myrrh increases the power of any incense to which it is added. Myrrh is also included in healing incenses and sachets, and its smoke is used to consecrate, purify, and bless objects such as amulets, talismans, charms, and magical tools. It also aids meditation and contemplation and is used in healing mixtures. Guards against evil, brings peace, and assists in understanding personal sorrow.</t>
        </is>
      </c>
      <c r="P66" t="inlineStr">
        <is>
          <t>Melissa</t>
        </is>
      </c>
      <c r="Q66" t="inlineStr">
        <is>
          <t>Europe (Cultivated in damp soil)</t>
        </is>
      </c>
      <c r="R66" t="inlineStr">
        <is>
          <t>Warning: Avoid during pregnancy. May interact with diabetes medications. Do not ingest large quantities.</t>
        </is>
      </c>
      <c r="AM66" t="inlineStr">
        <is>
          <t>quartz snow</t>
        </is>
      </c>
      <c r="AN66" t="inlineStr">
        <is>
          <t>Because Quartz is so good at abs, bing energy you must take care to cleanse it th, oughly after w, king with it. Nobody should be allowed to touch your personal Quartz without your permission, unless perhaps you need to capture their energy f, some reason. Snow Quartz is an excellent stone f, transmitting healing energy, especially f, emotional healing.Snow quartz is often used f, purification.</t>
        </is>
      </c>
      <c r="AO66" t="inlineStr">
        <is>
          <t>A very personal magical stone used to develop scrying ability, Magical power, to focus spell casting f, increased success.  Healing, drawing out pain, protection from negative vibrations, meditation, psychic powers, Harmony, magickal strength.</t>
        </is>
      </c>
      <c r="AY66" t="inlineStr">
        <is>
          <t>Melissa</t>
        </is>
      </c>
      <c r="AZ66" t="inlineStr">
        <is>
          <t>Love, Healing, Prosperity</t>
        </is>
      </c>
      <c r="BA66" t="inlineStr">
        <is>
          <t>GENTLENESS, Peace, PROGRESSIVENESS</t>
        </is>
      </c>
      <c r="BB66" t="inlineStr">
        <is>
          <t>Called the 'Bee’s Delight,' it is said that if you hold a leaf of Melissa in your hand, bees will not sting you. The plant was gifted to humans by the bees themselves, who wanted to share the secret of their own contentment and the sweet hum of life.</t>
        </is>
      </c>
      <c r="BC66" t="inlineStr">
        <is>
          <t>Geranium</t>
        </is>
      </c>
      <c r="BD66" t="inlineStr">
        <is>
          <t>Love, Fertility, Healing, Protection</t>
        </is>
      </c>
      <c r="BE66" t="inlineStr">
        <is>
          <t>ASSURANCE, Harmony, Peace, ANTI-DEPRESSANT</t>
        </is>
      </c>
      <c r="BF66"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G66" t="inlineStr">
        <is>
          <t>Lavender</t>
        </is>
      </c>
      <c r="BH66" t="inlineStr">
        <is>
          <t>MEM, Clairvoyance, PEACE &amp; HAPPINESS, Purification, Happiness</t>
        </is>
      </c>
      <c r="BI66" t="inlineStr">
        <is>
          <t>REST, ATIVE, Peace, BALANCING, STIMULATING</t>
        </is>
      </c>
      <c r="BJ66"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L66" t="inlineStr">
        <is>
          <t>SWEET MYRRH</t>
        </is>
      </c>
      <c r="BM66" s="42" t="inlineStr">
        <is>
          <t>Lighter cousin of myrrh, gentler but still sacred. Purification carried on a softer breath, vibrations lifted without force. Meditation and peace both deepened. The space cleared with a lighter hand — where the working needs elevation without severity.</t>
        </is>
      </c>
    </row>
    <row r="67" ht="409.5" customHeight="1" s="56">
      <c r="A67" t="inlineStr">
        <is>
          <t>OREGANO</t>
        </is>
      </c>
      <c r="B67" t="inlineStr">
        <is>
          <t>DEVILS OATMEAL</t>
        </is>
      </c>
      <c r="C67" t="inlineStr">
        <is>
          <t>Origanum vulgare</t>
        </is>
      </c>
      <c r="D67" t="inlineStr">
        <is>
          <t>Happiness, Animals, Harmony, Love, Peace, Protection, Psychic development, Aiding grief, Weddings, Hand-fastings, Joy, Joyous celebrations, Contentment, Serenity, Ensuring joy in the home, PEACE &amp; HAPPINESS,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Calming, Soothing, Calm, Calmness, Relaxation, Calming energies, Calming the mind, Calming stormy situations, AID MEDITATION,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Clairvoyance, Enhancing clairvoyance, Psychic powers, INCREASE PSYCHIC ABILITIES, Psychic awareness, Stimulating psychic senses, Disabling psychic phenomena, Psychic communication, communication and psychic abilities, Sacred union rites</t>
        </is>
      </c>
      <c r="E67" t="inlineStr">
        <is>
          <t>HERMES, MERCURY, VIRGO, GEMINI</t>
        </is>
      </c>
      <c r="F67" t="inlineStr">
        <is>
          <t>VENUS</t>
        </is>
      </c>
      <c r="G67" t="inlineStr">
        <is>
          <t>EARTH</t>
        </is>
      </c>
      <c r="H67" t="inlineStr">
        <is>
          <t>FEMININE</t>
        </is>
      </c>
      <c r="I67" t="inlineStr">
        <is>
          <t>WEDNESDAY</t>
        </is>
      </c>
      <c r="J67" t="inlineStr">
        <is>
          <t>ALL</t>
        </is>
      </c>
      <c r="K67" t="inlineStr">
        <is>
          <t>OSTARA, BELTANE</t>
        </is>
      </c>
      <c r="L67" t="inlineStr">
        <is>
          <t>Ancient Greeks believed it meant happiness in the afterlife if it grew on a grave.</t>
        </is>
      </c>
      <c r="M67" t="inlineStr">
        <is>
          <t>Useful in workings and spells around happiness, animals, harmony, love, peace, protection, and psychic development.</t>
        </is>
      </c>
      <c r="N67" t="inlineStr">
        <is>
          <t>Psychic development</t>
        </is>
      </c>
      <c r="O67" t="inlineStr">
        <is>
          <t>Useful in workings and spells around happiness, animals, harmony, love, peace, protection, and psychic development. It is said to aid in the process of grieving and is also used as a herb at weddings and handfastings.</t>
        </is>
      </c>
      <c r="P67" t="inlineStr">
        <is>
          <t>Ylang Ylang</t>
        </is>
      </c>
      <c r="Q67" t="inlineStr">
        <is>
          <t>California, USA (Dry mountainous slopes)</t>
        </is>
      </c>
      <c r="R67" t="inlineStr">
        <is>
          <t>Generally safe in culinary amounts. The essential oil is potent — always dilute. Avoid medicinal doses during pregnancy.</t>
        </is>
      </c>
      <c r="AM67" t="inlineStr">
        <is>
          <t>chrysophase</t>
        </is>
      </c>
      <c r="AN67" t="inlineStr">
        <is>
          <t>Can be w, n to lift the emotions, to banish greed, envy, selfishness, tension, stress. A lucky stone, it is w, n f, eloquence, success in new undertakings, to attract friends. To attract money, cary a smal piece with you at all times utilise it as a general sheild against negativity..</t>
        </is>
      </c>
      <c r="AO67" t="inlineStr">
        <is>
          <t>Happiness, lick, Prosperity, Friendship, Protection, Healing</t>
        </is>
      </c>
      <c r="AP67" t="inlineStr">
        <is>
          <t>Emerald</t>
        </is>
      </c>
      <c r="AQ67" t="inlineStr">
        <is>
          <t>Most of us have trouble living in the magical moment of ‘now’ because we are so busy brooding over the past, dreaming about the future. Teaches us to focus our attention in the present, live every moment to the fullest, making the most of the gifts we have. W, king with the stone can remind us how to move through Time with ease, allowing us to w, k m, e powerfully on the astral realms, access the Akashic Rec, Midsummer, meet with the beings that inhabit other w, lds. Sacred to Venus, Emerald is used in many love spells, especially to encourage faithfulness, bring back a straying lover. It is said that the stone will crack, fade if your lover is unfaithful. In love, sex magic it encourages passion, arousal, releases inhibitions. As a talisman it protects against violence, abuse, rape, is powerful f, healing the trauma of such attacks.  Increases your intuitive, prophetic powers, mem, Clairvoyance, eloquence, communication skills. Wearing the stone, drinking the elixir will help you get the best results from any psychic, magical exercises.</t>
        </is>
      </c>
      <c r="AR67" t="inlineStr">
        <is>
          <t>Psychic awareness, meditation, Divination, Peace, sleep, Healing, Love, friendship, protection from evil, business success, mem, Clairvoyance, recognition, faith, Fertility, serenity, underst, Attracting good spirits, balance. Represents Time, the astral planes</t>
        </is>
      </c>
      <c r="AS67" t="inlineStr">
        <is>
          <t>Malachite</t>
        </is>
      </c>
      <c r="AT67" t="inlineStr">
        <is>
          <t>Malachite is believed to bring good luck, Anti-theft, tune to anyone travelling by sea, especially expl, ers, adventurers. A stone cut into a triangle protects against the evil eye, can be used in spells to attract lovers. Can help you become m, e creative by helping you realise the w, th of your talents while being flexible enough to make the best use of them. The stone is well known f, its ability to turn aside mental, magical attacks. Malachite is linked with the magical Will, can be used in spells, meditation to strengthen that skill, increase your personal power, confidence.</t>
        </is>
      </c>
      <c r="AU67" t="inlineStr">
        <is>
          <t>Strength, Prosperity, inspiration, releasing pain, anger, concentration, travel protection, Healing, sleep, psychic visions, overcoming negativity &amp; depression, business success, protection from physical danger, emotional maturity, Fertility, wisdom</t>
        </is>
      </c>
      <c r="AV67" t="inlineStr">
        <is>
          <t>Peridot</t>
        </is>
      </c>
      <c r="AW67" t="inlineStr">
        <is>
          <t>Used in magic to increase intuition, Increasing wealth, k with dream states, undertake shamanic journeys, encourage astral travel. W, n at night it protects against nightmare, night hags, vampires. Peridot is an excellent stone f, emotional healing, is said to rest, e the missing, damaged fragments of a person’s soul so that they can find happiness, contentment. Wear Peridot to stave off foolishness, protect against madness, to help you keep your wits about you in challenging situations.</t>
        </is>
      </c>
      <c r="AX67" t="inlineStr">
        <is>
          <t>Prosperity, growth, Purification, Harmony, Divination, compassion, Cleansing, protection against nightmares, anger management, overcoming nervousness, Fertility, friendship, Healing, repairing relationships, reducing stress, focus.</t>
        </is>
      </c>
      <c r="AY67" t="inlineStr">
        <is>
          <t>Ylang Ylang</t>
        </is>
      </c>
      <c r="AZ67" t="inlineStr">
        <is>
          <t>SEX MAGIC, Protection, LOVE &amp; PEACE, CLEARING NEGATIVITY</t>
        </is>
      </c>
      <c r="BA67" t="inlineStr">
        <is>
          <t>Peace, ENTHUSIASM, Happiness, UPLIFTMENT</t>
        </is>
      </c>
      <c r="BB67"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67" t="inlineStr">
        <is>
          <t>Apple</t>
        </is>
      </c>
      <c r="BD67" t="inlineStr">
        <is>
          <t>Love, Happiness, WISDOM IN MAGICK</t>
        </is>
      </c>
      <c r="BE67" t="inlineStr">
        <is>
          <t>UPLIFTING</t>
        </is>
      </c>
      <c r="BF67"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G67" t="inlineStr">
        <is>
          <t>Thyme</t>
        </is>
      </c>
      <c r="BH67" t="inlineStr">
        <is>
          <t>Healing, Love, Purification, Confidence</t>
        </is>
      </c>
      <c r="BI67" t="inlineStr">
        <is>
          <t>Harmony, STRENGTHENS, SUPP, Amulets/talismans</t>
        </is>
      </c>
      <c r="BJ67" t="inlineStr">
        <is>
          <t>In the stories of the knights, Thyme was the herb of bravery. Before a battle, they would wear a sprig of thyme near their hearts, believing the herb would gift them the heart of a lion and ensure their courage never failed when the steel was drawn.</t>
        </is>
      </c>
      <c r="BK67" t="inlineStr">
        <is>
          <t>VIRGO, GEMINI</t>
        </is>
      </c>
      <c r="BL67" t="inlineStr">
        <is>
          <t>OREGANO</t>
        </is>
      </c>
      <c r="BM67" s="42" t="inlineStr">
        <is>
          <t>Earth herb of happiness and harmony, the garden's generous presence. Love, peace and protection carried in equal measure. Psychic development aided, grief gentled. Weddings and handfastings find it welcoming. Where joy is being called and harmony needs restoring.</t>
        </is>
      </c>
    </row>
    <row r="68" ht="409.5" customHeight="1" s="56">
      <c r="A68" t="inlineStr">
        <is>
          <t>ORRIS ROOT POWDER</t>
        </is>
      </c>
      <c r="B68" t="inlineStr">
        <is>
          <t>QUEEN ELIZABETH ROOT</t>
        </is>
      </c>
      <c r="C68" t="inlineStr">
        <is>
          <t>Iris germanica var. florentina</t>
        </is>
      </c>
      <c r="D68" t="inlineStr">
        <is>
          <t>Digging into the subconscious, Uprooting what is hidden, Divination, Dream work, Love magick, Love drawing, Ensuring a lover returns love, Prophetic dreams, Invoking dreams, Dreams, Visions, Seeing the unseen, Seeing manifestations, Truth, Honesty, Removing deception, Subconscious work, Scrying, Dowsing, Treasure seeking, Lost object finding, Enhancing divination, Divinatory incense, Foretelling the future, Future divination, Prophecy, Love,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Fidelity, Faithfulness, Loyalty, Promoting fidelity</t>
        </is>
      </c>
      <c r="E68" t="inlineStr">
        <is>
          <t>Venus</t>
        </is>
      </c>
      <c r="F68" t="inlineStr">
        <is>
          <t>Moon</t>
        </is>
      </c>
      <c r="G68" t="inlineStr">
        <is>
          <t>Water</t>
        </is>
      </c>
      <c r="H68" t="inlineStr">
        <is>
          <t>Feminine</t>
        </is>
      </c>
      <c r="I68" t="inlineStr">
        <is>
          <t>Monday</t>
        </is>
      </c>
      <c r="J68" t="inlineStr">
        <is>
          <t>VENUS</t>
        </is>
      </c>
      <c r="K68" t="inlineStr">
        <is>
          <t>IMBOLC, SAMHAIN</t>
        </is>
      </c>
      <c r="L68" t="inlineStr">
        <is>
          <t>Also called fleur-de-lis, associated with dominion and war.</t>
        </is>
      </c>
      <c r="M68" t="inlineStr">
        <is>
          <t>love magic, and in hoodoo it is known as a love-drawing herb.</t>
        </is>
      </c>
      <c r="N68" t="inlineStr">
        <is>
          <t>Used in love magic rituals and as an incense base for devotional workings. Added to altar powders to draw spiritual love.</t>
        </is>
      </c>
      <c r="O68" t="inlineStr">
        <is>
          <t>A moon plant, orris root is good for digging deep into the moon-ruled subconscious and uprooting what is hidden. Like any moon herb, it can also be used in divination and dream work. Some consider orris root a Venus herb. It is widely used for love magic, and in hoodoo it is known as a love-drawing herb. The powder form is blown onto clothes, sheets, and so forth to make sure that the owner returns one's love.</t>
        </is>
      </c>
      <c r="P68" t="inlineStr">
        <is>
          <t>Melissa</t>
        </is>
      </c>
      <c r="Q68" t="inlineStr">
        <is>
          <t>Europe, Asia (Woodland edges)</t>
        </is>
      </c>
      <c r="R68" t="inlineStr">
        <is>
          <t>Warning: Can cause allergic reactions including skin irritation and respiratory issues. Handle with care.</t>
        </is>
      </c>
      <c r="AM68" t="inlineStr">
        <is>
          <t>Aquamarine</t>
        </is>
      </c>
      <c r="AN68"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68" t="inlineStr">
        <is>
          <t>Psychism, Peace, Confidence, Purification</t>
        </is>
      </c>
      <c r="AP68" t="inlineStr">
        <is>
          <t>Calcite</t>
        </is>
      </c>
      <c r="AQ68"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68" t="inlineStr">
        <is>
          <t>Luck, Prosperity, problem resolution, gambling, Healing, creativity, business success, attracting love.</t>
        </is>
      </c>
      <c r="AS68" t="inlineStr">
        <is>
          <t>Quartz Clear</t>
        </is>
      </c>
      <c r="AT68"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68" t="inlineStr">
        <is>
          <t>Protection, Healing, psychism, Strength, lactation</t>
        </is>
      </c>
      <c r="AV68" t="inlineStr">
        <is>
          <t>Moonstone</t>
        </is>
      </c>
      <c r="AW68"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68"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68" t="inlineStr">
        <is>
          <t>Melissa</t>
        </is>
      </c>
      <c r="AZ68" t="inlineStr">
        <is>
          <t>Love, Healing, Prosperity</t>
        </is>
      </c>
      <c r="BA68" t="inlineStr">
        <is>
          <t>GENTLENESS, Peace, PROGRESSIVENESS</t>
        </is>
      </c>
      <c r="BB68" t="inlineStr">
        <is>
          <t>Called the 'Bee’s Delight,' it is said that if you hold a leaf of Melissa in your hand, bees will not sting you. The plant was gifted to humans by the bees themselves, who wanted to share the secret of their own contentment and the sweet hum of life.</t>
        </is>
      </c>
      <c r="BC68" t="inlineStr">
        <is>
          <t>Honeysuckle</t>
        </is>
      </c>
      <c r="BD68" t="inlineStr">
        <is>
          <t>INCREASE PSYCHIC ABILITIES, INCREASE MONEY, Protection</t>
        </is>
      </c>
      <c r="BE68" t="inlineStr">
        <is>
          <t>RELAXING, SOOTHING, UPLIFTING, PSYCHIC POWERS</t>
        </is>
      </c>
      <c r="BF68" t="inlineStr">
        <is>
          <t>In the language of the fae, honeysuckle is known as the 'honey of the woods.' It is said that if you place a blossom under your pillow, you will dream of the location of hidden treasures—not just of gold, but of lost loves and forgotten truths.</t>
        </is>
      </c>
      <c r="BG68" t="inlineStr">
        <is>
          <t>Rose</t>
        </is>
      </c>
      <c r="BH68" t="inlineStr">
        <is>
          <t>Peace, Protection, Luck, PROMOTE LOVE &amp; AFFECTION</t>
        </is>
      </c>
      <c r="BI68" t="inlineStr">
        <is>
          <t>BALANCING, STRENGTHENING, Attracting good spirits</t>
        </is>
      </c>
      <c r="BJ68"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L68" t="inlineStr">
        <is>
          <t>ORRIS ROOT POWDER</t>
        </is>
      </c>
      <c r="BM68" s="42" t="inlineStr">
        <is>
          <t>Water root of the deep subconscious, the root that unearths. What is hidden rises in its presence. Divination and dream work both deepened. Love drawn in on its earthy sweetness. The hidden brought to the surface — gently but inevitably.</t>
        </is>
      </c>
    </row>
    <row r="69" ht="409.5" customHeight="1" s="56">
      <c r="A69" t="inlineStr">
        <is>
          <t>PARSLEY</t>
        </is>
      </c>
      <c r="B69" t="inlineStr">
        <is>
          <t>DEVIL’S HERB</t>
        </is>
      </c>
      <c r="C69" t="inlineStr">
        <is>
          <t>Petroselinum crispum</t>
        </is>
      </c>
      <c r="D69" t="inlineStr">
        <is>
          <t>Divination, Clairvoyance, Happiness, Passion, Protection, Psychic development, Purification, Consecration, Contacting other planes, Fertility, Good luck, Invocation, Meditation, Rituals for the dead, Enhancing divination, Divinatory incense, Foretelling the future, Future divination, Scrying, Dowsing, Prophecy, Enhancing clairvoyance, Psychic powers, INCREASE PSYCHIC ABILITIES, Psychic awareness, Stimulating psychic senses, Disabling psychic phenomena, Psychic communication, communication and psychic abilities, Joy, Joyous celebrations, Contentment, Serenity, Ensuring joy in the home, PEACE &amp; HAPPINESS, Desire, Protective charm, Protective charms, Protective sachets, Protective wreaths, Protective incense, PROTECT AGAINST NEGATIVITY, Protection from negativity, Circle protection,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Contacting planes, Communion with spirits, Communing with the departed, Communing with otherworldly entities, Spirit work, Nether-realm travel, Walking between worlds, SISM, contacting a specific person, Samhain/ancestral altars, Ancestral altars, Ancestor rituals, Honouring the dead, ancestral magic, ancestral memory, Samhain rituals, death rites, Death and rebirth rites, Necromancy, Peaceful transition for the dead, ancestors, Crone magic, Seeing past lives, Reincarnation, Reincarnation knowledge, Past lives, Mabon/Samhain, Mabon rituals, Samhain,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Contemplation, Concentration, Focus, Sun God offerings, Solar spells</t>
        </is>
      </c>
      <c r="E69" t="inlineStr">
        <is>
          <t>ARIES, SCORPIO, PERSEPHONE, APHRODITS, VENUS</t>
        </is>
      </c>
      <c r="F69" t="inlineStr">
        <is>
          <t>MARS</t>
        </is>
      </c>
      <c r="G69" t="inlineStr">
        <is>
          <t>FIRE</t>
        </is>
      </c>
      <c r="H69" t="inlineStr">
        <is>
          <t>MASCULINE</t>
        </is>
      </c>
      <c r="I69" t="inlineStr">
        <is>
          <t>TUESDAY</t>
        </is>
      </c>
      <c r="J69" t="inlineStr">
        <is>
          <t>PERSEPHONE</t>
        </is>
      </c>
      <c r="K69" t="inlineStr">
        <is>
          <t>BELTANE, SAMHAIN</t>
        </is>
      </c>
      <c r="L69" t="inlineStr">
        <is>
          <t>Sacred to Persephone.</t>
        </is>
      </c>
      <c r="M69" t="inlineStr">
        <is>
          <t>Use in happiness, passion, protection, psychic development, and purification spells. Ritual use: consecration, contacting other planes, fertility, good luck, invocation, meditation, and rituals for the dead.</t>
        </is>
      </c>
      <c r="N69" t="inlineStr">
        <is>
          <t>Use in happiness, passion, protection, psychic development, and purification spells. Ritual use: consecration, contacting other planes, fertility, good luck, invocation, meditation, and rituals for the dead.</t>
        </is>
      </c>
      <c r="O69" t="inlineStr">
        <is>
          <t>Useful in divination and clairvoyance work. Use in happiness, passion, protection, psychic development, and purification spells. Ritual use: consecration, contacting other planes, fertility, good luck, invocation, meditation, and rituals for the dead.</t>
        </is>
      </c>
      <c r="P69" t="inlineStr">
        <is>
          <t>Pine</t>
        </is>
      </c>
      <c r="Q69" t="inlineStr">
        <is>
          <t>Europe, Asia (Hedges, woodland edges)</t>
        </is>
      </c>
      <c r="R69" t="inlineStr">
        <is>
          <t>Warning: Avoid large amounts during pregnancy as parsley seed can stimulate the uterus. Culinary amounts are safe.</t>
        </is>
      </c>
      <c r="AM69" t="inlineStr">
        <is>
          <t>Bloodstone</t>
        </is>
      </c>
      <c r="AN69"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O69" t="inlineStr">
        <is>
          <t>Healing, Prosperity, Confidence, physical strength, stress relief, help in business, legal matters, revitalization, guidance, rain, ganization.</t>
        </is>
      </c>
      <c r="AP69" t="inlineStr">
        <is>
          <t>Garnet</t>
        </is>
      </c>
      <c r="AQ69"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R69" t="inlineStr">
        <is>
          <t>Healing, cheery disposition, Confidence, Love, business success, past life regression, consistency of love &amp; friendship, travel protection, Happiness, Peace, Harmony, patience, inspiration, persistence, wisdom, fertility.</t>
        </is>
      </c>
      <c r="AS69" t="inlineStr">
        <is>
          <t>Pyrite (Fool's Gold)</t>
        </is>
      </c>
      <c r="AT69"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AU69" t="inlineStr">
        <is>
          <t>Logic, clarity, mem, Clairvoyance, Prosperity, will power, grounding, Harmony, Strength</t>
        </is>
      </c>
      <c r="AV69" t="inlineStr">
        <is>
          <t>Red Jasper</t>
        </is>
      </c>
      <c r="AW69"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AX69" t="inlineStr">
        <is>
          <t>Beauty, grace, increasing mental processes, Luck, easing pain of childbirth, Anti-theft, ming barrier against dangerous whims &amp; desires.</t>
        </is>
      </c>
      <c r="AY69" t="inlineStr">
        <is>
          <t>Pine</t>
        </is>
      </c>
      <c r="AZ69" t="inlineStr">
        <is>
          <t>PROSPERITY SPELLS, Prosperity</t>
        </is>
      </c>
      <c r="BA69" t="inlineStr">
        <is>
          <t>Harmony, Happiness, Strength</t>
        </is>
      </c>
      <c r="BB69"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69" t="inlineStr">
        <is>
          <t>Ginger</t>
        </is>
      </c>
      <c r="BD69" t="inlineStr">
        <is>
          <t>Prosperity, Healing, Love, Strength</t>
        </is>
      </c>
      <c r="BE69" t="inlineStr">
        <is>
          <t>Confidence, EMPATHY, LIBERATION, OPTIMISM, STRENGTHENS</t>
        </is>
      </c>
      <c r="BF69" t="inlineStr">
        <is>
          <t>It is said that Ginger grew where a drop of liquid sun hit the earth. Because of its fiery taste, it was believed to grant the eater the 'fire of the gut,' helping them digest not just food, but life experiences, turning bitterness into wisdom.</t>
        </is>
      </c>
      <c r="BG69" t="inlineStr">
        <is>
          <t>Cedarwood</t>
        </is>
      </c>
      <c r="BH69" t="inlineStr">
        <is>
          <t>Purification, Protection, RID OF BAD DREAMS, Prosperity</t>
        </is>
      </c>
      <c r="BI69" t="inlineStr">
        <is>
          <t>New beginnings, REGROWTH, CALMING &amp; COMF, Attracting good spirits, STRENGTHENING</t>
        </is>
      </c>
      <c r="BJ69"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K69" t="inlineStr">
        <is>
          <t>ARIES, SCORPIO</t>
        </is>
      </c>
      <c r="BL69" t="inlineStr">
        <is>
          <t>PARSLEY</t>
        </is>
      </c>
      <c r="BM69" s="42" t="inlineStr">
        <is>
          <t>Fire herb of the kitchen and the crossroads, more powerful than it appears. Divination, clairvoyance and happiness all carried in its green. Passion, protection and psychic development sharpened. Consecration and spirit contact both find it willing. Do not overlook it.</t>
        </is>
      </c>
    </row>
    <row r="70" ht="409.5" customHeight="1" s="56">
      <c r="A70" t="inlineStr">
        <is>
          <t>PENNYROYAL</t>
        </is>
      </c>
      <c r="B70" t="inlineStr">
        <is>
          <t>TICK WEED</t>
        </is>
      </c>
      <c r="C70" t="inlineStr">
        <is>
          <t>Mentha pulegium</t>
        </is>
      </c>
      <c r="D70"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 Healing, Healing magic, Healing incenses, Healing mixtures, Healing rituals, Healing incense, Healing vibrations, healing after surgery, Aiding recovery, Aiding the ill, Improving health, Speeding recovery, Good health, health,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 herb scattering, Exorcising demons, Exorcising evil ghosts, Exorcising evil entities, EXC, Cleansing,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Protection (hexes/evil), Psychic protection, Psychic shielding, Protection from hexes, Protection from conjure, Protection from evil, Protection from evil spirits, Protection from hauntings, Ju-ju / gris-gris protection, Guarding against sorcery, Guarding against evil, Warding off the Evil Eye, Warding off hexes, Warding,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Contacting planes, Contacting other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magic, ancestral memory, Samhain rituals, death rites, Death and rebirth rites, Necromancy, ancestors, Crone magic, Seeing past lives, Reincarnation, Past lives, Mabon/Samhain, Mabon rituals, Samhain,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PEACE &amp; HAPPINESS, Calming, Soothing, Calm, Calmness, Relaxation, Calming energies, Calming the mind, Serenity, AID MEDITATION, Inner peace, Peaceful vibrations, Calming stress, Calming household upheaval, FRIENDSHIP, House blessing, Blessing the home, Homestead protection, Sick-room blessings, Home protection, Household protection, Healing altars, Home blessing, Ensuring joy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Wisdom, Knowledge, Intelligence, Intuition, Mental clarity, Mental powers, MEM, Memory, Illumination, Enlightenment, Spell-breaking, Reversing harmful spells, Breaking spells, Hex breaking, Removing jinxes, Breaking hexes, Returning hexes, hex-breaking, Removing hexes and curses, Luck, Good luck, Fortune, Casino luck, WISHES, Wish magick, Carrying wishes, Transmuting wishes,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Consecrating incense burners, Amulets/talismans, Amulets, Talismans, Charm bags, Mojo bags, Sachets</t>
        </is>
      </c>
      <c r="E70" t="inlineStr">
        <is>
          <t>DEMETER, MARS, VENUS, HECATE</t>
        </is>
      </c>
      <c r="F70" t="inlineStr">
        <is>
          <t>VENUS</t>
        </is>
      </c>
      <c r="G70" t="inlineStr">
        <is>
          <t>EARTH</t>
        </is>
      </c>
      <c r="H70" t="inlineStr">
        <is>
          <t>FEMININE</t>
        </is>
      </c>
      <c r="I70" t="inlineStr">
        <is>
          <t>Friday</t>
        </is>
      </c>
      <c r="J70" t="inlineStr">
        <is>
          <t>HECATE</t>
        </is>
      </c>
      <c r="K70" t="inlineStr">
        <is>
          <t>OSTARA, BELTANE</t>
        </is>
      </c>
      <c r="L70" t="inlineStr">
        <is>
          <t>Associated with the High Priestess card. Scatttered on seas to calm them.</t>
        </is>
      </c>
      <c r="M70" t="inlineStr">
        <is>
          <t>anointing magical tools, rubbed into the body, or added to a bath.</t>
        </is>
      </c>
      <c r="N70" t="inlineStr">
        <is>
          <t>Burn dried pennyroyal leaves as a clearing incense in the home.</t>
        </is>
      </c>
      <c r="O70" t="inlineStr">
        <is>
          <t>Use in healing spells and sachets. Pennyroyal placed in your shoes will protect you from tired feet. Include pennyroyal in blessings and spells before travelling. Use to protect your psychic energy from negativity and to strengthen, cleanse, and repair the aura. Use also to protect against the evil eye. Pennyroyal is an excellent herb to use when gaining knowledge of reincarnation. Pennyroyal can be used to calm many types of stormy situations. Pennyroyal is an herb of peace and protection when worn or carried — it wards off evil and aids in business negotiations. Tied on the bedpost, it sharpens the brain and wits. Burn dried pennyroyal leaves as a clearing incense in the home. Pennyroyal is used to ward off evil and to remove hexes, curses, bad luck, and jinxes. It is also used during exorcisms. The oil can be used for anointing magical tools, rubbed into the body, or added to a bath.</t>
        </is>
      </c>
      <c r="P70" t="inlineStr">
        <is>
          <t>Ylang Ylang</t>
        </is>
      </c>
      <c r="Q70" t="inlineStr">
        <is>
          <t>Southern/Central Europe (Sunny dry areas)</t>
        </is>
      </c>
      <c r="R70" t="inlineStr">
        <is>
          <t>Warning: Highly toxic — especially the essential oil. Can cause liver and kidney damage. Do not ingest. Avoid during pregnancy.</t>
        </is>
      </c>
      <c r="AM70" t="inlineStr">
        <is>
          <t>chrysophase</t>
        </is>
      </c>
      <c r="AN70" t="inlineStr">
        <is>
          <t>Can be w, n to lift the emotions, to banish greed, envy, selfishness, tension, stress. A lucky stone, it is w, n f, eloquence, success in new undertakings, to attract friends. To attract money, cary a smal piece with you at all times utilise it as a general sheild against negativity..</t>
        </is>
      </c>
      <c r="AO70" t="inlineStr">
        <is>
          <t>Happiness, lick, Prosperity, Friendship, Protection, Healing</t>
        </is>
      </c>
      <c r="AP70" t="inlineStr">
        <is>
          <t>Emerald</t>
        </is>
      </c>
      <c r="AQ70" t="inlineStr">
        <is>
          <t>Most of us have trouble living in the magical moment of ‘now’ because we are so busy brooding over the past, dreaming about the future. Teaches us to focus our attention in the present, live every moment to the fullest, making the most of the gifts we have. W, king with the stone can remind us how to move through Time with ease, allowing us to w, k m, e powerfully on the astral realms, access the Akashic Rec, Midsummer, meet with the beings that inhabit other w, lds. Sacred to Venus, Emerald is used in many love spells, especially to encourage faithfulness, bring back a straying lover. It is said that the stone will crack, fade if your lover is unfaithful. In love, sex magic it encourages passion, arousal, releases inhibitions. As a talisman it protects against violence, abuse, rape, is powerful f, healing the trauma of such attacks.  Increases your intuitive, prophetic powers, mem, Clairvoyance, eloquence, communication skills. Wearing the stone, drinking the elixir will help you get the best results from any psychic, magical exercises.</t>
        </is>
      </c>
      <c r="AR70" t="inlineStr">
        <is>
          <t>Psychic awareness, meditation, Divination, Peace, sleep, Healing, Love, friendship, protection from evil, business success, mem, Clairvoyance, recognition, faith, Fertility, serenity, underst, Attracting good spirits, balance. Represents Time, the astral planes</t>
        </is>
      </c>
      <c r="AS70" t="inlineStr">
        <is>
          <t>Malachite</t>
        </is>
      </c>
      <c r="AT70" t="inlineStr">
        <is>
          <t>Malachite is believed to bring good luck, Anti-theft, tune to anyone travelling by sea, especially expl, ers, adventurers. A stone cut into a triangle protects against the evil eye, can be used in spells to attract lovers. Can help you become m, e creative by helping you realise the w, th of your talents while being flexible enough to make the best use of them. The stone is well known f, its ability to turn aside mental, magical attacks. Malachite is linked with the magical Will, can be used in spells, meditation to strengthen that skill, increase your personal power, confidence.</t>
        </is>
      </c>
      <c r="AU70" t="inlineStr">
        <is>
          <t>Strength, Prosperity, inspiration, releasing pain, anger, concentration, travel protection, Healing, sleep, psychic visions, overcoming negativity &amp; depression, business success, protection from physical danger, emotional maturity, Fertility, wisdom</t>
        </is>
      </c>
      <c r="AV70" t="inlineStr">
        <is>
          <t>Peridot</t>
        </is>
      </c>
      <c r="AW70" t="inlineStr">
        <is>
          <t>Used in magic to increase intuition, Increasing wealth, k with dream states, undertake shamanic journeys, encourage astral travel. W, n at night it protects against nightmare, night hags, vampires. Peridot is an excellent stone f, emotional healing, is said to rest, e the missing, damaged fragments of a person’s soul so that they can find happiness, contentment. Wear Peridot to stave off foolishness, protect against madness, to help you keep your wits about you in challenging situations.</t>
        </is>
      </c>
      <c r="AX70" t="inlineStr">
        <is>
          <t>Prosperity, growth, Purification, Harmony, Divination, compassion, Cleansing, protection against nightmares, anger management, overcoming nervousness, Fertility, friendship, Healing, repairing relationships, reducing stress, focus.</t>
        </is>
      </c>
      <c r="AY70" t="inlineStr">
        <is>
          <t>Ylang Ylang</t>
        </is>
      </c>
      <c r="AZ70" t="inlineStr">
        <is>
          <t>SEX MAGIC, Protection, LOVE &amp; PEACE, CLEARING NEGATIVITY</t>
        </is>
      </c>
      <c r="BA70" t="inlineStr">
        <is>
          <t>Peace, ENTHUSIASM, Happiness, UPLIFTMENT</t>
        </is>
      </c>
      <c r="BB70"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70" t="inlineStr">
        <is>
          <t>Apple</t>
        </is>
      </c>
      <c r="BD70" t="inlineStr">
        <is>
          <t>Love, Happiness, WISDOM IN MAGICK</t>
        </is>
      </c>
      <c r="BE70" t="inlineStr">
        <is>
          <t>UPLIFTING</t>
        </is>
      </c>
      <c r="BF70"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G70" t="inlineStr">
        <is>
          <t>Thyme</t>
        </is>
      </c>
      <c r="BH70" t="inlineStr">
        <is>
          <t>Healing, Love, Purification, Confidence</t>
        </is>
      </c>
      <c r="BI70" t="inlineStr">
        <is>
          <t>Harmony, STRENGTHENS, SUPP, Amulets/talismans</t>
        </is>
      </c>
      <c r="BJ70" t="inlineStr">
        <is>
          <t>In the stories of the knights, Thyme was the herb of bravery. Before a battle, they would wear a sprig of thyme near their hearts, believing the herb would gift them the heart of a lion and ensure their courage never failed when the steel was drawn.</t>
        </is>
      </c>
      <c r="BL70" t="inlineStr">
        <is>
          <t>PENNYROYAL</t>
        </is>
      </c>
      <c r="BM70" s="42" t="inlineStr">
        <is>
          <t>Earth herb of the traveller and the protective boundary. Healing sachets strengthened in its presence. Travel blessed and journeys protected before they begin. The psychic field held firm. Small, determined, reliable — the herb that quietly keeps what needs keeping safe.</t>
        </is>
      </c>
    </row>
    <row r="71" ht="409.5" customHeight="1" s="56">
      <c r="A71" t="inlineStr">
        <is>
          <t>PEPPERMINT</t>
        </is>
      </c>
      <c r="B71" t="inlineStr">
        <is>
          <t>BRANDY MINT</t>
        </is>
      </c>
      <c r="C71" t="inlineStr">
        <is>
          <t>Mentha × piperita</t>
        </is>
      </c>
      <c r="D71" t="inlineStr">
        <is>
          <t>Cleansing, Consecration, Dreams, Happiness, Healing, Love, Money, Passion, Prosperity, Protection, Psychic development, Purification, Release, Renewal, Rest, Sleep, Animals, Divination, Endings, Energy, Exorcism, Good luck, Grieving, Spirit offering, Success, Transformation, Prophetic dreams, Relieving headaches, Preventing illness, Calling good spirits, Healing spells, Cleansing the home, Cleansing ritual areas,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the aura, Cleansing baths, Cleansing tools, Cleansing space, Pre-ritual cleansing, Removing dark energies, Clearing aura attachments, Cleansing atmospheres, Cleansing objects, Cleansing body and spirit, Sweeping sacred spaces,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Invoking dreams, Dream work, Visions, Seeing the unseen, Seeing manifestations, Truth, Honesty, Removing deception, Subconscious work, Digging into the subconscious, Uprooting what is hidden, Scrying, Dowsing, Treasure seeking, Lost object finding, Joy, Joyous celebrations, Contentment, Serenity, Ensuring joy in the home, PEACE &amp; HAPPINESS, Healing magic,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Ritual offerings, Offerings to Sun Gods, Offerings to forest spirits, Offerings to gods, Inviting spirits, Offertory incense, Attracting good spirits, Calling spirits, Summoning spirits, Conjuring spirits, Conjuring beneficial spirits, Otherworld travel, Shamanic work, shamanic journeying, Nether-realm travel, Walking between worlds, Harmony,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Protective charm, Protective charms, Protective wreaths, Protective incense, PROTECT AGAINST NEGATIVITY, Protection from negativity, Circle protection, Clairvoyance, Enhancing clairvoyance, Psychic powers, INCREASE PSYCHIC ABILITIES, Psychic awareness, Stimulating psychic senses, Disabling psychic phenomena, Psychic communication, communication and psychic abilities, Breaking habits, Breaking bad habits, Ending negative self-talk, Letting go of relationships, Ending guilt, New beginnings, New beginning spells, Fresh starts, Change, rebirth, Breakthrough, Awakening, Growth, New ideas, Assisting transformation, Transformation/Evolution, Nightmare prevention, Preventing nightmares, Negating dreams, RID OF BAD DREAMS, Nightmares, Encouraging sound sleep, Enhancing divination, Divinatory incense, Foretelling the future, Future divination, Prophecy,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Victory, victory in battle, Conquest, Overcoming opposition, Courtroom success, Legal matters, Justice,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Protection against disease</t>
        </is>
      </c>
      <c r="E71" t="inlineStr">
        <is>
          <t>PLUTO, HECATE</t>
        </is>
      </c>
      <c r="F71" t="inlineStr">
        <is>
          <t>VENUS</t>
        </is>
      </c>
      <c r="G71" t="inlineStr">
        <is>
          <t>AIR</t>
        </is>
      </c>
      <c r="H71" t="inlineStr">
        <is>
          <t>MASCULINE</t>
        </is>
      </c>
      <c r="I71" t="inlineStr">
        <is>
          <t>Friday</t>
        </is>
      </c>
      <c r="J71" t="inlineStr">
        <is>
          <t>PLUTO, HECATE</t>
        </is>
      </c>
      <c r="K71" t="inlineStr">
        <is>
          <t>LAMMAS</t>
        </is>
      </c>
      <c r="L71" t="inlineStr">
        <is>
          <t>Sacred to Hades.</t>
        </is>
      </c>
      <c r="M71" t="inlineStr">
        <is>
          <t>Cleansing, consecration, dreams, happiness, healing, love, money, passion, prosperity, protection, psychic development, purification, release, renewal, rest, and sleep. Other magical uses: animals, divination, endings, energy, exorcism, good luck, grieving, spirit offerings, success, and transformation.</t>
        </is>
      </c>
      <c r="N71" t="inlineStr">
        <is>
          <t>offerings, success, and transformation.</t>
        </is>
      </c>
      <c r="O71" t="inlineStr">
        <is>
          <t>Cleansing, consecration, dreams, happiness, healing, love, money, passion, prosperity, protection, psychic development, purification, release, renewal, rest, and sleep. Other magical uses: animals, divination, endings, energy, exorcism, good luck, grieving, spirit offerings, success, and transformation. Burn before bed for prophetic dreams. Peppermint tea aids in divination. Mint is placed in the home as a protective herb. The fresh leaves rubbed against the head are said to relieve headaches. Mint worn at the wrist assures that you will not be ill. Its bright green leaves and crisp scent led to its use in money and prosperity spells. Fresh mint laid on the altar will call good spirits to be present and aid you in magic, especially healing spells. Added to incense, it cleanses the house or ritual area.</t>
        </is>
      </c>
      <c r="P71" t="inlineStr">
        <is>
          <t>Peppermint</t>
        </is>
      </c>
      <c r="Q71" t="inlineStr">
        <is>
          <t>Eastern Europe, West Asia (Cultivated)</t>
        </is>
      </c>
      <c r="R71" t="inlineStr">
        <is>
          <t>Generally safe for most uses. Avoid pure peppermint oil near the faces of infants or young children.</t>
        </is>
      </c>
      <c r="AM71" t="inlineStr">
        <is>
          <t>quartz Rose</t>
        </is>
      </c>
      <c r="AN71" t="inlineStr">
        <is>
          <t>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t>
        </is>
      </c>
      <c r="AO71" t="inlineStr">
        <is>
          <t>Confidence, Peace, Fertility, creativity, Love, compassion, beauty, Fidelity, Happiness</t>
        </is>
      </c>
      <c r="AP71" t="inlineStr">
        <is>
          <t>Seraphinite</t>
        </is>
      </c>
      <c r="AQ71" t="inlineStr">
        <is>
          <t>Seraphinite is a powerful healing stone which is becoming increasingly popular. It is an excellent healing stone which boosts the energy of both the healer, the patient. Some people even say that it causes regeneration, miraculous healings.</t>
        </is>
      </c>
      <c r="AR71" t="inlineStr">
        <is>
          <t>Purification, centering, compassion, healing.</t>
        </is>
      </c>
      <c r="AY71" t="inlineStr">
        <is>
          <t>Peppermint</t>
        </is>
      </c>
      <c r="AZ71" t="inlineStr">
        <is>
          <t>Purification, PSYCHIC POWERS, Healing</t>
        </is>
      </c>
      <c r="BA71" t="inlineStr">
        <is>
          <t>ANTI-DEPRESSANT, MENTAL CLARITY</t>
        </is>
      </c>
      <c r="BB71" t="inlineStr">
        <is>
          <t>There is a story of a traveler who was exhausted and lost in the woods. He stumbled upon a patch of mint and, crushed by fatigue, fell asleep on it. When he woke, he felt as if his very blood had been renewed by the cool, sharp scent, giving him the strength to walk all the way home.</t>
        </is>
      </c>
      <c r="BC71" t="inlineStr">
        <is>
          <t>Apple</t>
        </is>
      </c>
      <c r="BD71" t="inlineStr">
        <is>
          <t>Love, Happiness, WISDOM IN MAGICK</t>
        </is>
      </c>
      <c r="BE71" t="inlineStr">
        <is>
          <t>UPLIFTING</t>
        </is>
      </c>
      <c r="BF71"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G71" t="inlineStr">
        <is>
          <t>Bergamot</t>
        </is>
      </c>
      <c r="BH71" t="inlineStr">
        <is>
          <t>PROSPERITY SPELLS, Prosperity</t>
        </is>
      </c>
      <c r="BI71" t="inlineStr">
        <is>
          <t>Harmony, Happiness, Strength</t>
        </is>
      </c>
      <c r="BJ71" t="inlineStr">
        <is>
          <t>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t>
        </is>
      </c>
      <c r="BL71" t="inlineStr">
        <is>
          <t>PEPPERMINT</t>
        </is>
      </c>
      <c r="BM71" s="42" t="inlineStr">
        <is>
          <t>Sharp air energy, cool and clarifying as the first autumn morning. Cleansing carried on its cool breath, consecration made crisp. Dreams, healing and love all find it sharpening. Psychic development and protection both brightened. What enters a working with peppermint enters it more alert.</t>
        </is>
      </c>
    </row>
    <row r="72" ht="409.5" customHeight="1" s="56">
      <c r="A72" t="inlineStr">
        <is>
          <t>PINE NUT</t>
        </is>
      </c>
      <c r="B72" t="inlineStr">
        <is>
          <t>PEITH</t>
        </is>
      </c>
      <c r="C72" t="inlineStr">
        <is>
          <t>Pinus sabiniana</t>
        </is>
      </c>
      <c r="D72" t="inlineStr">
        <is>
          <t>Strength, Life, Immoror  Rejuvenation, Prosperity, Purifying  Purifying new homes, Staying the course, Warding off evil influences, Increasing fertility, Longevity, Cleansing negativity, Warding off illness, Protection, Purification, Divination, Keeping sickness away, Aiding the ill, Ensuring joy in the home, Banishing negative energies, Exorcism, Attracting money, Breaking hexes, Returning hexes, Purifying the home, Fertility charms, Cleansing baths, Consecration, Protection mixtures, Money mixtures, Healing mixtures, Immortality, Physical Strength, Fortitude, Vitality, Inner power, and strength, Long life, Eternal youth, Rejuvenation, Vigorous old age, Lengthening lifespan, Fertility, Female fertility, Fertility magic, Aiding fertility, Fruitfulness, Virility, male virility, Abundant harvest, Wealth, Wealth/Prosperity, Attracting business, Business dealings, abundance, Financial arrangements, Aiding gain, Gain, PROSPERITY SPELLS, Increasing wealth, Money, Money spells, Drawing money, INCREASE MONEY, Breaking financial stagnation, Protecting against poverty, Warding off poverty, Purifying ritual areas, Purifying new homes,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negativity, Bad luck warding, Sickness warding, Warding off sickness, Dispelling sickness, Removing sickness, Removing mental troubles, Keeping illness away, Curing fevers, Dispelling melancholy, Preventing illness, Protection against disease, Banishing,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tools, Cleansing the home, Cleansing space, Pre-ritual cleansing, Removing dark energies, Clearing aura attachments, Cleansing atmospheres, Cleansing objects, Cleansing body and spirit, Sweeping sacred spaces, Cleansing ritual areas, Ritual baths, Ritual bath, Cleansing before ritual, Purifying body and mind, Protective charm, Protective charms, Protective wreaths, Protective incense, PROTECT AGAINST NEGATIVITY, Protection from negativity, Circle protection, Enhancing divination, Divinatory incense, Foretelling the future, Future divination, Scrying, Dowsing, Prophecy, Healing, Healing magic, Healing spells, Healing sachets, Healing incenses, Healing rituals, Healing incense, Healing vibrations, healing after surgery, Aiding recovery,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Spell-breaking, Reversing harmful spells, Breaking spells, Hex breaking, Removing hexes, Removing curses, Removing jinxes, Removing bad luck, hex-breaking, Removing hexes and curses, Removing a jinx, Luck, Good luck, Good luck in family matters, Fortune, Casino luck, WISHES, Wish magick, Carrying wishes, Transmuting wishes</t>
        </is>
      </c>
      <c r="E72" t="inlineStr">
        <is>
          <t>BRIGID, LUNA, SELENE, CERNUNNOS, ATTIS, CANCER</t>
        </is>
      </c>
      <c r="F72" t="inlineStr">
        <is>
          <t>MOON</t>
        </is>
      </c>
      <c r="G72" t="inlineStr">
        <is>
          <t>WATER</t>
        </is>
      </c>
      <c r="H72" t="inlineStr">
        <is>
          <t>FEMININE</t>
        </is>
      </c>
      <c r="I72" t="inlineStr">
        <is>
          <t>MONDAY</t>
        </is>
      </c>
      <c r="J72" t="inlineStr">
        <is>
          <t>BRIGID, LUNA, SELENE, ATTIS</t>
        </is>
      </c>
      <c r="K72" t="inlineStr">
        <is>
          <t>LAMMAS</t>
        </is>
      </c>
      <c r="L72" t="inlineStr">
        <is>
          <t>Worshiped as a symbol of fire.</t>
        </is>
      </c>
      <c r="M72" t="inlineStr">
        <is>
          <t>attracting prosperity, purifying ritual areas and new homes, and helping to stay the course during difficult times.</t>
        </is>
      </c>
      <c r="N72" t="inlineStr">
        <is>
          <t>for purification and divination.</t>
        </is>
      </c>
      <c r="O72" t="inlineStr">
        <is>
          <t>Strength, life, immortality, and rejuvenation. Use as an external symbol of life and immortality. It is regarded as a very soothing tree to be near. Useful for attracting prosperity, purifying ritual areas and new homes, and helping to stay the course during difficult times. A pine wand or pine cone kept on the altar wards off evil influences. Carry pine cones to increase fertility and have a vigorous old age. Floor washes with pine oil cleanse a space of negativity and ward off illness. Throw pine needles into winter fires for protection, or burn pine incense for purification and divination. Place pine branches over the bed to keep sickness away, or to aid the ill. Hang a pine branch over the main door of your house to ensure continuous joy within. Burned for purification and to banish negative energies, exorcise evil supernatural entities, attract money, and break hexes and return them to their senders.</t>
        </is>
      </c>
      <c r="P72" t="inlineStr">
        <is>
          <t>Pine</t>
        </is>
      </c>
      <c r="Q72" t="inlineStr">
        <is>
          <t>Mediterranean (Dry, sunny areas)</t>
        </is>
      </c>
      <c r="R72" t="inlineStr">
        <is>
          <t>Generally safe. Rarely, pine nuts can cause taste disturbances lasting several days (pine mouth syndrome).</t>
        </is>
      </c>
      <c r="AM72" t="inlineStr">
        <is>
          <t>Aquamarine</t>
        </is>
      </c>
      <c r="AN72"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72" t="inlineStr">
        <is>
          <t>Psychism, Peace, Confidence, Purification</t>
        </is>
      </c>
      <c r="AP72" t="inlineStr">
        <is>
          <t>Calcite</t>
        </is>
      </c>
      <c r="AQ72"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72" t="inlineStr">
        <is>
          <t>Luck, Prosperity, problem resolution, gambling, Healing, creativity, business success, attracting love.</t>
        </is>
      </c>
      <c r="AS72" t="inlineStr">
        <is>
          <t>Quartz Clear</t>
        </is>
      </c>
      <c r="AT72"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72" t="inlineStr">
        <is>
          <t>Protection, Healing, psychism, Strength, lactation</t>
        </is>
      </c>
      <c r="AV72" t="inlineStr">
        <is>
          <t>Moonstone</t>
        </is>
      </c>
      <c r="AW72"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72"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72" t="inlineStr">
        <is>
          <t>Pine</t>
        </is>
      </c>
      <c r="AZ72" t="inlineStr">
        <is>
          <t>PROSPERITY SPELLS, Prosperity</t>
        </is>
      </c>
      <c r="BA72" t="inlineStr">
        <is>
          <t>Harmony, Happiness, Strength</t>
        </is>
      </c>
      <c r="BB72"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72" t="inlineStr">
        <is>
          <t>Rosemary</t>
        </is>
      </c>
      <c r="BD72" t="inlineStr">
        <is>
          <t>Healing, Love, Protection, Purification</t>
        </is>
      </c>
      <c r="BE72" t="inlineStr">
        <is>
          <t>CLARITY, ENERGY, STRENGTH OF CHARACTER, Confidence</t>
        </is>
      </c>
      <c r="BF72"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BG72" t="inlineStr">
        <is>
          <t>Melissa</t>
        </is>
      </c>
      <c r="BH72" t="inlineStr">
        <is>
          <t>Love, Healing, Prosperity</t>
        </is>
      </c>
      <c r="BI72" t="inlineStr">
        <is>
          <t>GENTLENESS, Peace, PROGRESSIVENESS</t>
        </is>
      </c>
      <c r="BJ72" t="inlineStr">
        <is>
          <t>Called the 'Bee’s Delight,' it is said that if you hold a leaf of Melissa in your hand, bees will not sting you. The plant was gifted to humans by the bees themselves, who wanted to share the secret of their own contentment and the sweet hum of life.</t>
        </is>
      </c>
      <c r="BK72" t="inlineStr">
        <is>
          <t>CANCER</t>
        </is>
      </c>
      <c r="BL72" t="inlineStr">
        <is>
          <t>PINE NUT</t>
        </is>
      </c>
      <c r="BM72" s="42" t="inlineStr">
        <is>
          <t>Water energy from the enduring pine, the tree that outlasts the winter. Strength and life held in its resin. Prosperity drawn in, new homes purified with its smoke. Difficult workings held steady in its endurance. Where the spell asks for patience and staying power.</t>
        </is>
      </c>
    </row>
    <row r="73" ht="409.5" customHeight="1" s="56">
      <c r="A73" t="inlineStr">
        <is>
          <t>RASPBERRY LEAF</t>
        </is>
      </c>
      <c r="B73" t="inlineStr">
        <is>
          <t>RED RASPBERRY</t>
        </is>
      </c>
      <c r="C73" t="inlineStr">
        <is>
          <t>Rubus idaeus</t>
        </is>
      </c>
      <c r="D73" t="inlineStr">
        <is>
          <t>Love, Inducing love, Easing late pregnancy, Easing childbirth, Protection, Love magick, Love drawing, Attracting love, Love-attracting rituals, Inviting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t>
        </is>
      </c>
      <c r="E73" t="inlineStr">
        <is>
          <t>VENUS, APHRODITE</t>
        </is>
      </c>
      <c r="F73" t="inlineStr">
        <is>
          <t>VENUS</t>
        </is>
      </c>
      <c r="G73" t="inlineStr">
        <is>
          <t>WATER</t>
        </is>
      </c>
      <c r="H73" t="inlineStr">
        <is>
          <t>FEMININE</t>
        </is>
      </c>
      <c r="I73" t="inlineStr">
        <is>
          <t>Friday</t>
        </is>
      </c>
      <c r="J73" t="inlineStr">
        <is>
          <t>APHRODITE</t>
        </is>
      </c>
      <c r="K73" t="inlineStr">
        <is>
          <t>OSTARA, BELTANE</t>
        </is>
      </c>
      <c r="L73" t="inlineStr">
        <is>
          <t>Known to strengthen the uterus.</t>
        </is>
      </c>
      <c r="M73" t="inlineStr">
        <is>
          <t>love and protection spells.</t>
        </is>
      </c>
      <c r="N73" t="inlineStr">
        <is>
          <t>Used in fertility rituals and protective ceremonies. Sacred to the divine feminine; offered to Aphrodite and mother goddesses.</t>
        </is>
      </c>
      <c r="O73" t="inlineStr">
        <is>
          <t>It is often served as a love-inducing food, and the leaves can be carried by pregnant women to alleviate the pains of later pregnancy and childbirth. It is also used for love and protection spells.</t>
        </is>
      </c>
      <c r="P73" t="inlineStr">
        <is>
          <t>Ylang Ylang</t>
        </is>
      </c>
      <c r="Q73" t="inlineStr">
        <is>
          <t>Southern Europe (Dry rocky areas)</t>
        </is>
      </c>
      <c r="R73" t="inlineStr">
        <is>
          <t>Warning: Do not use at the beginning of pregnancy as it could cause miscarriage.</t>
        </is>
      </c>
      <c r="AM73" t="inlineStr">
        <is>
          <t>Chrysocolla</t>
        </is>
      </c>
      <c r="AN73"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73" t="inlineStr">
        <is>
          <t>Clarity, Peace, patience, Love, wisdom, Negating dreams, Harmony, Prosperity, growth, hope, intimacy, Divination, tolerance, sleep, creativity, self-awareness.</t>
        </is>
      </c>
      <c r="AP73" t="inlineStr">
        <is>
          <t>Copper flakes</t>
        </is>
      </c>
      <c r="AQ73" t="inlineStr">
        <is>
          <t>Use copper in rituals, Bolstering spells, amulets to promote love, sensuality, friendship, positive relationships of any kind, negotiations, peace.</t>
        </is>
      </c>
      <c r="AR73" t="inlineStr">
        <is>
          <t>Love, Peace, friendships</t>
        </is>
      </c>
      <c r="AS73" t="inlineStr">
        <is>
          <t>Goldstone</t>
        </is>
      </c>
      <c r="AT73"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73" t="inlineStr">
        <is>
          <t>Hope, protection.</t>
        </is>
      </c>
      <c r="AV73" t="inlineStr">
        <is>
          <t>Jade (jadeite)</t>
        </is>
      </c>
      <c r="AW73"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73" t="inlineStr">
        <is>
          <t>Concentration, unconditional love, concentration, Fidelity, Harmony, Healing, justice, Protection, Luck, beauty, energy, stress relief, perspective, wisdom, growth.</t>
        </is>
      </c>
      <c r="AY73" t="inlineStr">
        <is>
          <t>Ylang Ylang</t>
        </is>
      </c>
      <c r="AZ73" t="inlineStr">
        <is>
          <t>SEX MAGIC, Protection, LOVE &amp; PEACE, CLEARING NEGATIVITY</t>
        </is>
      </c>
      <c r="BA73" t="inlineStr">
        <is>
          <t>Peace, ENTHUSIASM, Happiness, UPLIFTMENT</t>
        </is>
      </c>
      <c r="BB73"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73" t="inlineStr">
        <is>
          <t>Thyme</t>
        </is>
      </c>
      <c r="BD73" t="inlineStr">
        <is>
          <t>Healing, Love, Purification, Confidence</t>
        </is>
      </c>
      <c r="BE73" t="inlineStr">
        <is>
          <t>Harmony, STRENGTHENS, SUPP, Amulets/talismans</t>
        </is>
      </c>
      <c r="BF73" t="inlineStr">
        <is>
          <t>In the stories of the knights, Thyme was the herb of bravery. Before a battle, they would wear a sprig of thyme near their hearts, believing the herb would gift them the heart of a lion and ensure their courage never failed when the steel was drawn.</t>
        </is>
      </c>
      <c r="BG73" t="inlineStr">
        <is>
          <t>Vanilla</t>
        </is>
      </c>
      <c r="BH73" t="inlineStr">
        <is>
          <t>MENTAL POWERS, LOVING &amp; LUSTFUL ENERGIES</t>
        </is>
      </c>
      <c r="BI73" t="inlineStr">
        <is>
          <t>SOOTHES NERVES, CALMS, RELAXES</t>
        </is>
      </c>
      <c r="BJ73"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L73" t="inlineStr">
        <is>
          <t>RASPBERRY LEAF</t>
        </is>
      </c>
      <c r="BM73" s="42" t="inlineStr">
        <is>
          <t>Water and feminine protection, sacred to the divine feminine in all its forms. Love drawn in and deepened. Female mysteries honoured — pregnancy, childbirth, the transitions of the body held sacred. Protection strengthened. The herb that guards what is tender and growing.</t>
        </is>
      </c>
    </row>
    <row r="74" ht="409.5" customHeight="1" s="56">
      <c r="A74" t="inlineStr">
        <is>
          <t>ROSE BUDS PINK</t>
        </is>
      </c>
      <c r="B74" t="inlineStr">
        <is>
          <t>WOLD ROSE BUDS</t>
        </is>
      </c>
      <c r="C74" t="inlineStr">
        <is>
          <t>Rosa Canina</t>
        </is>
      </c>
      <c r="D74" t="inlineStr">
        <is>
          <t>Love, Friendship, Power, Healing, Divination, Romantic love ceremonies, Love magick, Love drawing, Attracting love, Love-attracting rituals, Inviting love, Inducing love, Love charms, Love enchantment, Finding love,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Magical power, Increasing magical power, Increasing spell power, Power amplification, Bolstering spells, Bolstering incense, Strengthening spells, Potency, Magic, WISDOM IN MAGICK, defensive magic, Healing magic, Healing spells, Healing sachets, Healing incenses, Healing mixtures, Healing rituals, Healing incense, Healing vibrations, healing after surgery, Aiding recovery, Aiding the ill, Improving health, Speeding recovery, Good health, health, Enhancing divination, Divinatory incense, Foretelling the future, Future divination, Scrying, Dowsing, Prophecy</t>
        </is>
      </c>
      <c r="E74" t="inlineStr">
        <is>
          <t>VENUS, DEMETER</t>
        </is>
      </c>
      <c r="F74" t="inlineStr">
        <is>
          <t>VENUS</t>
        </is>
      </c>
      <c r="G74" t="inlineStr">
        <is>
          <t>WATER</t>
        </is>
      </c>
      <c r="H74" t="inlineStr">
        <is>
          <t>FEMININE</t>
        </is>
      </c>
      <c r="I74" t="inlineStr">
        <is>
          <t>Friday</t>
        </is>
      </c>
      <c r="J74" t="inlineStr">
        <is>
          <t>APHRODITE, ISIS, VENUS, EROS, HATHOR, CUPID</t>
        </is>
      </c>
      <c r="K74" t="inlineStr">
        <is>
          <t>OSTARA, BELTANE</t>
        </is>
      </c>
      <c r="L74" t="inlineStr">
        <is>
          <t>Each colour has a meaning.</t>
        </is>
      </c>
      <c r="M74" t="inlineStr">
        <is>
          <t>love, friendship, power, healing, and divination.</t>
        </is>
      </c>
      <c r="N74" t="inlineStr">
        <is>
          <t>Used in love rituals, goddess devotions, and Ostara ceremonies. Placed on altars to honour Aphrodite and the divine feminine.</t>
        </is>
      </c>
      <c r="O74" t="inlineStr">
        <is>
          <t>Use for love, friendship, power, healing, and divination. Use rose buds for ceremonies concerning romantic love.</t>
        </is>
      </c>
      <c r="P74" t="inlineStr">
        <is>
          <t>Rose</t>
        </is>
      </c>
      <c r="Q74" t="inlineStr">
        <is>
          <t>Mediterranean (Sunny, rocky slopes)</t>
        </is>
      </c>
      <c r="R74" t="inlineStr">
        <is>
          <t>Generally considered safe for most uses. Always use in moderation.</t>
        </is>
      </c>
      <c r="AM74" t="inlineStr">
        <is>
          <t>Chrysocolla</t>
        </is>
      </c>
      <c r="AN74"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74" t="inlineStr">
        <is>
          <t>Clarity, Peace, patience, Love, wisdom, Negating dreams, Harmony, Prosperity, growth, hope, intimacy, Divination, tolerance, sleep, creativity, self-awareness.</t>
        </is>
      </c>
      <c r="AP74" t="inlineStr">
        <is>
          <t>Copper flakes</t>
        </is>
      </c>
      <c r="AQ74" t="inlineStr">
        <is>
          <t>Use copper in rituals, Bolstering spells, amulets to promote love, sensuality, friendship, positive relationships of any kind, negotiations, peace.</t>
        </is>
      </c>
      <c r="AR74" t="inlineStr">
        <is>
          <t>Love, Peace, friendships</t>
        </is>
      </c>
      <c r="AS74" t="inlineStr">
        <is>
          <t>Goldstone</t>
        </is>
      </c>
      <c r="AT74"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74" t="inlineStr">
        <is>
          <t>Hope, protection.</t>
        </is>
      </c>
      <c r="AV74" t="inlineStr">
        <is>
          <t>Jade (jadeite)</t>
        </is>
      </c>
      <c r="AW74"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74" t="inlineStr">
        <is>
          <t>Concentration, unconditional love, concentration, Fidelity, Harmony, Healing, justice, Protection, Luck, beauty, energy, stress relief, perspective, wisdom, growth.</t>
        </is>
      </c>
      <c r="AY74" t="inlineStr">
        <is>
          <t>Rose</t>
        </is>
      </c>
      <c r="AZ74" t="inlineStr">
        <is>
          <t>Peace, Protection, Luck, PROMOTE LOVE &amp; AFFECTION</t>
        </is>
      </c>
      <c r="BA74" t="inlineStr">
        <is>
          <t>BALANCING, STRENGTHENING, Attracting good spirits</t>
        </is>
      </c>
      <c r="BB74"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C74" t="inlineStr">
        <is>
          <t>Thyme</t>
        </is>
      </c>
      <c r="BD74" t="inlineStr">
        <is>
          <t>Healing, Love, Purification, Confidence</t>
        </is>
      </c>
      <c r="BE74" t="inlineStr">
        <is>
          <t>Harmony, STRENGTHENS, SUPP, Amulets/talismans</t>
        </is>
      </c>
      <c r="BF74" t="inlineStr">
        <is>
          <t>In the stories of the knights, Thyme was the herb of bravery. Before a battle, they would wear a sprig of thyme near their hearts, believing the herb would gift them the heart of a lion and ensure their courage never failed when the steel was drawn.</t>
        </is>
      </c>
      <c r="BG74" t="inlineStr">
        <is>
          <t>Vanilla</t>
        </is>
      </c>
      <c r="BH74" t="inlineStr">
        <is>
          <t>MENTAL POWERS, LOVING &amp; LUSTFUL ENERGIES</t>
        </is>
      </c>
      <c r="BI74" t="inlineStr">
        <is>
          <t>SOOTHES NERVES, CALMS, RELAXES</t>
        </is>
      </c>
      <c r="BJ74"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L74" t="inlineStr">
        <is>
          <t>ROSE BUDS PINK</t>
        </is>
      </c>
      <c r="BM74" s="42" t="inlineStr">
        <is>
          <t>Friendship and gentle love, the rose in its softer aspect. Healing and divination both warmed. Power drawn in quietly. Goddess devotions and Ostara ceremonies find it luminous. Where healing and love are needed in the same working, pink rose holds both.</t>
        </is>
      </c>
    </row>
    <row r="75" ht="409.5" customHeight="1" s="56">
      <c r="A75" t="inlineStr">
        <is>
          <t>ROSE BUDS RED</t>
        </is>
      </c>
      <c r="B75" t="inlineStr">
        <is>
          <t>WARDIA</t>
        </is>
      </c>
      <c r="C75" t="inlineStr">
        <is>
          <t>Rose Gallica</t>
        </is>
      </c>
      <c r="D75" t="inlineStr">
        <is>
          <t>Prophetic dreams, Healing, Health, Calming stress, Calming household upheaval, Love, Luck, Creativity, Balance, Anointing, Divination, Clairvoyance, Protection, Psychic awareness, Conjuring a lover, Invoking dreams, Dream work, Dreams, Visions, Seeing the unseen, Seeing manifestations, Truth, Honesty, Removing deception, Subconscious work, Digging into the subconscious, Uprooting what is hidden, Scrying, Dowsing, Treasure seeking, Lost object finding, Healing magic, Healing spells, Healing sachets, Healing incenses, Healing mixtures, Healing rituals, Healing incense, Healing vibrations, healing after surgery, Aiding recovery, Aiding the ill, Improving health, Speeding recovery, Good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tools, Anointing candles, Anointing altars, Anointing the body, Anointing amulets, Anointing talismans, Anointing baths, Anointing charm bags, Anointing mojo bags, Consecrating incense burners, Amulets/talismans, Amulets, Talismans, Protective sachets, Charm bags, Mojo bags, Sachets, Enhancing divination, Divinatory incense, Foretelling the future, Future divination, Prophecy, Enhancing clairvoyance, Psychic development, Psychic powers, INCREASE PSYCHIC ABILITIES, Stimulating psychic senses, Disabling psychic phenomena, Psychic communication, communication and psychic abilities, Protective charm, Protective charms, Protective wreaths, Protective incense, PROTECT AGAINST NEGATIVITY, Protection from negativity, Circle protection, Attraction, Attracting a mate, Attracting a soulmate, HELP ATTRACT OPPOSITE SEX, Finding future love</t>
        </is>
      </c>
      <c r="E75" t="inlineStr">
        <is>
          <t>VENUS, PISCES, CANCER, SCORPIO</t>
        </is>
      </c>
      <c r="F75" t="inlineStr">
        <is>
          <t>VENUS, MERCURY</t>
        </is>
      </c>
      <c r="G75" t="inlineStr">
        <is>
          <t>WATER</t>
        </is>
      </c>
      <c r="H75" t="inlineStr">
        <is>
          <t>FEMININE</t>
        </is>
      </c>
      <c r="I75" t="inlineStr">
        <is>
          <t>Wednesday</t>
        </is>
      </c>
      <c r="J75" t="inlineStr">
        <is>
          <t>APHRODITE, ISIS, VENUS, EROS, HATHOR, CUPID</t>
        </is>
      </c>
      <c r="K75" t="inlineStr">
        <is>
          <t>MABON</t>
        </is>
      </c>
      <c r="L75" t="inlineStr">
        <is>
          <t>Attract fairies.</t>
        </is>
      </c>
      <c r="M75" t="inlineStr">
        <is>
          <t>Burn as incense for healing, health, love, luck, creativity, balance, anointing, divination, clairvoyance, protection, and psychic awareness.</t>
        </is>
      </c>
      <c r="N75" t="inlineStr">
        <is>
          <t>Burn as incense for healing, health, love, luck, creativity, balance, anointing, divination, clairvoyance, protection, and psychic awareness.</t>
        </is>
      </c>
      <c r="O75" t="inlineStr">
        <is>
          <t>A tea of rose buds drunk before sleep induces prophetic dreams. Rose petals and hips are used in healing spells and mixtures. Rose petals sprinkled around the house calm personal stress and household upheavals. Burn as incense for healing, health, love, luck, creativity, balance, anointing, divination, clairvoyance, protection, and psychic awareness. Rose buds are added to bath water to conjure a lover. Place some in a red cloth bag and pin it under your clothes.</t>
        </is>
      </c>
      <c r="P75" t="inlineStr">
        <is>
          <t>Rose</t>
        </is>
      </c>
      <c r="Q75" t="inlineStr">
        <is>
          <t>India (Dry deciduous forests)</t>
        </is>
      </c>
      <c r="R75" t="inlineStr">
        <is>
          <t>Generally considered safe for most uses. Always use in moderation.</t>
        </is>
      </c>
      <c r="AM75" t="inlineStr">
        <is>
          <t>agate Blue Lace</t>
        </is>
      </c>
      <c r="AN75" t="inlineStr">
        <is>
          <t>Renowned as the stone of peace, calmness, Blue Lace Agate reduces tension, heals the effects of stress. It is especially soothing to sensitive people who are at risk of being overwhelmed by other people's emotions, energies, to violent people who find it difficult to talk about their anger. Releases suppressed femininity, helps you to be comf, table with the female aspect of your nature. Increases the magical power of the voice, granting the wearer a silver tongue, the ability to express their feelings.</t>
        </is>
      </c>
      <c r="AO75" t="inlineStr">
        <is>
          <t>Peace, patience, Happiness, warmth, gentleness, domestic harmony, tenderness</t>
        </is>
      </c>
      <c r="AP75" t="inlineStr">
        <is>
          <t>Chrysocolla</t>
        </is>
      </c>
      <c r="AQ75"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R75" t="inlineStr">
        <is>
          <t>Clarity, Peace, patience, Love, wisdom, Negating dreams, Harmony, Prosperity, growth, hope, intimacy, Divination, tolerance, sleep, creativity, self-awareness.</t>
        </is>
      </c>
      <c r="AS75" t="inlineStr">
        <is>
          <t>Copper flakes</t>
        </is>
      </c>
      <c r="AT75" t="inlineStr">
        <is>
          <t>Use copper in rituals, Bolstering spells, amulets to promote love, sensuality, friendship, positive relationships of any kind, negotiations, peace.</t>
        </is>
      </c>
      <c r="AU75" t="inlineStr">
        <is>
          <t>Love, Peace, friendships</t>
        </is>
      </c>
      <c r="AV75" t="inlineStr">
        <is>
          <t>Jade (jadeite)</t>
        </is>
      </c>
      <c r="AW75"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75" t="inlineStr">
        <is>
          <t>Concentration, unconditional love, concentration, Fidelity, Harmony, Healing, justice, Protection, Luck, beauty, energy, stress relief, perspective, wisdom, growth.</t>
        </is>
      </c>
      <c r="AY75" t="inlineStr">
        <is>
          <t>Rose</t>
        </is>
      </c>
      <c r="AZ75" t="inlineStr">
        <is>
          <t>Peace, Protection, Luck, PROMOTE LOVE &amp; AFFECTION</t>
        </is>
      </c>
      <c r="BA75" t="inlineStr">
        <is>
          <t>BALANCING, STRENGTHENING, Attracting good spirits</t>
        </is>
      </c>
      <c r="BB75"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C75" t="inlineStr">
        <is>
          <t>Thyme</t>
        </is>
      </c>
      <c r="BD75" t="inlineStr">
        <is>
          <t>Healing, Love, Purification, Confidence</t>
        </is>
      </c>
      <c r="BE75" t="inlineStr">
        <is>
          <t>Harmony, STRENGTHENS, SUPP, Amulets/talismans</t>
        </is>
      </c>
      <c r="BF75" t="inlineStr">
        <is>
          <t>In the stories of the knights, Thyme was the herb of bravery. Before a battle, they would wear a sprig of thyme near their hearts, believing the herb would gift them the heart of a lion and ensure their courage never failed when the steel was drawn.</t>
        </is>
      </c>
      <c r="BG75" t="inlineStr">
        <is>
          <t>Vanilla</t>
        </is>
      </c>
      <c r="BH75" t="inlineStr">
        <is>
          <t>MENTAL POWERS, LOVING &amp; LUSTFUL ENERGIES</t>
        </is>
      </c>
      <c r="BI75" t="inlineStr">
        <is>
          <t>SOOTHES NERVES, CALMS, RELAXES</t>
        </is>
      </c>
      <c r="BJ75"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K75" t="inlineStr">
        <is>
          <t>PISCES, CANCER, SCORPIO</t>
        </is>
      </c>
      <c r="BL75" t="inlineStr">
        <is>
          <t>ROSE BUDS RED</t>
        </is>
      </c>
      <c r="BM75" s="42" t="inlineStr">
        <is>
          <t>Prophetic dreams and passionate healing, the rose in full fire. Health and creativity both carried in its deep red. Love, luck and balance drawn together. Clairvoyance and divination deepened. The rose that asks for the full working — complex, demanding, deeply rewarding.</t>
        </is>
      </c>
    </row>
    <row r="76" ht="409.5" customHeight="1" s="56">
      <c r="A76" t="inlineStr">
        <is>
          <t>ROSE HIP</t>
        </is>
      </c>
      <c r="B76" t="inlineStr">
        <is>
          <t>WITCHES BRIAR</t>
        </is>
      </c>
      <c r="C76" t="inlineStr">
        <is>
          <t>Rosa canina</t>
        </is>
      </c>
      <c r="D76" t="inlineStr">
        <is>
          <t>Honouring Venus, Harmony, Peace, Calming energies, Love, Soul mates, Companionship, Incense, Sachets, Charm bags, Love-attracting rituals, Cleansing before ritual, Stress relief, Love magick, Love drawing, Attracting love,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Mojo bags,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Purifying body and mind</t>
        </is>
      </c>
      <c r="E76" t="inlineStr">
        <is>
          <t>VENUS, HULDA, DEMETER, ISIS, EROS, APHRODITE, TAURUS</t>
        </is>
      </c>
      <c r="F76" t="inlineStr">
        <is>
          <t>JUPITER</t>
        </is>
      </c>
      <c r="G76" t="inlineStr">
        <is>
          <t>WATER</t>
        </is>
      </c>
      <c r="H76" t="inlineStr">
        <is>
          <t>FEMININE</t>
        </is>
      </c>
      <c r="I76" t="inlineStr">
        <is>
          <t>Thursday</t>
        </is>
      </c>
      <c r="J76" t="inlineStr">
        <is>
          <t>ISIS, EROS, APHRODITE</t>
        </is>
      </c>
      <c r="K76" t="inlineStr">
        <is>
          <t>LAMMAS, MABON</t>
        </is>
      </c>
      <c r="L76" t="inlineStr">
        <is>
          <t>Used in WWII to prevent scurvy.</t>
        </is>
      </c>
      <c r="M76" t="inlineStr">
        <is>
          <t>Place rose hips around the home to bring back harmony and peace if there has been a great deal of disharmony or upheaval.</t>
        </is>
      </c>
      <c r="N76" t="inlineStr">
        <is>
          <t>in ritual, place a bowl of rose hips on your altar.</t>
        </is>
      </c>
      <c r="O76" t="inlineStr">
        <is>
          <t>When honouring the goddess Venus in ritual, place a bowl of rose hips on your altar. Place rose hips around the home to bring back harmony and peace if there has been a great deal of disharmony or upheaval. Consecrate and charge the rose hips to radiate with loving, calming energies that will fill your space. Tuck them in cabinets and closets, under pillows, and on window sills and door frames. Use rose hips in a ritual bath for work concerning love, soul mates, and companionship. Crush and add to incense, add to sachets and charm bags, or string on a necklace as part of a love-attracting ritual. For cleansing before a ritual, or to wash away stress after a hard day.</t>
        </is>
      </c>
      <c r="P76" t="inlineStr">
        <is>
          <t>Rose</t>
        </is>
      </c>
      <c r="Q76" t="inlineStr">
        <is>
          <t>India, Southeast Asia (Tropical dry forests)</t>
        </is>
      </c>
      <c r="R76" t="inlineStr">
        <is>
          <t>Generally safe. High in Vitamin C. Avoid large doses if taking blood thinners or with kidney stones.</t>
        </is>
      </c>
      <c r="AM76" t="inlineStr">
        <is>
          <t>Amethyst</t>
        </is>
      </c>
      <c r="AN76" t="inlineStr">
        <is>
          <t>Usually classified as a Lunar stone because of its power to influence the mind, Negating dreams, the astral planes., the stone can be used magically to keep you clear headed, free from unwelcome influences.. A stone of sleep, Amethyst stimulates the imagination, opens do, s onto the astral planes. Helps with meditation, makes a particularly good focus to concentrate on when you are learning this skill. Turns away bad luck, curses, negative energy. Balances logical reasoning, intuition to create a much deeper view of any situation.</t>
        </is>
      </c>
      <c r="AO76"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P76" t="inlineStr">
        <is>
          <t>Ametrine</t>
        </is>
      </c>
      <c r="AQ76" t="inlineStr">
        <is>
          <t>Combines mental clarity with strength of will, making it a very powerful stone f, any magic user.</t>
        </is>
      </c>
      <c r="AR76" t="inlineStr">
        <is>
          <t>Astral travel, magickal power, meditation, removing negativity.</t>
        </is>
      </c>
      <c r="AS76" t="inlineStr">
        <is>
          <t>Goldstone</t>
        </is>
      </c>
      <c r="AT76"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76" t="inlineStr">
        <is>
          <t>Hope, protection.</t>
        </is>
      </c>
      <c r="AV76" t="inlineStr">
        <is>
          <t>Iolite</t>
        </is>
      </c>
      <c r="AW76" t="inlineStr">
        <is>
          <t>Iolite is the stone of Witchcraft. Enhances all magical powers when w, Amulets/talismans, if you keep a piece with you then over time it will subtly increase your occult powers, psychic sensitivity. Improves visualisation skills, creativity.Sacred to the Mother Goddess. Increases your appreciation of feminine power, Magical power, spirituality, helps you to draw that power into your own life. A protective, nurturing stone that will help you to recognise your own unique talents, develop them in ways that will better your life.</t>
        </is>
      </c>
      <c r="AX76" t="inlineStr">
        <is>
          <t>Truth, Peace, psychic ability, curiosity, spiritual growth, leadership.</t>
        </is>
      </c>
      <c r="AY76" t="inlineStr">
        <is>
          <t>Rose</t>
        </is>
      </c>
      <c r="AZ76" t="inlineStr">
        <is>
          <t>Peace, Protection, Luck, PROMOTE LOVE &amp; AFFECTION</t>
        </is>
      </c>
      <c r="BA76" t="inlineStr">
        <is>
          <t>BALANCING, STRENGTHENING, Attracting good spirits</t>
        </is>
      </c>
      <c r="BB76"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C76" t="inlineStr">
        <is>
          <t>Honeysuckle</t>
        </is>
      </c>
      <c r="BD76" t="inlineStr">
        <is>
          <t>INCREASE PSYCHIC ABILITIES, INCREASE MONEY, Protection</t>
        </is>
      </c>
      <c r="BE76" t="inlineStr">
        <is>
          <t>RELAXING, SOOTHING, UPLIFTING, PSYCHIC POWERS</t>
        </is>
      </c>
      <c r="BF76" t="inlineStr">
        <is>
          <t>In the language of the fae, honeysuckle is known as the 'honey of the woods.' It is said that if you place a blossom under your pillow, you will dream of the location of hidden treasures—not just of gold, but of lost loves and forgotten truths.</t>
        </is>
      </c>
      <c r="BG76" t="inlineStr">
        <is>
          <t>Rosemary</t>
        </is>
      </c>
      <c r="BH76" t="inlineStr">
        <is>
          <t>Healing, Love, Protection, Purification</t>
        </is>
      </c>
      <c r="BI76" t="inlineStr">
        <is>
          <t>CLARITY, ENERGY, STRENGTH OF CHARACTER, Confidence</t>
        </is>
      </c>
      <c r="BJ76"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BK76" t="inlineStr">
        <is>
          <t>TAURUS</t>
        </is>
      </c>
      <c r="BL76" t="inlineStr">
        <is>
          <t>ROSE HIP</t>
        </is>
      </c>
      <c r="BM76" s="42" t="inlineStr">
        <is>
          <t>The rose after the flower — patient, protective, enduring as autumn itself. Harmony and peace brought back after upheaval. Love and soul mate energy held in its quiet fruit. Venus energy at its most steadfast. The long working, the lasting charm.</t>
        </is>
      </c>
    </row>
    <row r="77" ht="409.5" customHeight="1" s="56">
      <c r="A77" t="inlineStr">
        <is>
          <t>ROSE PETALS</t>
        </is>
      </c>
      <c r="B77" t="inlineStr">
        <is>
          <t>ROSE PETALS</t>
        </is>
      </c>
      <c r="C77" t="inlineStr">
        <is>
          <t>Rosa centifolia</t>
        </is>
      </c>
      <c r="D77" t="inlineStr">
        <is>
          <t>Love, Sex, Passion, Conjuring a lover, Attracting love, Prophetic dreams, Healing, Calming stress, Calming household upheaval, Love messages, Love magick, Love drawing,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Desire, Attraction, Attracting a mate, Attracting a soulmate, HELP ATTRACT OPPOSITE SEX, Finding future love, Invoking dreams, Dream work, Dreams, Visions, Seeing the unseen, Seeing manifestations, Truth, Honesty, Removing deception, Subconscious work, Digging into the subconscious, Uprooting what is hidden, Scrying, Dowsing, Treasure seeking, Lost object finding, Healing magic, Healing spells, Healing sachets, Healing incenses, Healing mixtures, Healing rituals, Healing incense, Healing vibrations, healing after surgery, Aiding recovery, Aiding the ill, Improving health, Speeding recovery, Good health, health</t>
        </is>
      </c>
      <c r="E77" t="inlineStr">
        <is>
          <t>VENUS, APHRODITE</t>
        </is>
      </c>
      <c r="F77" t="inlineStr">
        <is>
          <t>JUPITER</t>
        </is>
      </c>
      <c r="G77" t="inlineStr">
        <is>
          <t>WATER</t>
        </is>
      </c>
      <c r="H77" t="inlineStr">
        <is>
          <t>FEMININE</t>
        </is>
      </c>
      <c r="I77" t="inlineStr">
        <is>
          <t>Thursday</t>
        </is>
      </c>
      <c r="J77" t="inlineStr">
        <is>
          <t>APHRODITE</t>
        </is>
      </c>
      <c r="K77" t="inlineStr">
        <is>
          <t>LAMMAS, MABON</t>
        </is>
      </c>
      <c r="L77" t="inlineStr">
        <is>
          <t>Ancient custom to sprinkle beds of newly-weds.</t>
        </is>
      </c>
      <c r="M77" t="inlineStr">
        <is>
          <t>Love, Sex, Passion, Conjuring a lover, Attracting love, Prophetic dreams, Healing, Calming stress, Calming household upheaval, Love messages</t>
        </is>
      </c>
      <c r="N77" t="inlineStr">
        <is>
          <t>Used in love rituals, Beltane ceremonies, and devotional offerings to Aphrodite, Isis, and Venus. Scattered on altars and in sacred baths.</t>
        </is>
      </c>
      <c r="O77" t="inlineStr">
        <is>
          <t>Red roses symbolise love, sex, and passion. The rose is perhaps one of the most powerful symbols in the metaphysical world and one of the most accessible tools for everyday magic. Rose is the accepted love scent. Rose buds are added to bath water to conjure a lover — place some in a red cloth bag and pin it under your clothes. Rose hips worn as beads attract love. A tea of rose buds drunk before sleep induces prophetic dreams. Rose petals and hips are used in healing spells and mixtures. Rose petals sprinkled around the house calm personal stress and household upheavals. The gift of a rose is also one of the simplest ways to say "I love you".</t>
        </is>
      </c>
      <c r="P77" t="inlineStr">
        <is>
          <t>Rose</t>
        </is>
      </c>
      <c r="Q77" t="inlineStr">
        <is>
          <t>Oceans, Salt lakes, Mineral deposits</t>
        </is>
      </c>
      <c r="R77" t="inlineStr">
        <is>
          <t>Generally considered safe for most uses. Always use in moderation.</t>
        </is>
      </c>
      <c r="AM77" t="inlineStr">
        <is>
          <t>Amethyst</t>
        </is>
      </c>
      <c r="AN77" t="inlineStr">
        <is>
          <t>Usually classified as a Lunar stone because of its power to influence the mind, Negating dreams, the astral planes., the stone can be used magically to keep you clear headed, free from unwelcome influences.. A stone of sleep, Amethyst stimulates the imagination, opens do, s onto the astral planes. Helps with meditation, makes a particularly good focus to concentrate on when you are learning this skill. Turns away bad luck, curses, negative energy. Balances logical reasoning, intuition to create a much deeper view of any situation.</t>
        </is>
      </c>
      <c r="AO77"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P77" t="inlineStr">
        <is>
          <t>Ametrine</t>
        </is>
      </c>
      <c r="AQ77" t="inlineStr">
        <is>
          <t>Combines mental clarity with strength of will, making it a very powerful stone f, any magic user.</t>
        </is>
      </c>
      <c r="AR77" t="inlineStr">
        <is>
          <t>Astral travel, magickal power, meditation, removing negativity.</t>
        </is>
      </c>
      <c r="AS77" t="inlineStr">
        <is>
          <t>Goldstone</t>
        </is>
      </c>
      <c r="AT77"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77" t="inlineStr">
        <is>
          <t>Hope, protection.</t>
        </is>
      </c>
      <c r="AV77" t="inlineStr">
        <is>
          <t>Iolite</t>
        </is>
      </c>
      <c r="AW77" t="inlineStr">
        <is>
          <t>Iolite is the stone of Witchcraft. Enhances all magical powers when w, Amulets/talismans, if you keep a piece with you then over time it will subtly increase your occult powers, psychic sensitivity. Improves visualisation skills, creativity.Sacred to the Mother Goddess. Increases your appreciation of feminine power, Magical power, spirituality, helps you to draw that power into your own life. A protective, nurturing stone that will help you to recognise your own unique talents, develop them in ways that will better your life.</t>
        </is>
      </c>
      <c r="AX77" t="inlineStr">
        <is>
          <t>Truth, Peace, psychic ability, curiosity, spiritual growth, leadership.</t>
        </is>
      </c>
      <c r="AY77" t="inlineStr">
        <is>
          <t>Rose</t>
        </is>
      </c>
      <c r="AZ77" t="inlineStr">
        <is>
          <t>Peace, Protection, Luck, PROMOTE LOVE &amp; AFFECTION</t>
        </is>
      </c>
      <c r="BA77" t="inlineStr">
        <is>
          <t>BALANCING, STRENGTHENING, Attracting good spirits</t>
        </is>
      </c>
      <c r="BB77"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C77" t="inlineStr">
        <is>
          <t>Honeysuckle</t>
        </is>
      </c>
      <c r="BD77" t="inlineStr">
        <is>
          <t>INCREASE PSYCHIC ABILITIES, INCREASE MONEY, Protection</t>
        </is>
      </c>
      <c r="BE77" t="inlineStr">
        <is>
          <t>RELAXING, SOOTHING, UPLIFTING, PSYCHIC POWERS</t>
        </is>
      </c>
      <c r="BF77" t="inlineStr">
        <is>
          <t>In the language of the fae, honeysuckle is known as the 'honey of the woods.' It is said that if you place a blossom under your pillow, you will dream of the location of hidden treasures—not just of gold, but of lost loves and forgotten truths.</t>
        </is>
      </c>
      <c r="BG77" t="inlineStr">
        <is>
          <t>Rosemary</t>
        </is>
      </c>
      <c r="BH77" t="inlineStr">
        <is>
          <t>Healing, Love, Protection, Purification</t>
        </is>
      </c>
      <c r="BI77" t="inlineStr">
        <is>
          <t>CLARITY, ENERGY, STRENGTH OF CHARACTER, Confidence</t>
        </is>
      </c>
      <c r="BJ77"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BL77" t="inlineStr">
        <is>
          <t>ROSE PETALS</t>
        </is>
      </c>
      <c r="BM77" s="42" t="inlineStr">
        <is>
          <t>Water and passion and the very heart of love magic. Love conjured and drawn, what is desired brought closer. Prophetic dreams invited in on its scent. Healing and calming both carried. Beltane offerings and devotional work find it essential — the scent the goddess arrives in.</t>
        </is>
      </c>
    </row>
    <row r="78" ht="409.5" customHeight="1" s="56">
      <c r="A78" t="inlineStr">
        <is>
          <t>ROSEMARY</t>
        </is>
      </c>
      <c r="B78" t="inlineStr">
        <is>
          <t>DEW OF THE SEA</t>
        </is>
      </c>
      <c r="C78" t="inlineStr">
        <is>
          <t>Salvia rosmarinus</t>
        </is>
      </c>
      <c r="D78" t="inlineStr">
        <is>
          <t>Cleansing, Consecration, Exorcism, Healing, Sleep, Peace of mind, Confidence, Courage, Good luck, Grieving, Happiness, Knowledge, Love, Memory, Passion, Preventing theft, Protection, Psychic development, Psychic protection, Purification, Release, Water rites, Sea rituals, Weddings, Blessings, Dreams, Endings, Energy, Elves, Fidelity, Honesty, Inspiration, Invocation, Longevity, Meditation, New moon, Preventing nightmares, Strength, Transformation, Wisdom,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Healing magic, Healing spells, Healing sachets, Healing incenses, Healing mixtures, Healing rituals, Healing incense, Healing vibrations, healing after surgery, Aiding recovery, Aiding the ill, Improving health, Speeding recovery, Good health, health, Nightmare prevention, Negating dreams, RID OF BAD DREAMS, Nightmares, Rest, Encouraging sound sleep, Relaxation, Serenity, Calm,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Tranquillity, PEACE &amp; HAPPINESS, Calming, Soothing, Calmness,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Self-confidence,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Luck, Good luck in family matters, Fortune, Casino luck, WISHES, Wish magick, Carrying wishes, Transmuting wishes, Joy, Joyous celebrations, Contentment, Intelligence, Intuition, Mental clarity, Sharpening the wits, Sharpening the brain, Mental powers, MEM, Illumination, Enlightenment, Desire, Anti-theft, Protection against theft, Protective charm, Protective charms, Protective wreaths, Protective incense, PROTECT AGAINST NEGATIVITY, Protection from negativity, Circle protection, Clairvoyance, Enhancing clairvoyance, Psychic powers, INCREASE PSYCHIC ABILITIES, Psychic awareness, Stimulating psychic senses, Disabling psychic phenomena, Psychic communication, communication and psychic abilities,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Breaking habits, Breaking bad habits, Ending negative self-talk, Letting go of relationships, Ending guilt, Renewal, New beginnings, New beginning spells, Fresh starts, Change, rebirth, Breakthrough, Awakening, Growth, New ideas, Assisting transformation, Transformation/Evolution, Hand-fastings, Sacred union rites, Prophetic dreams, Invoking dreams, Dream work, Visions, Seeing the unseen, Seeing manifestations, Truth, Removing deception, Subconscious work, Digging into the subconscious, Uprooting what is hidden, Scrying, Dowsing, Treasure seeking, Lost object finding, Faithfulness, Loyalty, Promoting fidelity, Ensuring a lover returns love, Long life, Immortality, Eternal youth, Rejuvenation, Vigorous old age, Lengthening lifespan, Life, Physical Strength, Fortitude, Vitality, Inner power, and strength</t>
        </is>
      </c>
      <c r="E78" t="inlineStr">
        <is>
          <t>Venus</t>
        </is>
      </c>
      <c r="F78" t="inlineStr">
        <is>
          <t>SUN</t>
        </is>
      </c>
      <c r="G78" t="inlineStr">
        <is>
          <t>FIRE</t>
        </is>
      </c>
      <c r="H78" t="inlineStr">
        <is>
          <t>MASCULINE</t>
        </is>
      </c>
      <c r="I78" t="inlineStr">
        <is>
          <t>SUNDAY</t>
        </is>
      </c>
      <c r="J78" t="inlineStr">
        <is>
          <t>APHRODITE, ISIS, VENUS, VESTA, AMATERASU</t>
        </is>
      </c>
      <c r="K78" t="inlineStr">
        <is>
          <t>LITHA, LAMMAS, MABON</t>
        </is>
      </c>
      <c r="L78" t="inlineStr">
        <is>
          <t>Reputation as all-purpose herb.</t>
        </is>
      </c>
      <c r="M78" t="inlineStr">
        <is>
          <t>confidence, courage, good luck, grieving, happiness, healing, knowledge, love, memory, passion, preventing theft, protection, psychic development, psychic protection, purification, release, water rites/sea rituals, and weddings.</t>
        </is>
      </c>
      <c r="N78" t="inlineStr">
        <is>
          <t>in rituals for cleansing, consecration, and exorcism, and in rituals for the dead.</t>
        </is>
      </c>
      <c r="O78" t="inlineStr">
        <is>
          <t>Use in rituals for cleansing, consecration, and exorcism, and in rituals for the dead. It is an excellent herb for healing, aiding sleep, and peace of mind, especially when the scent is inhaled. It can be used for confidence, courage, good luck, grieving, happiness, healing, knowledge, love, memory, passion, preventing theft, protection, psychic development, psychic protection, purification, release, water rites/sea rituals, and weddings. Other magical uses: blessings, dreams, endings, energy, elves, fidelity, honesty, inspiration, invocation, longevity, meditation, new moon, preventing nightmares, aiding sleep, strength, transformation, and wisdom.</t>
        </is>
      </c>
      <c r="P78" t="inlineStr">
        <is>
          <t>Rosemary</t>
        </is>
      </c>
      <c r="Q78" t="inlineStr">
        <is>
          <t>Europe, Asia (Fields, sunny slopes)</t>
        </is>
      </c>
      <c r="R78" t="inlineStr">
        <is>
          <t>Generally safe in culinary amounts. Avoid medicinal doses during pregnancy. May interact with blood thinners.</t>
        </is>
      </c>
      <c r="AM78" t="inlineStr">
        <is>
          <t>Ametrine</t>
        </is>
      </c>
      <c r="AN78" t="inlineStr">
        <is>
          <t>Combines mental clarity with strength of will, making it a very powerful stone f, any magic user.</t>
        </is>
      </c>
      <c r="AO78" t="inlineStr">
        <is>
          <t>Astral travel, magickal power, meditation, removing negativity.</t>
        </is>
      </c>
      <c r="AP78" t="inlineStr">
        <is>
          <t>Carnelian</t>
        </is>
      </c>
      <c r="AQ78"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78" t="inlineStr">
        <is>
          <t>Happiness, Protection, energy, easing depression, promoting self-confidence, Peace, concentration, focus, Attraction, sexuality, Love, Healing, courage.</t>
        </is>
      </c>
      <c r="AS78" t="inlineStr">
        <is>
          <t>Citrine</t>
        </is>
      </c>
      <c r="AT78"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78"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78" t="inlineStr">
        <is>
          <t>Quartz Clear</t>
        </is>
      </c>
      <c r="AW78"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78" t="inlineStr">
        <is>
          <t>Protection, Healing, psychism, Strength, lactation</t>
        </is>
      </c>
      <c r="AY78" t="inlineStr">
        <is>
          <t>Rose</t>
        </is>
      </c>
      <c r="AZ78" t="inlineStr">
        <is>
          <t>Peace, Protection, Luck, PROMOTE LOVE &amp; AFFECTION</t>
        </is>
      </c>
      <c r="BA78" t="inlineStr">
        <is>
          <t>BALANCING, STRENGTHENING, Attracting good spirits</t>
        </is>
      </c>
      <c r="BB78"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C78" t="inlineStr">
        <is>
          <t>Rosemary</t>
        </is>
      </c>
      <c r="BD78" t="inlineStr">
        <is>
          <t>Healing, Love, Protection, Purification</t>
        </is>
      </c>
      <c r="BE78" t="inlineStr">
        <is>
          <t>CLARITY, ENERGY, STRENGTH OF CHARACTER, Confidence</t>
        </is>
      </c>
      <c r="BF78"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BG78" t="inlineStr">
        <is>
          <t>Frankincense</t>
        </is>
      </c>
      <c r="BH78" t="inlineStr">
        <is>
          <t>Luck, Protection, SPIRITUALITY, PROTECT AGAINST NEGATIVITY, EXC, Exorcism</t>
        </is>
      </c>
      <c r="BI78" t="inlineStr">
        <is>
          <t>ENLIGHTENMENT, INSPIRATION, INTROSPECTION, AIDS MEDITATION</t>
        </is>
      </c>
      <c r="BJ78"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L78" t="inlineStr">
        <is>
          <t>ROSEMARY</t>
        </is>
      </c>
      <c r="BM78" s="42" t="inlineStr">
        <is>
          <t>Sea cliff and hot stone, silver needles holding the sun's fire. Burns away what haunts a space, consecrates what is sacred, drives out what has no place. Love and protection woven together in its smoke. Healing deepened, the dead carried gently. Where memory and fire are needed, this grows.</t>
        </is>
      </c>
    </row>
    <row r="79" ht="409.5" customHeight="1" s="56">
      <c r="A79" t="inlineStr">
        <is>
          <t>RUE</t>
        </is>
      </c>
      <c r="B79" t="inlineStr">
        <is>
          <t>HERB OF GRACE</t>
        </is>
      </c>
      <c r="C79" t="inlineStr">
        <is>
          <t>Ruta graveolens</t>
        </is>
      </c>
      <c r="D79"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 Love magick, Love drawing, Love-attracting rituals, Inviting love, Inducing love, Love charms,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Spell-breaking, Reversing harmful spells, Hex breaking, Removing hexes, Removing curses, Removing bad luck, Breaking hexes, Returning hexes, hex-breaking, Removing hexes and curses, Removing a jinx, Luck, Good luck, Good luck in family matters, Fortune, Casino luck, WISHES, Wish magick, Carrying wishes, Transmuting wishes, Success, Victory, victory in battle, Overcoming opposition, Courtroom success, Legal matters, Justice, Attracting a soulmate, Conjuring a lover, HELP ATTRACT OPPOSITE SEX, Finding future love,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Banishing, Banishing negative energies, Banishing smudge, Banishing pesky spirits, Banishing unwanted energies, Casting away evil spirits,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Protection (hexes/evil), Psychic protection, Psychic shielding, Protection from evil, Ju-ju / gris-gris protection, Guarding against sorcery, Guarding against evil, Protection against the evil eye, Warding off hexes, Warding, Warding off evil, Warding off illness, Warding negativity, Bad luck warding, Sickness warding, Warding off evil influences, Dispelling sickness, Removing sickness, Removing mental troubles, Keeping illness away, Keeping sickness away, Curing fevers, Dispelling melancholy, Preventing illness, Protection against disease, Protective charm, Protective charms, Protective sachets, Protective wreaths, Protective incense, PROTECT AGAINST NEGATIVITY, Protection from negativity, Circle protection, Healing, Healing magic, Healing spells, Healing sachets, Healing incenses, Healing mixtures, Healing rituals, Healing incense, Healing vibrations, healing after surgery, Aiding recovery, Aiding the ill, Good health, health,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Talismans, Charm bags, Mojo bags, Sachets</t>
        </is>
      </c>
      <c r="E79" t="inlineStr">
        <is>
          <t>HECATE, DIANA, LEO</t>
        </is>
      </c>
      <c r="F79" t="inlineStr">
        <is>
          <t>SATURN</t>
        </is>
      </c>
      <c r="G79" t="inlineStr">
        <is>
          <t>FIRE</t>
        </is>
      </c>
      <c r="H79" t="inlineStr">
        <is>
          <t>MASCULINE</t>
        </is>
      </c>
      <c r="I79" t="inlineStr">
        <is>
          <t>WEDNESDAY</t>
        </is>
      </c>
      <c r="J79" t="inlineStr">
        <is>
          <t>HECATE, DIANA</t>
        </is>
      </c>
      <c r="K79" t="inlineStr">
        <is>
          <t>SAMHAIN, YULE</t>
        </is>
      </c>
      <c r="L79" t="inlineStr">
        <is>
          <t>Traditionally used as hex breaker. Poisons/werewolves/negative forces rendered powerless.</t>
        </is>
      </c>
      <c r="M79" t="inlineStr">
        <is>
          <t>Peaceful vibrations, Removing jinxes, Conquest, Charm, Attraction, Love, Prosperity, Repelling negativity, Protection from conjure, Protection from evil spirits</t>
        </is>
      </c>
      <c r="N79" t="inlineStr">
        <is>
          <t>Burn dried rue and green candles rubbed with rue oil on a full moon to summon prosperity.</t>
        </is>
      </c>
      <c r="O79" t="inlineStr">
        <is>
          <t>Mix the dried herb in a bowl of spring water and sprinkle around a home to bring peaceful vibrations or remove a jinx. For conquest, charm, attraction, and love, carry the herb in a red cloth bag next to your heart. Burn dried rue and green candles rubbed with rue oil on a full moon to summon prosperity. It is placed at the door of the house, business, or temple to repel negativity, as this plant is a powerful warrior against conjure and evil spirits. Carry a pinch of rue in a cloth bag or place it above the front door to ward off the evil eye. Make a tea of rue and sprinkle it around the home for protection, or bathe in it to break spells. Rue mixed with comfrey root will improve health matters, and rue burned with verbena, mistletoe, and benzoin can take off jinxes. Rue burned with lavender flowers and sandalwood is thought to be a lover's incense.</t>
        </is>
      </c>
      <c r="P79" t="inlineStr">
        <is>
          <t>Patchouli</t>
        </is>
      </c>
      <c r="Q79" t="inlineStr">
        <is>
          <t>Europe, Asia (Roadsides, meadows)</t>
        </is>
      </c>
      <c r="R79" t="inlineStr">
        <is>
          <t>Warning: Can cause severe skin photosensitivity and blistering. Toxic if ingested. Avoid during pregnancy — can cause miscarriage.</t>
        </is>
      </c>
      <c r="AM79" t="inlineStr">
        <is>
          <t>Apache Tears</t>
        </is>
      </c>
      <c r="AN79" t="inlineStr">
        <is>
          <t>It is carried as a good luck charm, is also used f, protective purposes.  Meditation with the stone can increase your sensitivity to magical energy, help develop your power to walk between the w, lds.</t>
        </is>
      </c>
      <c r="AO79" t="inlineStr">
        <is>
          <t>Luck, removal of pain</t>
        </is>
      </c>
      <c r="AP79" t="inlineStr">
        <is>
          <t>Hematite</t>
        </is>
      </c>
      <c r="AQ79" t="inlineStr">
        <is>
          <t>Magical use:      It is a very powerful stone of magical energy that contains within it the combined essences of elemental Earth, Fire. It is often used in magic to release a sudden burst of power, Anti-theft, example at the conclusion of a spell. Breaks through any barriers that may be holding you back such as fear, inhibition, guilt, Increasing wealth, Fairy portals, self-doubt. An excellent stone f, abs, bing, grounding negative energy, it can be used to stop poltergeist activity, psychic disturbances. It augments, balances the flow of energy in the body, is believed to be particularly useful when practising astral travel, out of body projection. It can be used to ground high spiritual, magical energies, Negating dreams, visions into physical reality. Creates a powerful connection with the Earth, is a useful stone f, anyone who is becoming 'spaced out' by meditation, magical w, k.</t>
        </is>
      </c>
      <c r="AR79" t="inlineStr">
        <is>
          <t>Concentration, mem, Clairvoyance, banishing negativity, clarity, Confidence, stress relief, energy, Healing, Divination, grounding, centering, scrying, reliability, legal matters.</t>
        </is>
      </c>
      <c r="AS79" t="inlineStr">
        <is>
          <t>Obsidian</t>
        </is>
      </c>
      <c r="AT79" t="inlineStr">
        <is>
          <t>It is used to help gain underst, ing of the Web of Wyrd, the w, kings of destiny in your life. The stone is said to lend great strength to those who are weak, protect the gentle from abuse. All f, ms of Obsidian are excellent stones f, drawing Earth energy, helping to ground yourself, are especially helpful to people who live in a city, have to endure an unpleasant atmosphere as the stone can help shield ou from unhealthy energetic noise. They are very protective, help to reflect negative energy, curses back to the sender, provide psychic protection during times of stress, magical attack.</t>
        </is>
      </c>
      <c r="AU79" t="inlineStr">
        <is>
          <t>Grounding, centering, Divination, increasing spirituality, Healing, Cleansing, clarity, Luck, manifestation, transf, mation, inner growth.</t>
        </is>
      </c>
      <c r="AV79" t="inlineStr">
        <is>
          <t>Onyx</t>
        </is>
      </c>
      <c r="AW79" t="inlineStr">
        <is>
          <t>Onyx has long been associated with magic, Anti-theft, occult purposes it is most commonly the black variety that is used. Some say that Onyx is a stone of ‘black magic’. It is certainly in tune with the darker, Amulets/talismans, e mysterious side of magic, cery, necromancy but to label it as ‘evil’ is a serious misunderst, ing of the stone’s energy. Onyx protects its bearer from misf, Fortune, Healing, prevents illusions, nightmares caused by evil spirits. It is a stone of powerful protection, strength. It is reputed to bring unexpected good luck to its bearer, to protect them from the plots, ill wishes of their enemies. A piece of Onyx, especially a sphere, can be kept on your altar to protect you from unruly energies, warn of any impending danger. The stone is helpful when trying to contact the spirits of ancest, the Mighty Dead, helps recall mem, ies of past lives. Onyx softens the barriers between w, lds, shamanic w, k with this stone can help summon friendly spirits who will guide a dying soul on their journey. An excellent stone f, increasing knowledge, helping you to focus on your studies which also helps you to gain deeper insights when casting bones, stones f, divination.</t>
        </is>
      </c>
      <c r="AX79" t="inlineStr">
        <is>
          <t>Balancing, Protection, faith, grounding spiritual energy to the physical plane, stability, scrying, relaxation.</t>
        </is>
      </c>
      <c r="AY79" t="inlineStr">
        <is>
          <t>Patchouli</t>
        </is>
      </c>
      <c r="AZ79" t="inlineStr">
        <is>
          <t>Fertility, Love, Prosperity, RAISE SEXUAL ENERGY</t>
        </is>
      </c>
      <c r="BA79" t="inlineStr">
        <is>
          <t>ASTUTENESS, REASONABLENESS, STIMULATION, Aphrodisiac</t>
        </is>
      </c>
      <c r="BB79"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BC79" t="inlineStr">
        <is>
          <t>Cedarwood</t>
        </is>
      </c>
      <c r="BD79" t="inlineStr">
        <is>
          <t>Purification, Protection, RID OF BAD DREAMS, Prosperity</t>
        </is>
      </c>
      <c r="BE79" t="inlineStr">
        <is>
          <t>New beginnings, REGROWTH, CALMING &amp; COMF, Attracting good spirits, STRENGTHENING</t>
        </is>
      </c>
      <c r="BF79"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79" t="inlineStr">
        <is>
          <t>Clove Bud</t>
        </is>
      </c>
      <c r="BH79" t="inlineStr">
        <is>
          <t>Love, Prosperity, Protection, HELP ATTRACT OPPOSITE SEX, Purification</t>
        </is>
      </c>
      <c r="BI79" t="inlineStr">
        <is>
          <t>INNER WARMTH, INSPIRATION, REGENERATION, MENTAL POWERS</t>
        </is>
      </c>
      <c r="BJ79"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K79" t="inlineStr">
        <is>
          <t>LEO</t>
        </is>
      </c>
      <c r="BL79" t="inlineStr">
        <is>
          <t>RUE</t>
        </is>
      </c>
      <c r="BM79" s="42" t="inlineStr">
        <is>
          <t>Fierce blue-green fire, the herb that does not negotiate. Jinxes removed, negativity repelled, conquest made possible. Love and prosperity held under its protection. Where something harmful has taken hold and needs removing without mercy, this is what is reached for.</t>
        </is>
      </c>
    </row>
    <row r="80" ht="409.5" customHeight="1" s="56">
      <c r="A80" t="inlineStr">
        <is>
          <t>SAGE</t>
        </is>
      </c>
      <c r="B80" t="inlineStr">
        <is>
          <t>SAWGE</t>
        </is>
      </c>
      <c r="C80" t="inlineStr">
        <is>
          <t>Salvia officinalis</t>
        </is>
      </c>
      <c r="D80" t="inlineStr">
        <is>
          <t>Cleansing, Consecration, Psychic protection, Purification, Healing, Longevity, Money, Passion, Wisdom, Prosperity, Love, Psychic development, Clairvoyance, Meditation, Peace, Tranquillity, Knowledge, Divination, Domestic harmony, Energy, Happiness, Inspiration, Keeping secrets, Mabon rituals, Samhain rituals, Weddings, Hand-fastings,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Protection (hexes/evil),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Healing magic, Healing spells, Healing sachets, Healing incenses, Healing mixtures, Healing rituals, Healing incense, Healing vibrations, healing after surgery, Aiding recovery, Aiding the ill, Improving health, Speeding recovery, Good health, health, Long life, Immortality, Eternal youth, Rejuvenation, Vigorous old age, Lengthening lifespan, Life,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Desire, Intelligence, Intuition, Mental clarity, Sharpening the wits, Sharpening the brain, Mental powers,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Peace of mind,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Sun God offerings, Solar spells, Enhancing clairvoyance,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Joy, Joyous celebrations, Contentment, Contacting planes,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death rites, Death and rebirth rites, Necromancy, Peaceful transition for the dead, ancestors, Crone magic, Seeing past lives, Reincarnation, Reincarnation knowledge, Past lives, Mabon/Samhain, Samhain, Sacred union rites</t>
        </is>
      </c>
      <c r="E80" t="inlineStr">
        <is>
          <t>Zeus, Jupiter</t>
        </is>
      </c>
      <c r="F80" t="inlineStr">
        <is>
          <t>MERCURY, JUPITER</t>
        </is>
      </c>
      <c r="G80" t="inlineStr">
        <is>
          <t>EARTH</t>
        </is>
      </c>
      <c r="H80" t="inlineStr">
        <is>
          <t>FEMININE</t>
        </is>
      </c>
      <c r="I80" t="inlineStr">
        <is>
          <t>Wednesday</t>
        </is>
      </c>
      <c r="J80" t="inlineStr">
        <is>
          <t>ZEUS</t>
        </is>
      </c>
      <c r="K80" t="inlineStr">
        <is>
          <t>MABON, SAMHAIN</t>
        </is>
      </c>
      <c r="L80" t="inlineStr">
        <is>
          <t>Brought to New World by colonists.</t>
        </is>
      </c>
      <c r="M80" t="inlineStr">
        <is>
          <t>It is used frequently as a smudge for cleansing, consecration, psychic protection, and purification. Used in healing, longevity, money, passion, wisdom, prosperity, and love spells. The smoke is known to aid psychic development, clairvoyance, meditation, peace, tranquillity, knowledge, and divination, as well as domestic harmony, energy, happiness,</t>
        </is>
      </c>
      <c r="N80" t="inlineStr">
        <is>
          <t>in rituals and at weddings and handfastings.</t>
        </is>
      </c>
      <c r="O80" t="inlineStr">
        <is>
          <t>It is used frequently as a smudge for cleansing, consecration, psychic protection, and purification. Used in healing, longevity, money, passion, wisdom, prosperity, and love spells. The smoke is known to aid psychic development, clairvoyance, meditation, peace, tranquillity, knowledge, and divination, as well as domestic harmony, energy, happiness, inspiration, and keeping secrets. It is also used as a blessing in Mabon and Samhain rituals and at weddings and handfastings.</t>
        </is>
      </c>
      <c r="P80" t="inlineStr">
        <is>
          <t>Lavender</t>
        </is>
      </c>
      <c r="Q80" t="inlineStr">
        <is>
          <t>Mediterranean (Sunny, rocky areas)</t>
        </is>
      </c>
      <c r="R80" t="inlineStr">
        <is>
          <t>Generally safe in culinary amounts. Avoid large doses during pregnancy. Do not use long-term in high quantities.</t>
        </is>
      </c>
      <c r="AM80" t="inlineStr">
        <is>
          <t>agate Moss</t>
        </is>
      </c>
      <c r="AN80" t="inlineStr">
        <is>
          <t>This stone has an excellent quality that helps you to c, rect imbalances between the left, right sides of the brain, it may stimulate your spiritual grounding capabilities. This aids you to move f, ward with your life using a m, e united, balanced thought process.
The vibration it embodies can help you to carry f, ward your intentions... as it will enhance the energy that you put into particular circumstances.</t>
        </is>
      </c>
      <c r="AO80" t="inlineStr">
        <is>
          <t>Peace, patience, Happiness, warmth, gentleness, domestic harmony, tenderness</t>
        </is>
      </c>
      <c r="AY80" t="inlineStr">
        <is>
          <t>Lavender</t>
        </is>
      </c>
      <c r="AZ80" t="inlineStr">
        <is>
          <t>MEM, Clairvoyance, PEACE &amp; HAPPINESS, Purification, Happiness</t>
        </is>
      </c>
      <c r="BA80" t="inlineStr">
        <is>
          <t>REST, ATIVE, Peace, BALANCING, STIMULATING</t>
        </is>
      </c>
      <c r="BB80"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C80" t="inlineStr">
        <is>
          <t>Clove Bud</t>
        </is>
      </c>
      <c r="BD80" t="inlineStr">
        <is>
          <t>Love, Prosperity, Protection, HELP ATTRACT OPPOSITE SEX, Purification</t>
        </is>
      </c>
      <c r="BE80" t="inlineStr">
        <is>
          <t>INNER WARMTH, INSPIRATION, REGENERATION, MENTAL POWERS</t>
        </is>
      </c>
      <c r="BF80"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BG80" t="inlineStr">
        <is>
          <t>Honeysuckle</t>
        </is>
      </c>
      <c r="BH80" t="inlineStr">
        <is>
          <t>INCREASE PSYCHIC ABILITIES, INCREASE MONEY, Protection</t>
        </is>
      </c>
      <c r="BI80" t="inlineStr">
        <is>
          <t>RELAXING, SOOTHING, UPLIFTING, PSYCHIC POWERS</t>
        </is>
      </c>
      <c r="BJ80" t="inlineStr">
        <is>
          <t>In the language of the fae, honeysuckle is known as the 'honey of the woods.' It is said that if you place a blossom under your pillow, you will dream of the location of hidden treasures—not just of gold, but of lost loves and forgotten truths.</t>
        </is>
      </c>
      <c r="BL80" t="inlineStr">
        <is>
          <t>SAGE</t>
        </is>
      </c>
      <c r="BM80" s="42" t="inlineStr">
        <is>
          <t>Earth wisdom compressed into grey-green leaves. The oldest smoke — clears what clings, consecrates what is sacred, guards the psychic field. Longevity and healing carried in its grey breath. Prosperity drawn quietly in. The altar trusts it at every threshold and ceremony.</t>
        </is>
      </c>
    </row>
    <row r="81" ht="409.5" customHeight="1" s="56">
      <c r="A81" t="inlineStr">
        <is>
          <t>SANDALWOOD RED</t>
        </is>
      </c>
      <c r="B81" t="inlineStr">
        <is>
          <t>SATAL</t>
        </is>
      </c>
      <c r="C81" t="inlineStr">
        <is>
          <t>Pterocarpus santalinus</t>
        </is>
      </c>
      <c r="D81" t="inlineStr">
        <is>
          <t>Protection, Healing, Exorcism, Conjuring spirits, Spiritual vibrations, Full Moon rituals, Clearing negativity, Protection (beads), Spiritual awareness, Spirituality, Wishes, Warding negativity, Astral projection, Reincarnation, Spirit offering, Clairvoyance, Seeing past lives, Calming the mind, Protective charm, Protective charms, Protective sachets, Protective wreaths, Protective incense, PROTECT AGAINST NEGATIVITY, Protection from negativity, Circle protection, Healing magic, Healing spells, Healing sachets, Healing incenses, Healing mixtures, Healing rituals, Healing incense, Healing vibrations, healing after surgery, Aiding recovery, Aiding the ill, Improving health, Speeding recovery, Good health, health, Banishing, Banishing negative energies, Banishing smudge, Banishing pesky spirits, Banishing unwanted energies, Casting away evil spirits, Repelling negativity, Driving away negativity, Removing negative spirits, Removing residual energies, Removing negative energy,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travel, Out-of-body protection, High spiritual vibrations, Spirit offerings, Ritual offerings, Offerings to Sun Gods, Offerings to forest spirits, Offerings to gods, Inviting spirits, Offertory incense, Attracting good spirits, Calling good spirits, Calling spirits, Summoning spirits, Conjuring beneficial spirits, Otherworld travel, Shamanic work, shamanic journeying, Nether-realm travel, Walking between worlds, Harmony, Domestic harmony, Peace of mind, Tranquillity, PEACE &amp; HAPPINESS, Calming, Soothing, Calm, Calmness, Relaxation, Calming energies,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Bad luck warding, Sickness warding, Warding off evil influences, Warding off sickness, Dispelling sickness, Removing sickness, Removing mental troubles, Keeping illness away, Keeping sickness away, Curing fevers, Dispelling melancholy, Preventing illness, Protection against disease, Contacting planes,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Reincarnation knowledge, Past lives, Mabon/Samhain, Mabon rituals, Samhain, Enhancing clairvoyance, Psychic development, Psychic powers, INCREASE PSYCHIC ABILITIES, Psychic awareness, Stimulating psychic senses, Disabling psychic phenomena, Psychic communication, communication and psychic abilities</t>
        </is>
      </c>
      <c r="E81" t="inlineStr">
        <is>
          <t>Luna, Isis</t>
        </is>
      </c>
      <c r="F81" t="inlineStr">
        <is>
          <t>Moon</t>
        </is>
      </c>
      <c r="G81" t="inlineStr">
        <is>
          <t>Water</t>
        </is>
      </c>
      <c r="H81" t="inlineStr">
        <is>
          <t>Feminine</t>
        </is>
      </c>
      <c r="I81" t="inlineStr">
        <is>
          <t>Monday</t>
        </is>
      </c>
      <c r="J81" t="inlineStr">
        <is>
          <t>LUNA, ISIS</t>
        </is>
      </c>
      <c r="K81" t="inlineStr">
        <is>
          <t>IMBOLC, SAMHAIN</t>
        </is>
      </c>
      <c r="L81" t="inlineStr">
        <is>
          <t>None provided.</t>
        </is>
      </c>
      <c r="M81" t="inlineStr">
        <is>
          <t>Sandalwood powder is burned during protection, healing, and exorcism spells. Sandalwood is used as an incense base for protection, healing, exorcism, spirituality, wishes, full moon esbats, warding negativity, astral projection, reincarnation, and spirit offerings.</t>
        </is>
      </c>
      <c r="N81" t="inlineStr">
        <is>
          <t>burned during protection, healing, and exorcism spells.</t>
        </is>
      </c>
      <c r="O81" t="inlineStr">
        <is>
          <t>Lower grades of sandalwood (light coloured with little scent) are not recommended for use in magic. Sandalwood powder is burned during protection, healing, and exorcism spells. When mixed with lavender it makes incense designed to conjure spirits. This fragrant wood possesses very high spiritual vibrations and is mixed with frankincense and burned at séances and full moon rituals. Powdered sandalwood can be scattered about a place to clear it of negativity. Sandalwood beads are protective and promote spiritual awareness when worn. The scents of frankincense and sandalwood have some of the highest vibrations inherent in any plant. Sandalwood is used as an incense base for protection, healing, exorcism, spirituality, wishes, full moon esbats, warding negativity, astral projection, reincarnation, and spirit offerings. It stimulates clairvoyance, aids in seeing past lives, healing, clearing, and calming the mind.</t>
        </is>
      </c>
      <c r="P81" t="inlineStr">
        <is>
          <t>Sandalwood w.i.</t>
        </is>
      </c>
      <c r="Q81" t="inlineStr">
        <is>
          <t>South America (Tropical rainforests)</t>
        </is>
      </c>
      <c r="R81" t="inlineStr">
        <is>
          <t>Generally safe for external ritual use. The essential oil should not be ingested.</t>
        </is>
      </c>
      <c r="AM81" t="inlineStr">
        <is>
          <t>Aquamarine</t>
        </is>
      </c>
      <c r="AN81"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81" t="inlineStr">
        <is>
          <t>Psychism, Peace, Confidence, Purification</t>
        </is>
      </c>
      <c r="AP81" t="inlineStr">
        <is>
          <t>Calcite</t>
        </is>
      </c>
      <c r="AQ81"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81" t="inlineStr">
        <is>
          <t>Luck, Prosperity, problem resolution, gambling, Healing, creativity, business success, attracting love.</t>
        </is>
      </c>
      <c r="AS81" t="inlineStr">
        <is>
          <t>Quartz Clear</t>
        </is>
      </c>
      <c r="AT81"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81" t="inlineStr">
        <is>
          <t>Protection, Healing, psychism, Strength, lactation</t>
        </is>
      </c>
      <c r="AV81" t="inlineStr">
        <is>
          <t>Moonstone</t>
        </is>
      </c>
      <c r="AW81"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81"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81" t="inlineStr">
        <is>
          <t>Sandalwood w.i.</t>
        </is>
      </c>
      <c r="AZ81" t="inlineStr">
        <is>
          <t>Protection, EXC, SISM</t>
        </is>
      </c>
      <c r="BA81" t="inlineStr">
        <is>
          <t>SPIRITUALITY, HARMONISING</t>
        </is>
      </c>
      <c r="BB81"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BC81" t="inlineStr">
        <is>
          <t>Melissa</t>
        </is>
      </c>
      <c r="BD81" t="inlineStr">
        <is>
          <t>Love, Healing, Prosperity</t>
        </is>
      </c>
      <c r="BE81" t="inlineStr">
        <is>
          <t>GENTLENESS, Peace, PROGRESSIVENESS</t>
        </is>
      </c>
      <c r="BF81" t="inlineStr">
        <is>
          <t>Called the 'Bee’s Delight,' it is said that if you hold a leaf of Melissa in your hand, bees will not sting you. The plant was gifted to humans by the bees themselves, who wanted to share the secret of their own contentment and the sweet hum of life.</t>
        </is>
      </c>
      <c r="BG81" t="inlineStr">
        <is>
          <t>Honeysuckle</t>
        </is>
      </c>
      <c r="BH81" t="inlineStr">
        <is>
          <t>INCREASE PSYCHIC ABILITIES, INCREASE MONEY, Protection</t>
        </is>
      </c>
      <c r="BI81" t="inlineStr">
        <is>
          <t>RELAXING, SOOTHING, UPLIFTING, PSYCHIC POWERS</t>
        </is>
      </c>
      <c r="BJ81" t="inlineStr">
        <is>
          <t>In the language of the fae, honeysuckle is known as the 'honey of the woods.' It is said that if you place a blossom under your pillow, you will dream of the location of hidden treasures—not just of gold, but of lost loves and forgotten truths.</t>
        </is>
      </c>
      <c r="BL81" t="inlineStr">
        <is>
          <t>SANDALWOOD RED</t>
        </is>
      </c>
      <c r="BM81" s="42" t="inlineStr">
        <is>
          <t>Water and the deep calling of the spirit world. Protection and healing strengthened. Exorcism given depth. Full Moon energy amplified, negativity cleared. Spirits called to attend in its rising smoke. The sacred wood that opens the ritual space and holds it open.</t>
        </is>
      </c>
    </row>
    <row r="82" ht="409.5" customHeight="1" s="56">
      <c r="A82" t="inlineStr">
        <is>
          <t>SANDALWOOD WHITE</t>
        </is>
      </c>
      <c r="B82" t="inlineStr">
        <is>
          <t>WHITE SANDALWOOD</t>
        </is>
      </c>
      <c r="C82" t="inlineStr">
        <is>
          <t>Santalum album</t>
        </is>
      </c>
      <c r="D82" t="inlineStr">
        <is>
          <t>Clairvoyance, Divination, Good luck, Meditation, Protection, Success, High spiritual vibrations, Conjuring spirits, Exorcising demons, Exorcising evil ghosts, Clearing negativity, Healing, Conjuring beneficial spirits, Spiritual awareness, Astral projection, Wish magick, Reincarnation, Spirit offering, Consecrating altar cloths,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Spell-breaking, Reversing harmful spells, Breaking spells, Hex breaking, Removing hexes, Removing curses, Removing jinxes, Removing bad luck, Breaking hexes, Returning hexes, hex-breaking, Removing hexes and curses, Removing a jinx, Luck, Good luck in family matters, Fortune, Casino luck, WISHES,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travel, Out-of-body protection, SPIRITUALITY, Spiritual vibrations, Spirit offerings, Ritual offerings, Offerings to Sun Gods, Offerings to forest spirits, Offerings to gods, Inviting spirits, Offertory incense, Attracting good spirits, Calling good spirits, Calling spirits, Summoning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Protective charm, Protective charms, Protective sachets, Protective wreaths, Protective incense, PROTECT AGAINST NEGATIVITY, Protection from negativity, Circle protection, Victory, victory in battle, Conquest, Overcoming opposition, Courtroom success, Legal matters, Justice, Banishing, Banishing negative energies, Banishing smudge, Banishing pesky spirits, Banishing unwanted energies, Casting away evil spirits, Repelling negativity, Driving away negativity, Removing negative spirits, Removing residual energies, Removing negative energy, Removing negativity, Keeping away negative forces, Exorcism, Exorcisms, Exorcism herb scattering,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Contacting planes,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knowledge, Past lives, Mabon/Samhain, Mabon rituals, Samhain, Purification, Purifying ritual areas, Purifying  Purifying new homes, Purifying new homes, Purifying the home, Self-purification, Purifying ritual spaces, Purification rituals, Sanctifying an area, Dedicating sacred spaces, Creating sacred spaces, Consecration, Blessing objects, Anointing, Anointing tools, Anointing candles, Anointing altars, Anointing the body, Anointing amulets, Anointing talismans, Anointing baths, Anointing charm bags, Anointing mojo bags, Consecrating incense burners, Amulets/talismans, Amulets, Talismans, Charm bags, Mojo bags, Sachets</t>
        </is>
      </c>
      <c r="E82" t="inlineStr">
        <is>
          <t>Isis, Luna</t>
        </is>
      </c>
      <c r="F82" t="inlineStr">
        <is>
          <t>MOON</t>
        </is>
      </c>
      <c r="G82" t="inlineStr">
        <is>
          <t>WATER</t>
        </is>
      </c>
      <c r="H82" t="inlineStr">
        <is>
          <t>FEMININE</t>
        </is>
      </c>
      <c r="I82" t="inlineStr">
        <is>
          <t>Monday</t>
        </is>
      </c>
      <c r="J82" t="inlineStr">
        <is>
          <t>ISIS, LUNA</t>
        </is>
      </c>
      <c r="K82" t="inlineStr">
        <is>
          <t>IMBOLC, SAMHAIN</t>
        </is>
      </c>
      <c r="L82" t="inlineStr">
        <is>
          <t>Funeral herb in the Orient. Recorded in Ayurvedic medicine.</t>
        </is>
      </c>
      <c r="M82" t="inlineStr">
        <is>
          <t>clairvoyance, divination, good luck, meditation, protection, and success workings and spells.</t>
        </is>
      </c>
      <c r="N82" t="inlineStr">
        <is>
          <t>incense and burned at full moon esbats and séances.</t>
        </is>
      </c>
      <c r="O82" t="inlineStr">
        <is>
          <t>Use for clairvoyance, divination, good luck, meditation, protection, and success workings and spells. It possesses high spiritual vibrations, especially when mixed with frankincense and burned at full moon esbats and séances. Mix with lavender to make incense designed to conjure spirits. Burned to exorcise demons and evil ghosts, to clear space of negativity, and for protection, healing, conjuring beneficial spirits, and promoting spiritual awareness. Sandalwood incense is also used by many witches for protection, astral projection, healing rituals, and wish magic. Sandalwood beads are protective and promote spiritual awareness when worn. Sandalwood is recommended for use when consecrating altar cloths.</t>
        </is>
      </c>
      <c r="P82" t="inlineStr">
        <is>
          <t>Sandalwood In.</t>
        </is>
      </c>
      <c r="Q82" t="inlineStr">
        <is>
          <t>Europe, Asia (Damp grasslands)</t>
        </is>
      </c>
      <c r="R82" t="inlineStr">
        <is>
          <t>Generally safe for external and ritual use. The essential oil should not be ingested.</t>
        </is>
      </c>
      <c r="AM82" t="inlineStr">
        <is>
          <t>Aquamarine</t>
        </is>
      </c>
      <c r="AN82"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82" t="inlineStr">
        <is>
          <t>Psychism, Peace, Confidence, Purification</t>
        </is>
      </c>
      <c r="AP82" t="inlineStr">
        <is>
          <t>Calcite</t>
        </is>
      </c>
      <c r="AQ82"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82" t="inlineStr">
        <is>
          <t>Luck, Prosperity, problem resolution, gambling, Healing, creativity, business success, attracting love.</t>
        </is>
      </c>
      <c r="AS82" t="inlineStr">
        <is>
          <t>Quartz Clear</t>
        </is>
      </c>
      <c r="AT82"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82" t="inlineStr">
        <is>
          <t>Protection, Healing, psychism, Strength, lactation</t>
        </is>
      </c>
      <c r="AV82" t="inlineStr">
        <is>
          <t>Moonstone</t>
        </is>
      </c>
      <c r="AW82"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82"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82" t="inlineStr">
        <is>
          <t>Sandalwood In.</t>
        </is>
      </c>
      <c r="AZ82" t="inlineStr">
        <is>
          <t>WISHES, PSYCHIC POWERS</t>
        </is>
      </c>
      <c r="BA82" t="inlineStr">
        <is>
          <t>Peace, Aphrodisiac</t>
        </is>
      </c>
      <c r="BB82" t="inlineStr">
        <is>
          <t>It is said that Sandalwood is the wood that dreams are made of. In the temples, the monks believed that if you meditated with the scent, you could walk in your sleep through the history of your ancestors, learning the secrets they left behind in the earth.</t>
        </is>
      </c>
      <c r="BC82" t="inlineStr">
        <is>
          <t>Melissa</t>
        </is>
      </c>
      <c r="BD82" t="inlineStr">
        <is>
          <t>Love, Healing, Prosperity</t>
        </is>
      </c>
      <c r="BE82" t="inlineStr">
        <is>
          <t>GENTLENESS, Peace, PROGRESSIVENESS</t>
        </is>
      </c>
      <c r="BF82" t="inlineStr">
        <is>
          <t>Called the 'Bee’s Delight,' it is said that if you hold a leaf of Melissa in your hand, bees will not sting you. The plant was gifted to humans by the bees themselves, who wanted to share the secret of their own contentment and the sweet hum of life.</t>
        </is>
      </c>
      <c r="BG82" t="inlineStr">
        <is>
          <t>Honeysuckle</t>
        </is>
      </c>
      <c r="BH82" t="inlineStr">
        <is>
          <t>INCREASE PSYCHIC ABILITIES, INCREASE MONEY, Protection</t>
        </is>
      </c>
      <c r="BI82" t="inlineStr">
        <is>
          <t>RELAXING, SOOTHING, UPLIFTING, PSYCHIC POWERS</t>
        </is>
      </c>
      <c r="BJ82" t="inlineStr">
        <is>
          <t>In the language of the fae, honeysuckle is known as the 'honey of the woods.' It is said that if you place a blossom under your pillow, you will dream of the location of hidden treasures—not just of gold, but of lost loves and forgotten truths.</t>
        </is>
      </c>
      <c r="BL82" t="inlineStr">
        <is>
          <t>SANDALWOOD WHITE</t>
        </is>
      </c>
      <c r="BM82" s="42" t="inlineStr">
        <is>
          <t>High spiritual vibration made tangible, the white smoke that carries intention upward. Clairvoyance and divination both sharpened. Meditation deepened, protection held. Good luck and success drawn in on its clean scent. The wood for full moon esbats and the seeking of what is hidden.</t>
        </is>
      </c>
    </row>
    <row r="83" ht="409.5" customHeight="1" s="56">
      <c r="A83" t="inlineStr">
        <is>
          <t>SEA SALT</t>
        </is>
      </c>
      <c r="B83" t="inlineStr">
        <is>
          <t>BRINY</t>
        </is>
      </c>
      <c r="C83" t="inlineStr">
        <is>
          <t>Sodium chloride</t>
        </is>
      </c>
      <c r="D83" t="inlineStr">
        <is>
          <t>Purification, Smudging, Asperging, Representing Earth, Protection from psychic attack, Disabling psychic phenomena, Transmuting wishes, Fire-casting spells, Water-casting spells, Carrying wishes, Removing burdens, Clearing aura attachments,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Clairvoyance, Enhancing clairvoyance, Psychic development, Psychic powers, INCREASE PSYCHIC ABILITIES, Psychic awareness, Stimulating psychic senses, Psychic communication, communication and psychic abilities, Spell-breaking, Reversing harmful spells, Breaking spells, Hex breaking, Removing hexes, Removing curses, Removing jinxes, Removing bad luck, Breaking hexes, Returning hexes, hex-breaking, Removing hexes and curses, Removing a jinx, Luck, Good luck, Good luck in family matters, Fortune, Casino luck, WISHES, Wish magick,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Cleansing atmospheres, Cleansing objects, Cleansing body and spirit, Sweeping sacred spaces, Cleansing ritual areas, Cleansing negativity, Ritual baths, Ritual bath, Cleansing before ritual, Purifying body and mind</t>
        </is>
      </c>
      <c r="E83" t="inlineStr">
        <is>
          <t>Aphrodite</t>
        </is>
      </c>
      <c r="F83" t="inlineStr">
        <is>
          <t>Moon</t>
        </is>
      </c>
      <c r="G83" t="inlineStr">
        <is>
          <t>Water/Earth</t>
        </is>
      </c>
      <c r="H83" t="inlineStr">
        <is>
          <t>Feminine</t>
        </is>
      </c>
      <c r="I83" t="inlineStr">
        <is>
          <t>Not specified</t>
        </is>
      </c>
      <c r="J83" t="inlineStr">
        <is>
          <t>APHRODITE</t>
        </is>
      </c>
      <c r="K83" t="inlineStr">
        <is>
          <t>IMBOLC, SAMHAIN</t>
        </is>
      </c>
      <c r="L83" t="inlineStr">
        <is>
          <t>Romans paid soldiers with salt.</t>
        </is>
      </c>
      <c r="M83" t="inlineStr">
        <is>
          <t>Salt has always been used as protection against psychic attacks and to disable unwanted psychic phenomena. As salt absorbs psychic energy, it can be used to transfer or transmute a wish or spell to the higher powers by first making the spell, then throwing the salt into the fire where it burns up and releases the psychic charge into the higher dime</t>
        </is>
      </c>
      <c r="N83" t="inlineStr">
        <is>
          <t>altar to represent the element of earth.</t>
        </is>
      </c>
      <c r="O83" t="inlineStr">
        <is>
          <t>Sea salt is used in purification spells. It can be incorporated into smudging and asperging, and it is used on the altar to represent the element of earth. Salt has always been used as protection against psychic attacks and to disable unwanted psychic phenomena. As salt absorbs psychic energy, it can be used to transfer or transmute a wish or spell to the higher powers by first making the spell, then throwing the salt into the fire where it burns up and releases the psychic charge into the higher dimensions. The most basic form of this spell is to hold a little salt in the hand, make a wish, and then throw the salt into the fire. In the same vein, salt can be thrown into water — a well, a river, or the sea — to carry wishes, take away burdens, or clear attachments from the aura. It is an immensely flexible system with a hundred and one uses.</t>
        </is>
      </c>
      <c r="P83" t="inlineStr">
        <is>
          <t>Melissa</t>
        </is>
      </c>
      <c r="Q83" t="inlineStr">
        <is>
          <t>Europe, Asia (Waste ground, meadows)</t>
        </is>
      </c>
      <c r="R83" t="inlineStr">
        <is>
          <t>Generally safe for ritual use. Not suitable for those on sodium-restricted diets if ingested.</t>
        </is>
      </c>
      <c r="AM83" t="inlineStr">
        <is>
          <t>Aquamarine</t>
        </is>
      </c>
      <c r="AN83"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83" t="inlineStr">
        <is>
          <t>Psychism, Peace, Confidence, Purification</t>
        </is>
      </c>
      <c r="AP83" t="inlineStr">
        <is>
          <t>Calcite</t>
        </is>
      </c>
      <c r="AQ83"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83" t="inlineStr">
        <is>
          <t>Luck, Prosperity, problem resolution, gambling, Healing, creativity, business success, attracting love.</t>
        </is>
      </c>
      <c r="AS83" t="inlineStr">
        <is>
          <t>Howlite</t>
        </is>
      </c>
      <c r="AT83" t="inlineStr">
        <is>
          <t>Focusing on a piece of Howlite can assist in journeying outside the body, gaining insight from past lives. Placed on the third eye, it opens mem, ies of previous times, lifetimes.                                                                                                                                                                                                                                                                                                                                                                                      Howlite is best known f, it’s strong associations with self-awareness, creativity, improving one’s emotional well being, attitudes. It enhances character building, a sense of decency, encourages the development of desirable personal aspect.  In general, Howlite aids in dispelling anger, resentfulness, selfishness, allows one to look inside the f, answers. It also aids in communicating the negative emotions with a clearer emotional expression, which will always result in calmer ‘confrontations’.</t>
        </is>
      </c>
      <c r="AU83" t="inlineStr">
        <is>
          <t>Stress relief, anxiety, Peace, tension, artistic expression, creativity, eliminating selfishness, purity, spirituality  Patience, Peace &amp; Insomnia.</t>
        </is>
      </c>
      <c r="AV83" t="inlineStr">
        <is>
          <t>Moonstone</t>
        </is>
      </c>
      <c r="AW83"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83"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83" t="inlineStr">
        <is>
          <t>Melissa</t>
        </is>
      </c>
      <c r="AZ83" t="inlineStr">
        <is>
          <t>Love, Healing, Prosperity</t>
        </is>
      </c>
      <c r="BA83" t="inlineStr">
        <is>
          <t>GENTLENESS, Peace, PROGRESSIVENESS</t>
        </is>
      </c>
      <c r="BB83" t="inlineStr">
        <is>
          <t>Called the 'Bee’s Delight,' it is said that if you hold a leaf of Melissa in your hand, bees will not sting you. The plant was gifted to humans by the bees themselves, who wanted to share the secret of their own contentment and the sweet hum of life.</t>
        </is>
      </c>
      <c r="BC83" t="inlineStr">
        <is>
          <t>Geranium</t>
        </is>
      </c>
      <c r="BD83" t="inlineStr">
        <is>
          <t>Love, Fertility, Healing, Protection</t>
        </is>
      </c>
      <c r="BE83" t="inlineStr">
        <is>
          <t>ASSURANCE, Harmony, Peace, ANTI-DEPRESSANT</t>
        </is>
      </c>
      <c r="BF83"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G83" t="inlineStr">
        <is>
          <t>Lavender</t>
        </is>
      </c>
      <c r="BH83" t="inlineStr">
        <is>
          <t>MEM, Clairvoyance, PEACE &amp; HAPPINESS, Purification, Happiness</t>
        </is>
      </c>
      <c r="BI83" t="inlineStr">
        <is>
          <t>REST, ATIVE, Peace, BALANCING, STIMULATING</t>
        </is>
      </c>
      <c r="BJ83"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BL83" t="inlineStr">
        <is>
          <t>SEA SALT</t>
        </is>
      </c>
      <c r="BM83" s="42" t="inlineStr">
        <is>
          <t>Earth and water, the ancient purifier that has no modern replacement. Psychic attack finds no foothold. Unwanted phenomena held at bay. The element of earth represented on the altar. The most fundamental boundary — simple, absolute, enduring.</t>
        </is>
      </c>
    </row>
    <row r="84" ht="409.5" customHeight="1" s="56">
      <c r="A84" t="inlineStr">
        <is>
          <t>ST JOHN'S WORT</t>
        </is>
      </c>
      <c r="B84" t="inlineStr">
        <is>
          <t>GOAT WEED</t>
        </is>
      </c>
      <c r="C84" t="inlineStr">
        <is>
          <t>Hypericum perforatum</t>
        </is>
      </c>
      <c r="D84" t="inlineStr">
        <is>
          <t>Protection, divination, happiness, love, health, and strength. Hang above the door on Midsummer to protect the household through the dark half of the year. Burn to banish spirits and negative energies. Carry to detect magical attacks and protect against them. One of the most powerful protective herbs in the European tradition., Protective charm, Protective charms, Protective sachets, Protective wreaths, Protective incense, PROTECT AGAINST NEGATIVITY, Protection from negativity, Circle protection, Healing, Healing magic, Healing spells, Healing sachets, Healing incenses, Healing mixtures, Healing rituals, Healing incense, Healing vibrations, healing after surgery, Aiding recovery, Aiding the ill, Improving health, Speeding recovery, Good health</t>
        </is>
      </c>
      <c r="E84" t="inlineStr">
        <is>
          <t>LUGH, LE,O LITHA</t>
        </is>
      </c>
      <c r="F84" t="inlineStr">
        <is>
          <t>SUN</t>
        </is>
      </c>
      <c r="G84" t="inlineStr">
        <is>
          <t>FIRE</t>
        </is>
      </c>
      <c r="H84" t="inlineStr">
        <is>
          <t>MASCULINE</t>
        </is>
      </c>
      <c r="I84" t="inlineStr">
        <is>
          <t>Sunday</t>
        </is>
      </c>
      <c r="J84" t="inlineStr">
        <is>
          <t>CYBELE, SELENE, MARY MAGDALENE</t>
        </is>
      </c>
      <c r="K84" t="inlineStr">
        <is>
          <t>LITHA</t>
        </is>
      </c>
      <c r="L84" t="inlineStr">
        <is>
          <t>St John's Wort is named for the Baptist, its flowering at Midsummer coinciding with his feast day. It was believed to be so powerful against evil that demons would flee at the mere sight of it — hence its old name Chase Devil. In Norse tradition it was associated with Baldur the sun god. Rolled in dew on Midsummer morning it was said to grant a year's protection.</t>
        </is>
      </c>
      <c r="M84" t="inlineStr">
        <is>
          <t>divinatory purposes prior to becoming a purely medicinal herb.</t>
        </is>
      </c>
      <c r="N84" t="inlineStr">
        <is>
          <t>incense for the purposes of consecration and cleansing.</t>
        </is>
      </c>
      <c r="O84" t="inlineStr">
        <is>
          <t>It is used, much like thyme, as a type of incense for the purposes of consecration and cleansing. The herb is attributed special powers whereby it is used to ward off evil spirits, as well as to allay curses or sickness brought about by invisible forces. St John's Wort was also used for divinatory purposes prior to becoming a purely medicinal herb. It was said that the herb could foretell the lifespan of a person if one simply hung it to dry and examined how shrivelled or fresh it looked after some time — symbolising the vitality of the person who first touched the herb and hung it to dry.</t>
        </is>
      </c>
      <c r="P84" t="inlineStr">
        <is>
          <t>Tea Tree</t>
        </is>
      </c>
      <c r="Q84" t="inlineStr">
        <is>
          <t>Europe, Asia (Woodlands, shady areas)</t>
        </is>
      </c>
      <c r="R84" t="inlineStr">
        <is>
          <t>Warning: Causes photosensitivity — avoid sun exposure after use. Interacts with many medications including antidepressants and contraceptives.</t>
        </is>
      </c>
      <c r="AM84" t="inlineStr">
        <is>
          <t>Ametrine</t>
        </is>
      </c>
      <c r="AN84" t="inlineStr">
        <is>
          <t>Combines mental clarity with strength of will, making it a very powerful stone f, any magic user.</t>
        </is>
      </c>
      <c r="AO84" t="inlineStr">
        <is>
          <t>Astral travel, magickal power, meditation, removing negativity.</t>
        </is>
      </c>
      <c r="AP84" t="inlineStr">
        <is>
          <t>Carnelian</t>
        </is>
      </c>
      <c r="AQ84"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84" t="inlineStr">
        <is>
          <t>Happiness, Protection, energy, easing depression, promoting self-confidence, Peace, concentration, focus, Attraction, sexuality, Love, Healing, courage.</t>
        </is>
      </c>
      <c r="AS84" t="inlineStr">
        <is>
          <t>Citrine</t>
        </is>
      </c>
      <c r="AT84"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84"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84" t="inlineStr">
        <is>
          <t>Quartz Clear</t>
        </is>
      </c>
      <c r="AW84"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84" t="inlineStr">
        <is>
          <t>Protection, Healing, psychism, Strength, lactation</t>
        </is>
      </c>
      <c r="AY84" t="inlineStr">
        <is>
          <t>Tea Tree</t>
        </is>
      </c>
      <c r="AZ84" t="inlineStr">
        <is>
          <t>Strength</t>
        </is>
      </c>
      <c r="BA84" t="inlineStr">
        <is>
          <t>MEDICINAL</t>
        </is>
      </c>
      <c r="BB84"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C84" t="inlineStr">
        <is>
          <t>Frankincense</t>
        </is>
      </c>
      <c r="BD84" t="inlineStr">
        <is>
          <t>Luck, Protection, SPIRITUALITY, PROTECT AGAINST NEGATIVITY, EXC, Exorcism</t>
        </is>
      </c>
      <c r="BE84" t="inlineStr">
        <is>
          <t>ENLIGHTENMENT, INSPIRATION, INTROSPECTION, AIDS MEDITATION</t>
        </is>
      </c>
      <c r="BF84"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G84" t="inlineStr">
        <is>
          <t>Ginger</t>
        </is>
      </c>
      <c r="BH84" t="inlineStr">
        <is>
          <t>Prosperity, Healing, Love, Strength</t>
        </is>
      </c>
      <c r="BI84" t="inlineStr">
        <is>
          <t>Confidence, EMPATHY, LIBERATION, OPTIMISM, STRENGTHENS</t>
        </is>
      </c>
      <c r="BJ84" t="inlineStr">
        <is>
          <t>It is said that Ginger grew where a drop of liquid sun hit the earth. Because of its fiery taste, it was believed to grant the eater the 'fire of the gut,' helping them digest not just food, but life experiences, turning bitterness into wisdom.</t>
        </is>
      </c>
      <c r="BL84" t="inlineStr">
        <is>
          <t>ST JOHN'S WORT</t>
        </is>
      </c>
      <c r="BM84" s="42" t="inlineStr">
        <is>
          <t>Midsummer fire herb, hung above the door on the longest day. Protection and divination both strengthened. Love, health and strength carried in its solar energy. Consecration and cleansing deepened. The herb of the open sun — bright, protective, confident.</t>
        </is>
      </c>
    </row>
    <row r="85" ht="409.5" customHeight="1" s="56">
      <c r="A85" t="inlineStr">
        <is>
          <t>TANSY</t>
        </is>
      </c>
      <c r="B85" t="inlineStr">
        <is>
          <t>BITTER BUTTONS</t>
        </is>
      </c>
      <c r="C85" t="inlineStr">
        <is>
          <t>Tanacetum vulgare</t>
        </is>
      </c>
      <c r="D85" t="inlineStr">
        <is>
          <t>Imbolc rites, Spring Equinox rites, Ostara rites, Immortality, Eternal youth, Death and rebirth rites, Longevity, Asperging bodies, Asperging gravesites, Asperging ritual areas, Lengthening lifespan, Curing fevers, Womanhood rituals, Mother Goddess rites, Imbolc/Ostara, Imbolc, Ostara, Spring rituals, Spring festivals, Spring/Imbolc/Ostara/Beltane, Spring tonic, Earth festivals, Long life, Rejuvenation, Vigorous old age, Life, Contacting planes, Contacting other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magic, ancestral memory, Samhain rituals, death rites, Necromancy, Peaceful transition for the dead, ancestors, Crone magic, Seeing past lives, Reincarnation, Reincarnation knowledge, Past lives, Mabon/Samhain, Mabon rituals, Samhain,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Dispelling melancholy, Preventing illness, Protection against disease</t>
        </is>
      </c>
      <c r="E85" t="inlineStr">
        <is>
          <t>HEBE, GEMINI, IMBOLC, OSTARA</t>
        </is>
      </c>
      <c r="F85" t="inlineStr">
        <is>
          <t>VENUS</t>
        </is>
      </c>
      <c r="G85" t="inlineStr">
        <is>
          <t>WATER</t>
        </is>
      </c>
      <c r="H85" t="inlineStr">
        <is>
          <t>FEMININE</t>
        </is>
      </c>
      <c r="I85" t="inlineStr">
        <is>
          <t>Friday</t>
        </is>
      </c>
      <c r="J85" t="inlineStr">
        <is>
          <t>ALL</t>
        </is>
      </c>
      <c r="K85" t="inlineStr">
        <is>
          <t>IMBOLC, OSTARA</t>
        </is>
      </c>
      <c r="L85" t="inlineStr">
        <is>
          <t>Placed in shoe for safe travels, sewn into blue cloth for healing.</t>
        </is>
      </c>
      <c r="M85" t="inlineStr">
        <is>
          <t>Imbolc rites, Spring Equinox rites, Ostara rites, Immortality, Eternal youth, Death and rebirth rites, Longevity, Asperging bodies, Asperging gravesites, Asperging ritual areas</t>
        </is>
      </c>
      <c r="N85" t="inlineStr">
        <is>
          <t>used in rituals celebrating womanhood (motherhood in particular) and is said to be an herb of mother goddesses.</t>
        </is>
      </c>
      <c r="O85" t="inlineStr">
        <is>
          <t>It is associated with the Sabbats of Imbolc, Spring Equinox, and Ostara. It is also associated with immortality and eternal youth. Its further association with death makes it suitable for honouring all gods and goddesses associated with death and rebirth. Once used in embalming preparations, tansy is known as an herb of immortality and longevity. A branch is an appropriate herb to use in asperging a body, a gravesite, or a ritual area. Tansy is carried to lengthen the life span and placed in shoes to cure persistent fevers. This is an excellent herb to bring to rituals of death and dying. Tansy's association with rebirth is strong. Tansy is sometimes used in rituals celebrating womanhood (motherhood in particular) and is said to be an herb of mother goddesses.</t>
        </is>
      </c>
      <c r="P85" t="inlineStr">
        <is>
          <t>Ylang Ylang</t>
        </is>
      </c>
      <c r="Q85" t="inlineStr">
        <is>
          <t>Middle East (Cultivated globally)</t>
        </is>
      </c>
      <c r="R85" t="inlineStr">
        <is>
          <t>Warning: Toxic — contains thujone which can cause convulsions and death in large doses. Do not ingest. Avoid during pregnancy.</t>
        </is>
      </c>
      <c r="AM85" t="inlineStr">
        <is>
          <t>Chrysocolla</t>
        </is>
      </c>
      <c r="AN85"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85" t="inlineStr">
        <is>
          <t>Clarity, Peace, patience, Love, wisdom, Negating dreams, Harmony, Prosperity, growth, hope, intimacy, Divination, tolerance, sleep, creativity, self-awareness.</t>
        </is>
      </c>
      <c r="AP85" t="inlineStr">
        <is>
          <t>Copper flakes</t>
        </is>
      </c>
      <c r="AQ85" t="inlineStr">
        <is>
          <t>Use copper in rituals, Bolstering spells, amulets to promote love, sensuality, friendship, positive relationships of any kind, negotiations, peace.</t>
        </is>
      </c>
      <c r="AR85" t="inlineStr">
        <is>
          <t>Love, Peace, friendships</t>
        </is>
      </c>
      <c r="AS85" t="inlineStr">
        <is>
          <t>Goldstone</t>
        </is>
      </c>
      <c r="AT85"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85" t="inlineStr">
        <is>
          <t>Hope, protection.</t>
        </is>
      </c>
      <c r="AV85" t="inlineStr">
        <is>
          <t>Jade (jadeite)</t>
        </is>
      </c>
      <c r="AW85"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85" t="inlineStr">
        <is>
          <t>Concentration, unconditional love, concentration, Fidelity, Harmony, Healing, justice, Protection, Luck, beauty, energy, stress relief, perspective, wisdom, growth.</t>
        </is>
      </c>
      <c r="AY85" t="inlineStr">
        <is>
          <t>Ylang Ylang</t>
        </is>
      </c>
      <c r="AZ85" t="inlineStr">
        <is>
          <t>SEX MAGIC, Protection, LOVE &amp; PEACE, CLEARING NEGATIVITY</t>
        </is>
      </c>
      <c r="BA85" t="inlineStr">
        <is>
          <t>Peace, ENTHUSIASM, Happiness, UPLIFTMENT</t>
        </is>
      </c>
      <c r="BB85"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85" t="inlineStr">
        <is>
          <t>Thyme</t>
        </is>
      </c>
      <c r="BD85" t="inlineStr">
        <is>
          <t>Healing, Love, Purification, Confidence</t>
        </is>
      </c>
      <c r="BE85" t="inlineStr">
        <is>
          <t>Harmony, STRENGTHENS, SUPP, Amulets/talismans</t>
        </is>
      </c>
      <c r="BF85" t="inlineStr">
        <is>
          <t>In the stories of the knights, Thyme was the herb of bravery. Before a battle, they would wear a sprig of thyme near their hearts, believing the herb would gift them the heart of a lion and ensure their courage never failed when the steel was drawn.</t>
        </is>
      </c>
      <c r="BG85" t="inlineStr">
        <is>
          <t>Vanilla</t>
        </is>
      </c>
      <c r="BH85" t="inlineStr">
        <is>
          <t>MENTAL POWERS, LOVING &amp; LUSTFUL ENERGIES</t>
        </is>
      </c>
      <c r="BI85" t="inlineStr">
        <is>
          <t>SOOTHES NERVES, CALMS, RELAXES</t>
        </is>
      </c>
      <c r="BJ85"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K85" t="inlineStr">
        <is>
          <t>GEMINI</t>
        </is>
      </c>
      <c r="BL85" t="inlineStr">
        <is>
          <t>TANSY</t>
        </is>
      </c>
      <c r="BM85" s="42" t="inlineStr">
        <is>
          <t>Water and spring equinox, the herb of the great turning. Immortality and eternal youth carried in its bitter green. Death and rebirth rites find it essential. Longevity held in its endurance. Sacred to the feminine mysteries of motherhood — where the cycle of life is being honoured.</t>
        </is>
      </c>
    </row>
    <row r="86" ht="409.5" customHeight="1" s="56">
      <c r="A86" t="inlineStr">
        <is>
          <t>THYME</t>
        </is>
      </c>
      <c r="B86" t="inlineStr">
        <is>
          <t>MOTHER OF THYME</t>
        </is>
      </c>
      <c r="C86" t="inlineStr">
        <is>
          <t>Thymus vulgaris</t>
        </is>
      </c>
      <c r="D86"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 Nightmare prevention, Negating dreams, RID OF BAD DREAMS, Nightmares, Sleep, Rest, Encouraging sound sleep, Relaxation, Serenity, Calm, Protective charm, Protective charms, Protective sachets, Protective wreaths, Protective incense, PROTECT AGAINST NEGATIVITY, Protection from negativity, Circle protection, Enhancing clairvoyance, Psychic powers, INCREASE PSYCHIC ABILITIES, Psychic awareness, Stimulating psychic senses, Disabling psychic phenomena, Psychic communication, communication and psychic abilities,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Self-confidence, Bravery, Determination, Will Power, Leadership, Leadership skills, Commanding, Personal power, Enhancing divination, Divinatory incense, Foretelling the future, Future divination, Scrying, Dowsing, Prophecy, Prophetic dreams, Invoking dreams, Dream work, Visions, Seeing the unseen, Seeing manifestations, Truth, Honesty, Removing deception, Subconscious work, Digging into the subconscious, Uprooting what is hidden, Treasure seeking, Lost object finding, Joy, Joyous celebrations, Contentment, Ensuring joy in the home, PEACE &amp; HAPPINESS,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Calming, Soothing, Calmness,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Contemplation, Concentration, Focus, Sun God offerings, Solar spells,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Contacting planes, Communion with spirits, Communing with the departed, Communing with otherworldly entities, Spirit work, SISM, contacting a specific person, Samhain/ancestral altars, Ancestral altars, Ancestor rituals, Honouring the dead, ancestral magic, ancestral memory, Samhain rituals, death rites, Death and rebirth rites, Necromancy, Peaceful transition for the dead, ancestors, Crone magic, Seeing past lives, Reincarnation, Reincarnation knowledge, Past lives, Mabon/Samhain, Mabon rituals, Samhain, Desire, Breaking habits, Breaking bad habits, Ending negative self-talk, Letting go of relationships, Ending guilt, New beginnings, New beginning spells, Fresh starts, Transformation, Change, rebirth, Breakthrough, Awakening, Growth, New ideas, Assisting transformation, Transformation/Evolution, Beltane, Beltane rituals, Beltane celebrations, Summer rituals, Midsummer, Midsummer celebrations, Midsummer magic, Midsummer/Litha rituals</t>
        </is>
      </c>
      <c r="E86" t="inlineStr">
        <is>
          <t>MINERVA, LOKI, VENUS, TITIANA</t>
        </is>
      </c>
      <c r="F86" t="inlineStr">
        <is>
          <t>VENUS</t>
        </is>
      </c>
      <c r="G86" t="inlineStr">
        <is>
          <t>AIR</t>
        </is>
      </c>
      <c r="H86" t="inlineStr">
        <is>
          <t>FEMININE</t>
        </is>
      </c>
      <c r="I86" t="inlineStr">
        <is>
          <t>Friday</t>
        </is>
      </c>
      <c r="J86" t="inlineStr">
        <is>
          <t>MINERVA, LOKI, TITANIA</t>
        </is>
      </c>
      <c r="K86" t="inlineStr">
        <is>
          <t>OSTARA, BELTANE</t>
        </is>
      </c>
      <c r="L86" t="inlineStr">
        <is>
          <t>Strong ties to faery lore.</t>
        </is>
      </c>
      <c r="M86" t="inlineStr">
        <is>
          <t>It is said to prevent nightmares and aid protection, psychic development, and clairvoyance. Used in spells and workings for cleansing, consecration, courage, divination, dreams, exorcism, happiness, healing, love, money, purification, compassion, confidence, contacting other planes, grieving, meditation, passion, release, renewal, and rituals for t</t>
        </is>
      </c>
      <c r="N86" t="inlineStr">
        <is>
          <t>Used in spells and workings for cleansing, consecration, courage, divination, dreams, exorcism, happiness, healing, love, money, purification, compassion, confidence, contacting other planes, grieving, meditation, passion, release, renewal, and rituals for the dead.</t>
        </is>
      </c>
      <c r="O86" t="inlineStr">
        <is>
          <t>It is said to prevent nightmares and aid protection, psychic development, and clairvoyance. Used in spells and workings for cleansing, consecration, courage, divination, dreams, exorcism, happiness, healing, love, money, purification, compassion, confidence, contacting other planes, grieving, meditation, passion, release, renewal, and rituals for the dead. Associated with Midsummer, it can be used as a herb for rituals.</t>
        </is>
      </c>
      <c r="P86" t="inlineStr">
        <is>
          <t>Thyme</t>
        </is>
      </c>
      <c r="Q86" t="inlineStr">
        <is>
          <t>Europe, Asia (Riverbanks, damp soil)</t>
        </is>
      </c>
      <c r="R86" t="inlineStr">
        <is>
          <t>Generally considered safe for culinary and ritual use. Avoid medicinal doses during pregnancy.</t>
        </is>
      </c>
      <c r="AM86" t="inlineStr">
        <is>
          <t>quartz Rose</t>
        </is>
      </c>
      <c r="AN86" t="inlineStr">
        <is>
          <t>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t>
        </is>
      </c>
      <c r="AO86" t="inlineStr">
        <is>
          <t>Confidence, Peace, Fertility, creativity, Love, compassion, beauty, Fidelity, Happiness</t>
        </is>
      </c>
      <c r="AP86" t="inlineStr">
        <is>
          <t>Seraphinite</t>
        </is>
      </c>
      <c r="AQ86" t="inlineStr">
        <is>
          <t>Seraphinite is a powerful healing stone which is becoming increasingly popular. It is an excellent healing stone which boosts the energy of both the healer, the patient. Some people even say that it causes regeneration, miraculous healings.</t>
        </is>
      </c>
      <c r="AR86" t="inlineStr">
        <is>
          <t>Purification, centering, compassion, healing.</t>
        </is>
      </c>
      <c r="AY86" t="inlineStr">
        <is>
          <t>Thyme</t>
        </is>
      </c>
      <c r="AZ86" t="inlineStr">
        <is>
          <t>Healing, Love, Purification, Confidence</t>
        </is>
      </c>
      <c r="BA86" t="inlineStr">
        <is>
          <t>Harmony, STRENGTHENS, SUPP, Amulets/talismans</t>
        </is>
      </c>
      <c r="BB86" t="inlineStr">
        <is>
          <t>In the stories of the knights, Thyme was the herb of bravery. Before a battle, they would wear a sprig of thyme near their hearts, believing the herb would gift them the heart of a lion and ensure their courage never failed when the steel was drawn.</t>
        </is>
      </c>
      <c r="BC86" t="inlineStr">
        <is>
          <t>Apple</t>
        </is>
      </c>
      <c r="BD86" t="inlineStr">
        <is>
          <t>Love, Happiness, WISDOM IN MAGICK</t>
        </is>
      </c>
      <c r="BE86" t="inlineStr">
        <is>
          <t>UPLIFTING</t>
        </is>
      </c>
      <c r="BF86"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G86" t="inlineStr">
        <is>
          <t>Geranium</t>
        </is>
      </c>
      <c r="BH86" t="inlineStr">
        <is>
          <t>Love, Fertility, Healing, Protection</t>
        </is>
      </c>
      <c r="BI86" t="inlineStr">
        <is>
          <t>ASSURANCE, Harmony, Peace, ANTI-DEPRESSANT</t>
        </is>
      </c>
      <c r="BJ86"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L86" t="inlineStr">
        <is>
          <t>THYME</t>
        </is>
      </c>
      <c r="BM86" s="42" t="inlineStr">
        <is>
          <t>Air herb of the ancient hillside, small and wild and tireless. Nightmares turned away, clairvoyance opened. Cleansing, consecration and courage all carried in its tiny leaves. Dreams and exorcism both find it willing. Happiness and healing deepened. Never underestimate the small herb.</t>
        </is>
      </c>
    </row>
    <row r="87" ht="409.5" customHeight="1" s="56">
      <c r="A87" t="inlineStr">
        <is>
          <t>TONKA BEANS</t>
        </is>
      </c>
      <c r="B87" t="inlineStr">
        <is>
          <t>TONKA</t>
        </is>
      </c>
      <c r="C87" t="inlineStr">
        <is>
          <t>Dipteryx odorata</t>
        </is>
      </c>
      <c r="D87" t="inlineStr">
        <is>
          <t>Sachets, Potpourri, Incense, Musk scent magic, Scent-based spellwork, Purification,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Musk</t>
        </is>
      </c>
      <c r="E87" t="inlineStr">
        <is>
          <t>VENUS, APHRODITE, TAURUS,LIBRA</t>
        </is>
      </c>
      <c r="F87" t="inlineStr">
        <is>
          <t>VENUS</t>
        </is>
      </c>
      <c r="G87" t="inlineStr">
        <is>
          <t>WATER</t>
        </is>
      </c>
      <c r="H87" t="inlineStr">
        <is>
          <t>FEMININE</t>
        </is>
      </c>
      <c r="I87" t="inlineStr">
        <is>
          <t>FRIDAY</t>
        </is>
      </c>
      <c r="J87" t="inlineStr">
        <is>
          <t>APHRODITE</t>
        </is>
      </c>
      <c r="K87" t="inlineStr">
        <is>
          <t>OSTARA, BELTANE</t>
        </is>
      </c>
      <c r="L87" t="inlineStr">
        <is>
          <t>Common in hoodoo. Popularity comes from scent.</t>
        </is>
      </c>
      <c r="M87" t="inlineStr">
        <is>
          <t>Sachets, Potpourri, Incense, Musk scent magic, Scent-based spellwork</t>
        </is>
      </c>
      <c r="N87" t="inlineStr">
        <is>
          <t>Used in manifestation rituals and wish magic. Carried as a charm or placed on the altar during prosperity and love workings.</t>
        </is>
      </c>
      <c r="O87" t="inlineStr">
        <is>
          <t>Tonka beans are excellent for sachets and potpourris — simply cut them into small chips to add to the other components. To achieve a good scent, include only the tonka bean skins and some white crystals. The scent of the tonka bean is suitable for use as a musk note in the preparation of incense. The scent of tonka bean will produce the desired results especially when used alongside lavender, citrus peels, patchouli, rose, and sandalwood.</t>
        </is>
      </c>
      <c r="P87" t="inlineStr">
        <is>
          <t>Ylang Ylang</t>
        </is>
      </c>
      <c r="Q87" t="inlineStr">
        <is>
          <t>North America (Forest floors)</t>
        </is>
      </c>
      <c r="R87" t="inlineStr">
        <is>
          <t>Warning: Tonka beans can be dangerous — even fatal — if consumed in large quantities. Do not ingest.</t>
        </is>
      </c>
      <c r="AM87" t="inlineStr">
        <is>
          <t>Chrysocolla</t>
        </is>
      </c>
      <c r="AN87"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87" t="inlineStr">
        <is>
          <t>Clarity, Peace, patience, Love, wisdom, Negating dreams, Harmony, Prosperity, growth, hope, intimacy, Divination, tolerance, sleep, creativity, self-awareness.</t>
        </is>
      </c>
      <c r="AP87" t="inlineStr">
        <is>
          <t>Copper flakes</t>
        </is>
      </c>
      <c r="AQ87" t="inlineStr">
        <is>
          <t>Use copper in rituals, Bolstering spells, amulets to promote love, sensuality, friendship, positive relationships of any kind, negotiations, peace.</t>
        </is>
      </c>
      <c r="AR87" t="inlineStr">
        <is>
          <t>Love, Peace, friendships</t>
        </is>
      </c>
      <c r="AS87" t="inlineStr">
        <is>
          <t>Goldstone</t>
        </is>
      </c>
      <c r="AT87"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87" t="inlineStr">
        <is>
          <t>Hope, protection.</t>
        </is>
      </c>
      <c r="AV87" t="inlineStr">
        <is>
          <t>Jade (jadeite)</t>
        </is>
      </c>
      <c r="AW87"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87" t="inlineStr">
        <is>
          <t>Concentration, unconditional love, concentration, Fidelity, Harmony, Healing, justice, Protection, Luck, beauty, energy, stress relief, perspective, wisdom, growth.</t>
        </is>
      </c>
      <c r="AY87" t="inlineStr">
        <is>
          <t>Ylang Ylang</t>
        </is>
      </c>
      <c r="AZ87" t="inlineStr">
        <is>
          <t>SEX MAGIC, Protection, LOVE &amp; PEACE, CLEARING NEGATIVITY</t>
        </is>
      </c>
      <c r="BA87" t="inlineStr">
        <is>
          <t>Peace, ENTHUSIASM, Happiness, UPLIFTMENT</t>
        </is>
      </c>
      <c r="BB87"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87" t="inlineStr">
        <is>
          <t>Thyme</t>
        </is>
      </c>
      <c r="BD87" t="inlineStr">
        <is>
          <t>Healing, Love, Purification, Confidence</t>
        </is>
      </c>
      <c r="BE87" t="inlineStr">
        <is>
          <t>Harmony, STRENGTHENS, SUPP, Amulets/talismans</t>
        </is>
      </c>
      <c r="BF87" t="inlineStr">
        <is>
          <t>In the stories of the knights, Thyme was the herb of bravery. Before a battle, they would wear a sprig of thyme near their hearts, believing the herb would gift them the heart of a lion and ensure their courage never failed when the steel was drawn.</t>
        </is>
      </c>
      <c r="BG87" t="inlineStr">
        <is>
          <t>Vanilla</t>
        </is>
      </c>
      <c r="BH87" t="inlineStr">
        <is>
          <t>MENTAL POWERS, LOVING &amp; LUSTFUL ENERGIES</t>
        </is>
      </c>
      <c r="BI87" t="inlineStr">
        <is>
          <t>SOOTHES NERVES, CALMS, RELAXES</t>
        </is>
      </c>
      <c r="BJ87"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K87" t="inlineStr">
        <is>
          <t>TAURUS, LIBRA</t>
        </is>
      </c>
      <c r="BL87" t="inlineStr">
        <is>
          <t>TONKA BEANS</t>
        </is>
      </c>
      <c r="BM87" s="42" t="inlineStr">
        <is>
          <t>Musk scent and deep water energy, the herb of carried wishes. Sachets and charm bags made potent in its presence. Purification and manifestation both strengthened. Prosperity and wish magic find it a willing vessel. Where desire needs focusing and anchoring.</t>
        </is>
      </c>
    </row>
    <row r="88" ht="409.5" customHeight="1" s="56">
      <c r="A88" t="inlineStr">
        <is>
          <t>VALERIAN ROOT</t>
        </is>
      </c>
      <c r="B88" t="inlineStr">
        <is>
          <t>VANDAL ROOT</t>
        </is>
      </c>
      <c r="C88" t="inlineStr">
        <is>
          <t>Valeriana officinalis</t>
        </is>
      </c>
      <c r="D88" t="inlineStr">
        <is>
          <t>Deterring unwanted visitors, Harmony, Protection, Nightmares, Cleansing, Consecration, Purification, Magical torches, Protection from natural disasters, Ending guilt, Ending negative self-talk, Animal magic, Evoking animal spirits, Peace, Purifying ritual spaces, Consecrating incense burners, Self-purification,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Nightmare prevention, Preventing nightmares, Negating dreams, RID OF BAD DREAMS, Sleep, Rest, Encouraging sound sleep,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Amulets/talismans, Amulets, Talismans, Charm bags, Mojo bags, Sachets, Breaking habits, Breaking bad habits, Letting go of relationships, Release, Renewal, New beginnings, New beginning spells, Fresh starts, Transformation, Change, rebirth, Breakthrough, Awakening, Growth, New ideas, Assisting transformation, Transformation/Evolution</t>
        </is>
      </c>
      <c r="E88" t="inlineStr">
        <is>
          <t>AQUARIUS, SAMHAIN, YULE</t>
        </is>
      </c>
      <c r="F88" t="inlineStr">
        <is>
          <t>VENUS</t>
        </is>
      </c>
      <c r="G88" t="inlineStr">
        <is>
          <t>WATER</t>
        </is>
      </c>
      <c r="H88" t="inlineStr">
        <is>
          <t>FEMININE</t>
        </is>
      </c>
      <c r="I88" t="inlineStr">
        <is>
          <t>Friday</t>
        </is>
      </c>
      <c r="J88" t="inlineStr">
        <is>
          <t>ALL</t>
        </is>
      </c>
      <c r="K88" t="inlineStr">
        <is>
          <t>SAMHAIN, YULE</t>
        </is>
      </c>
      <c r="L88" t="inlineStr">
        <is>
          <t>In hoodoo, can substitute for graveyard dirt.</t>
        </is>
      </c>
      <c r="M88" t="inlineStr">
        <is>
          <t>protection, or in a dream pillow to ward off nightmares.</t>
        </is>
      </c>
      <c r="N88" t="inlineStr">
        <is>
          <t>Use in cleansing and consecration, or drink as a tea to purify oneself. Valerian is added to the chalice as an herb of peace and is very cleansing — it can be used to purify your ritual space.</t>
        </is>
      </c>
      <c r="O88" t="inlineStr">
        <is>
          <t>Sprinkle valerian at the front door to deter unwanted visitors, or hang the leaves around the home to promote harmony amongst loved ones. Combine valerian with other herbs and crystals in sachets or amulets to use for protection, or in a dream pillow to ward off nightmares. Use in cleansing and consecration, or drink as a tea to purify oneself. Soak the dried stalks of the valerian plant in tallow or oil, then use as a magical torch. Valerian is known as a plant of love and protection. Hang it in your home to protect against natural disasters such as lightning strikes or fire. Valerian root is useful in spells related to ending guilt and negative self-talk and developing self-acceptance. It is also useful in animal magic, especially cat magic and evoking animal spirits. Valerian is added to the chalice as an herb of peace and is very cleansing — it can be used to purify your ritual space.</t>
        </is>
      </c>
      <c r="P88" t="inlineStr">
        <is>
          <t>Ylang Ylang</t>
        </is>
      </c>
      <c r="Q88" t="inlineStr">
        <is>
          <t>North America (Forests, woodland edges)</t>
        </is>
      </c>
      <c r="R88" t="inlineStr">
        <is>
          <t>Warning: Excessive intake may be harmful. Do not combine with sedatives or alcohol.</t>
        </is>
      </c>
      <c r="AM88" t="inlineStr">
        <is>
          <t>Chrysocolla</t>
        </is>
      </c>
      <c r="AN88"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88" t="inlineStr">
        <is>
          <t>Clarity, Peace, patience, Love, wisdom, Negating dreams, Harmony, Prosperity, growth, hope, intimacy, Divination, tolerance, sleep, creativity, self-awareness.</t>
        </is>
      </c>
      <c r="AP88" t="inlineStr">
        <is>
          <t>Copper flakes</t>
        </is>
      </c>
      <c r="AQ88" t="inlineStr">
        <is>
          <t>Use copper in rituals, Bolstering spells, amulets to promote love, sensuality, friendship, positive relationships of any kind, negotiations, peace.</t>
        </is>
      </c>
      <c r="AR88" t="inlineStr">
        <is>
          <t>Love, Peace, friendships</t>
        </is>
      </c>
      <c r="AS88" t="inlineStr">
        <is>
          <t>Goldstone</t>
        </is>
      </c>
      <c r="AT88"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88" t="inlineStr">
        <is>
          <t>Hope, protection.</t>
        </is>
      </c>
      <c r="AV88" t="inlineStr">
        <is>
          <t>Jade (jadeite)</t>
        </is>
      </c>
      <c r="AW88"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88" t="inlineStr">
        <is>
          <t>Concentration, unconditional love, concentration, Fidelity, Harmony, Healing, justice, Protection, Luck, beauty, energy, stress relief, perspective, wisdom, growth.</t>
        </is>
      </c>
      <c r="AY88" t="inlineStr">
        <is>
          <t>Ylang Ylang</t>
        </is>
      </c>
      <c r="AZ88" t="inlineStr">
        <is>
          <t>SEX MAGIC, Protection, LOVE &amp; PEACE, CLEARING NEGATIVITY</t>
        </is>
      </c>
      <c r="BA88" t="inlineStr">
        <is>
          <t>Peace, ENTHUSIASM, Happiness, UPLIFTMENT</t>
        </is>
      </c>
      <c r="BB88"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88" t="inlineStr">
        <is>
          <t>Rose</t>
        </is>
      </c>
      <c r="BD88" t="inlineStr">
        <is>
          <t>Peace, Protection, Luck, PROMOTE LOVE &amp; AFFECTION</t>
        </is>
      </c>
      <c r="BE88" t="inlineStr">
        <is>
          <t>BALANCING, STRENGTHENING, Attracting good spirits</t>
        </is>
      </c>
      <c r="BF88"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G88" t="inlineStr">
        <is>
          <t>Thyme</t>
        </is>
      </c>
      <c r="BH88" t="inlineStr">
        <is>
          <t>Healing, Love, Purification, Confidence</t>
        </is>
      </c>
      <c r="BI88" t="inlineStr">
        <is>
          <t>Harmony, STRENGTHENS, SUPP, Amulets/talismans</t>
        </is>
      </c>
      <c r="BJ88" t="inlineStr">
        <is>
          <t>In the stories of the knights, Thyme was the herb of bravery. Before a battle, they would wear a sprig of thyme near their hearts, believing the herb would gift them the heart of a lion and ensure their courage never failed when the steel was drawn.</t>
        </is>
      </c>
      <c r="BK88" t="inlineStr">
        <is>
          <t>AQUARIUS</t>
        </is>
      </c>
      <c r="BL88" t="inlineStr">
        <is>
          <t>VALERIAN ROOT</t>
        </is>
      </c>
      <c r="BM88" s="42" t="inlineStr">
        <is>
          <t>Water root of protection and deep calm, the herb that deters what should not approach. Harmony restored, nightmares warded. Consecration and purification both deepened in its earthy presence. Where the boundary needs holding and what sleeps needs protecting.</t>
        </is>
      </c>
    </row>
    <row r="89" ht="409.5" customHeight="1" s="56">
      <c r="A89" t="inlineStr">
        <is>
          <t>VERVAIN</t>
        </is>
      </c>
      <c r="B89" t="inlineStr">
        <is>
          <t>DEVIL’S BANE</t>
        </is>
      </c>
      <c r="C89" t="inlineStr">
        <is>
          <t>Verbena officinalis</t>
        </is>
      </c>
      <c r="D89" t="inlineStr">
        <is>
          <t>Protection, Defending against spells, Warding off witches, Exorcising evil entities, Ju-ju / gris-gris protection, Protection for infants, Protection from negativity, Protective charm, Protective charms, Protective sachets, Protective wreaths, Protective incense, PROTECT AGAINST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Protection (hexes/evil), Psychic protection, Psychic shielding, Protection from hexes, Protection from conjure, Protection from evil, Protection from evil spirits, Protection from hauntings,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t>
        </is>
      </c>
      <c r="E89" t="inlineStr">
        <is>
          <t>CERRIDWEN, MARS, VENUS, ARADIA, ISIS, JUPITER, THOR, ARIES, SCORPIO</t>
        </is>
      </c>
      <c r="F89" t="inlineStr">
        <is>
          <t>VENUS</t>
        </is>
      </c>
      <c r="G89" t="inlineStr">
        <is>
          <t>EARTH</t>
        </is>
      </c>
      <c r="H89" t="inlineStr">
        <is>
          <t>FEMININE</t>
        </is>
      </c>
      <c r="I89" t="inlineStr">
        <is>
          <t>FRIDAY, TUESDAY</t>
        </is>
      </c>
      <c r="J89" t="inlineStr">
        <is>
          <t>CERRIDWEN, ARADIA, ISIS, THOR</t>
        </is>
      </c>
      <c r="K89" t="inlineStr">
        <is>
          <t>OSTARA, BELTANE</t>
        </is>
      </c>
      <c r="L89" t="inlineStr">
        <is>
          <t>In Stregheria, feared because it can protect against any spell.</t>
        </is>
      </c>
      <c r="M89" t="inlineStr">
        <is>
          <t>Protection, Defending against spells, Warding off witches, Exorcising evil entities, Ju-ju / gris-gris protection, Protection for infants, Protection from negativity</t>
        </is>
      </c>
      <c r="N89" t="inlineStr">
        <is>
          <t>Sacred to druids; used in consecrating altars and tools. Burned as incense during rituals and sprinkled around sacred circles for protection.</t>
        </is>
      </c>
      <c r="O89" t="inlineStr">
        <is>
          <t>Vervain is highly useful as a protection herb, as it effectively acts like an instant hexing bottle that defends the bearer from all types of malignant intentions and spells. When combined with dill and rosemary, it is said to be a foolproof way to keep bad witches at bay, while an incense of its leaves, flowers, and root is said to exorcise all types of evil entities (earning it the name "devil's bane"). This is made more effective with the addition of frankincense and dragon's blood resin, as well as rosemary sprigs and St John's Wort. Vervain is sometimes added to ju-jus, gris-gris, or medicine pouches as a protection herb, usually for infants or children, but also for people who are prone to negativity or who have been targeted by ill-intentioned spell weavers.</t>
        </is>
      </c>
      <c r="P89" t="inlineStr">
        <is>
          <t>Ylang Ylang</t>
        </is>
      </c>
      <c r="Q89" t="inlineStr">
        <is>
          <t>Various mineral deposits</t>
        </is>
      </c>
      <c r="R89" t="inlineStr">
        <is>
          <t>Warning: Avoid during pregnancy as it may stimulate the uterus. Do not use in large doses.</t>
        </is>
      </c>
      <c r="AM89" t="inlineStr">
        <is>
          <t>chrysophase</t>
        </is>
      </c>
      <c r="AN89" t="inlineStr">
        <is>
          <t>Can be w, n to lift the emotions, to banish greed, envy, selfishness, tension, stress. A lucky stone, it is w, n f, eloquence, success in new undertakings, to attract friends. To attract money, cary a smal piece with you at all times utilise it as a general sheild against negativity..</t>
        </is>
      </c>
      <c r="AO89" t="inlineStr">
        <is>
          <t>Happiness, lick, Prosperity, Friendship, Protection, Healing</t>
        </is>
      </c>
      <c r="AP89" t="inlineStr">
        <is>
          <t>Emerald</t>
        </is>
      </c>
      <c r="AQ89" t="inlineStr">
        <is>
          <t>Most of us have trouble living in the magical moment of ‘now’ because we are so busy brooding over the past, dreaming about the future. Teaches us to focus our attention in the present, live every moment to the fullest, making the most of the gifts we have. W, king with the stone can remind us how to move through Time with ease, allowing us to w, k m, e powerfully on the astral realms, access the Akashic Rec, Midsummer, meet with the beings that inhabit other w, lds. Sacred to Venus, Emerald is used in many love spells, especially to encourage faithfulness, bring back a straying lover. It is said that the stone will crack, fade if your lover is unfaithful. In love, sex magic it encourages passion, arousal, releases inhibitions. As a talisman it protects against violence, abuse, rape, is powerful f, healing the trauma of such attacks.  Increases your intuitive, prophetic powers, mem, Clairvoyance, eloquence, communication skills. Wearing the stone, drinking the elixir will help you get the best results from any psychic, magical exercises.</t>
        </is>
      </c>
      <c r="AR89" t="inlineStr">
        <is>
          <t>Psychic awareness, meditation, Divination, Peace, sleep, Healing, Love, friendship, protection from evil, business success, mem, Clairvoyance, recognition, faith, Fertility, serenity, underst, Attracting good spirits, balance. Represents Time, the astral planes</t>
        </is>
      </c>
      <c r="AS89" t="inlineStr">
        <is>
          <t>Malachite</t>
        </is>
      </c>
      <c r="AT89" t="inlineStr">
        <is>
          <t>Malachite is believed to bring good luck, Anti-theft, tune to anyone travelling by sea, especially expl, ers, adventurers. A stone cut into a triangle protects against the evil eye, can be used in spells to attract lovers. Can help you become m, e creative by helping you realise the w, th of your talents while being flexible enough to make the best use of them. The stone is well known f, its ability to turn aside mental, magical attacks. Malachite is linked with the magical Will, can be used in spells, meditation to strengthen that skill, increase your personal power, confidence.</t>
        </is>
      </c>
      <c r="AU89" t="inlineStr">
        <is>
          <t>Strength, Prosperity, inspiration, releasing pain, anger, concentration, travel protection, Healing, sleep, psychic visions, overcoming negativity &amp; depression, business success, protection from physical danger, emotional maturity, Fertility, wisdom</t>
        </is>
      </c>
      <c r="AV89" t="inlineStr">
        <is>
          <t>Peridot</t>
        </is>
      </c>
      <c r="AW89" t="inlineStr">
        <is>
          <t>Used in magic to increase intuition, Increasing wealth, k with dream states, undertake shamanic journeys, encourage astral travel. W, n at night it protects against nightmare, night hags, vampires. Peridot is an excellent stone f, emotional healing, is said to rest, e the missing, damaged fragments of a person’s soul so that they can find happiness, contentment. Wear Peridot to stave off foolishness, protect against madness, to help you keep your wits about you in challenging situations.</t>
        </is>
      </c>
      <c r="AX89" t="inlineStr">
        <is>
          <t>Prosperity, growth, Purification, Harmony, Divination, compassion, Cleansing, protection against nightmares, anger management, overcoming nervousness, Fertility, friendship, Healing, repairing relationships, reducing stress, focus.</t>
        </is>
      </c>
      <c r="AY89" t="inlineStr">
        <is>
          <t>Ylang Ylang</t>
        </is>
      </c>
      <c r="AZ89" t="inlineStr">
        <is>
          <t>SEX MAGIC, Protection, LOVE &amp; PEACE, CLEARING NEGATIVITY</t>
        </is>
      </c>
      <c r="BA89" t="inlineStr">
        <is>
          <t>Peace, ENTHUSIASM, Happiness, UPLIFTMENT</t>
        </is>
      </c>
      <c r="BB89"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89" t="inlineStr">
        <is>
          <t>Apple</t>
        </is>
      </c>
      <c r="BD89" t="inlineStr">
        <is>
          <t>Love, Happiness, WISDOM IN MAGICK</t>
        </is>
      </c>
      <c r="BE89" t="inlineStr">
        <is>
          <t>UPLIFTING</t>
        </is>
      </c>
      <c r="BF89"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G89" t="inlineStr">
        <is>
          <t>Thyme</t>
        </is>
      </c>
      <c r="BH89" t="inlineStr">
        <is>
          <t>Healing, Love, Purification, Confidence</t>
        </is>
      </c>
      <c r="BI89" t="inlineStr">
        <is>
          <t>Harmony, STRENGTHENS, SUPP, Amulets/talismans</t>
        </is>
      </c>
      <c r="BJ89" t="inlineStr">
        <is>
          <t>In the stories of the knights, Thyme was the herb of bravery. Before a battle, they would wear a sprig of thyme near their hearts, believing the herb would gift them the heart of a lion and ensure their courage never failed when the steel was drawn.</t>
        </is>
      </c>
      <c r="BK89" t="inlineStr">
        <is>
          <t>ARIES, SCORPIO</t>
        </is>
      </c>
      <c r="BL89" t="inlineStr">
        <is>
          <t>VERVAIN</t>
        </is>
      </c>
      <c r="BM89" s="42" t="inlineStr">
        <is>
          <t>Earth herb of the sacred grove, the oldest protection in the forest. Spells, witches and evil entities all find it a firm boundary. Altars and tools consecrated in its presence. Sacred to druids since the rites were first made. The protection that has always been here.</t>
        </is>
      </c>
    </row>
    <row r="90" ht="409.5" customHeight="1" s="56">
      <c r="A90" t="inlineStr">
        <is>
          <t>VIOLET LEAVES</t>
        </is>
      </c>
      <c r="B90" t="inlineStr">
        <is>
          <t>HEARTS EASE</t>
        </is>
      </c>
      <c r="C90" t="inlineStr">
        <is>
          <t>Viola odorata</t>
        </is>
      </c>
      <c r="D90" t="inlineStr">
        <is>
          <t>Love (with lavender), Good luck, Prophetic dreams, Divination, Money, Protection, Faithfulness, Lust, Wishes, Peace, Healing, Banishingor, Spell-breaking, Reversing harmful spells, Breaking spells, Hex breaking, Removing hexes, Removing curses, Removing jinxes, Removing bad luck, Breaking hexes, Returning hexes, hex-breaking, Removing hexes and curses, Removing a jinx, Luck, Good luck in family matters, Fortune, Casino luck, Wish magick, Carrying wishes, Transmuting wishes, Invoking dreams, Dream work, Dreams, Visions, Seeing the unseen, Seeing manifestations, Truth, Honesty, Removing deception, Subconscious work, Digging into the subconscious, Uprooting what is hidden, Scrying, Dowsing, Treasure seeking, Lost object finding, Enhancing divination, Divinatory incense, Foretelling the future, Future divination, Prophecy,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Fidelity, Loyalty, Promoting fidelity, Ensuring a lover returns love, Aphrodisiac, Aphrodisiac tea, Sensuality, Lust/Sex, Passionate love-making, LOVING &amp; LUSTFUL ENERGIES, SEX MAGIC, RAISE SEXUAL ENERGY, Sexual energy,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t>
        </is>
      </c>
      <c r="E90" t="inlineStr">
        <is>
          <t>VENUS, APHRODITE</t>
        </is>
      </c>
      <c r="F90" t="inlineStr">
        <is>
          <t>VENUS</t>
        </is>
      </c>
      <c r="G90" t="inlineStr">
        <is>
          <t>WATER</t>
        </is>
      </c>
      <c r="H90" t="inlineStr">
        <is>
          <t>FEMININE</t>
        </is>
      </c>
      <c r="I90" t="inlineStr">
        <is>
          <t>Friday</t>
        </is>
      </c>
      <c r="J90" t="inlineStr">
        <is>
          <t>APHRODITE</t>
        </is>
      </c>
      <c r="K90" t="inlineStr">
        <is>
          <t>OSTARA, BELTANE</t>
        </is>
      </c>
      <c r="L90" t="inlineStr">
        <is>
          <t>Dreaming of violets means life is about to change for the better.</t>
        </is>
      </c>
      <c r="M90" t="inlineStr">
        <is>
          <t>Carrying violet flowers on the person brings good luck, and putting the flowers in dream pillows enhances prophetic dreams and divination. Violets can also be used in spells for good luck, money, protection, faithfulness, lust, wishes, peace, and healing, particularly after a relationship break-up.</t>
        </is>
      </c>
      <c r="N90" t="inlineStr">
        <is>
          <t>Used in love rituals and Ostara ceremonies. Carried as a charm for spiritual protection; offered to Aphrodite and the divine feminine.</t>
        </is>
      </c>
      <c r="O90" t="inlineStr">
        <is>
          <t>The most well-known magical use of violet leaves seems to be that when mixed with lavender in a sachet, it makes a strong love combination. Carrying violet flowers on the person brings good luck, and putting the flowers in dream pillows enhances prophetic dreams and divination. Violets can also be used in spells for good luck, money, protection, faithfulness, lust, wishes, peace, and healing, particularly after a relationship break-up. Use the leaves to absorb evil spells and ill will.</t>
        </is>
      </c>
      <c r="P90" t="inlineStr">
        <is>
          <t>Ylang Ylang</t>
        </is>
      </c>
      <c r="Q90" t="inlineStr">
        <is>
          <t>Europe, Asia (Shady woodlands)</t>
        </is>
      </c>
      <c r="R90" t="inlineStr">
        <is>
          <t>Generally considered safe for most uses. Always use in moderation.</t>
        </is>
      </c>
      <c r="AM90" t="inlineStr">
        <is>
          <t>Chrysocolla</t>
        </is>
      </c>
      <c r="AN90"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90" t="inlineStr">
        <is>
          <t>Clarity, Peace, patience, Love, wisdom, Negating dreams, Harmony, Prosperity, growth, hope, intimacy, Divination, tolerance, sleep, creativity, self-awareness.</t>
        </is>
      </c>
      <c r="AP90" t="inlineStr">
        <is>
          <t>Copper flakes</t>
        </is>
      </c>
      <c r="AQ90" t="inlineStr">
        <is>
          <t>Use copper in rituals, Bolstering spells, amulets to promote love, sensuality, friendship, positive relationships of any kind, negotiations, peace.</t>
        </is>
      </c>
      <c r="AR90" t="inlineStr">
        <is>
          <t>Love, Peace, friendships</t>
        </is>
      </c>
      <c r="AS90" t="inlineStr">
        <is>
          <t>Goldstone</t>
        </is>
      </c>
      <c r="AT90"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90" t="inlineStr">
        <is>
          <t>Hope, protection.</t>
        </is>
      </c>
      <c r="AV90" t="inlineStr">
        <is>
          <t>Jade (jadeite)</t>
        </is>
      </c>
      <c r="AW90"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90" t="inlineStr">
        <is>
          <t>Concentration, unconditional love, concentration, Fidelity, Harmony, Healing, justice, Protection, Luck, beauty, energy, stress relief, perspective, wisdom, growth.</t>
        </is>
      </c>
      <c r="AY90" t="inlineStr">
        <is>
          <t>Ylang Ylang</t>
        </is>
      </c>
      <c r="AZ90" t="inlineStr">
        <is>
          <t>SEX MAGIC, Protection, LOVE &amp; PEACE, CLEARING NEGATIVITY</t>
        </is>
      </c>
      <c r="BA90" t="inlineStr">
        <is>
          <t>Peace, ENTHUSIASM, Happiness, UPLIFTMENT</t>
        </is>
      </c>
      <c r="BB90"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90" t="inlineStr">
        <is>
          <t>Thyme</t>
        </is>
      </c>
      <c r="BD90" t="inlineStr">
        <is>
          <t>Healing, Love, Purification, Confidence</t>
        </is>
      </c>
      <c r="BE90" t="inlineStr">
        <is>
          <t>Harmony, STRENGTHENS, SUPP, Amulets/talismans</t>
        </is>
      </c>
      <c r="BF90" t="inlineStr">
        <is>
          <t>In the stories of the knights, Thyme was the herb of bravery. Before a battle, they would wear a sprig of thyme near their hearts, believing the herb would gift them the heart of a lion and ensure their courage never failed when the steel was drawn.</t>
        </is>
      </c>
      <c r="BG90" t="inlineStr">
        <is>
          <t>Vanilla</t>
        </is>
      </c>
      <c r="BH90" t="inlineStr">
        <is>
          <t>MENTAL POWERS, LOVING &amp; LUSTFUL ENERGIES</t>
        </is>
      </c>
      <c r="BI90" t="inlineStr">
        <is>
          <t>SOOTHES NERVES, CALMS, RELAXES</t>
        </is>
      </c>
      <c r="BJ90"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L90" t="inlineStr">
        <is>
          <t>VIOLET LEAVES</t>
        </is>
      </c>
      <c r="BM90" s="42" t="inlineStr">
        <is>
          <t>Water and fairy-touched, where the gentle and the psychic meet. Good luck carried in its small face. Prophetic dreams invited in, divination deepened. Faithfulness held, protection maintained. Love spells deepened in lavender's company. The flower that connects to what is hidden.</t>
        </is>
      </c>
    </row>
    <row r="91" ht="409.5" customHeight="1" s="56">
      <c r="A91" t="inlineStr">
        <is>
          <t>VIOLET</t>
        </is>
      </c>
      <c r="B91" t="inlineStr">
        <is>
          <t>LITTLE FACES</t>
        </is>
      </c>
      <c r="C91" t="inlineStr">
        <is>
          <t>Viola odorata</t>
        </is>
      </c>
      <c r="D91" t="inlineStr">
        <is>
          <t>Love (with lavender), Good luck, Prophetic dreams, Divination, Prosperity, Protection, Faithfulness, Love, Wishes, Peace, Healing, Banishing, Spell-breaking, Reversing harmful spells, Breaking spells, Hex breaking, Removing hexes, Removing curses, Removing jinxes, Removing bad luck, Breaking hexes, Returning hexes, hex-breaking, Removing hexes and curses, Removing a jinx, Luck, Good luck in family matters, Fortune, Casino luck, Wish magick, Carrying wishes, Transmuting wishes, Invoking dreams, Dream work, Dreams, Visions, Seeing the unseen, Seeing manifestations, Truth, Honesty, Removing deception, Subconscious work, Digging into the subconscious, Uprooting what is hidden, Scrying, Dowsing, Treasure seeking, Lost object finding, Enhancing divination, Divinatory incense, Foretelling the future, Future divination, Prophecy,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Fidelity, Loyalty, Promoting fidelity, Ensuring a lover returns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91" t="inlineStr">
        <is>
          <t>MOTHER GODDESS, CERES, CERNUNNOS</t>
        </is>
      </c>
      <c r="F91" t="inlineStr">
        <is>
          <t>VENUS</t>
        </is>
      </c>
      <c r="G91" t="inlineStr">
        <is>
          <t>EARTH</t>
        </is>
      </c>
      <c r="H91" t="inlineStr">
        <is>
          <t>FEMININE</t>
        </is>
      </c>
      <c r="I91" t="inlineStr">
        <is>
          <t>Friday</t>
        </is>
      </c>
      <c r="J91" t="inlineStr">
        <is>
          <t>MOTHER GODDESS, CERES</t>
        </is>
      </c>
      <c r="K91" t="inlineStr">
        <is>
          <t>OSTARA, BELTANE</t>
        </is>
      </c>
      <c r="L91" t="inlineStr">
        <is>
          <t>Dreaming of violets means life is about to change for the better.</t>
        </is>
      </c>
      <c r="M91" t="inlineStr">
        <is>
          <t>Carrying violet flowers on the person brings good luck, and putting the flowers in dream pillows enhances prophetic dreams and divination. Violets can also be used in spells for good luck, money, protection, faithfulness, lust, wishes, peace, and healing, particularly after a relationship break-up.</t>
        </is>
      </c>
      <c r="N91" t="inlineStr">
        <is>
          <t>Used in love rituals and fairy magic. Placed on altars at Ostara; carried as a charm to connect with the spirit world.</t>
        </is>
      </c>
      <c r="O91" t="inlineStr">
        <is>
          <t>The most well-known magical use seems to be that when mixed with lavender in a sachet, it makes a strong love combination. Carrying violet flowers on the person brings good luck, and putting the flowers in dream pillows enhances prophetic dreams and divination. Violets can also be used in spells for good luck, money, protection, faithfulness, lust, wishes, peace, and healing, particularly after a relationship break-up. Use the leaves to absorb evil spells and ill will.</t>
        </is>
      </c>
      <c r="P91" t="inlineStr">
        <is>
          <t>Ylang Ylang</t>
        </is>
      </c>
      <c r="Q91" t="inlineStr">
        <is>
          <t>Europe, Asia (Sunny, dry areas)</t>
        </is>
      </c>
      <c r="R91" t="inlineStr">
        <is>
          <t>Generally considered safe for most uses. Always use in moderation.</t>
        </is>
      </c>
      <c r="AM91" t="inlineStr">
        <is>
          <t>chrysophase</t>
        </is>
      </c>
      <c r="AN91" t="inlineStr">
        <is>
          <t>Can be w, n to lift the emotions, to banish greed, envy, selfishness, tension, stress. A lucky stone, it is w, n f, eloquence, success in new undertakings, to attract friends. To attract money, cary a smal piece with you at all times utilise it as a general sheild against negativity..</t>
        </is>
      </c>
      <c r="AO91" t="inlineStr">
        <is>
          <t>Happiness, lick, Prosperity, Friendship, Protection, Healing</t>
        </is>
      </c>
      <c r="AP91" t="inlineStr">
        <is>
          <t>Emerald</t>
        </is>
      </c>
      <c r="AQ91" t="inlineStr">
        <is>
          <t>Most of us have trouble living in the magical moment of ‘now’ because we are so busy brooding over the past, dreaming about the future. Teaches us to focus our attention in the present, live every moment to the fullest, making the most of the gifts we have. W, king with the stone can remind us how to move through Time with ease, allowing us to w, k m, e powerfully on the astral realms, access the Akashic Rec, Midsummer, meet with the beings that inhabit other w, lds. Sacred to Venus, Emerald is used in many love spells, especially to encourage faithfulness, bring back a straying lover. It is said that the stone will crack, fade if your lover is unfaithful. In love, sex magic it encourages passion, arousal, releases inhibitions. As a talisman it protects against violence, abuse, rape, is powerful f, healing the trauma of such attacks.  Increases your intuitive, prophetic powers, mem, Clairvoyance, eloquence, communication skills. Wearing the stone, drinking the elixir will help you get the best results from any psychic, magical exercises.</t>
        </is>
      </c>
      <c r="AR91" t="inlineStr">
        <is>
          <t>Psychic awareness, meditation, Divination, Peace, sleep, Healing, Love, friendship, protection from evil, business success, mem, Clairvoyance, recognition, faith, Fertility, serenity, underst, Attracting good spirits, balance. Represents Time, the astral planes</t>
        </is>
      </c>
      <c r="AS91" t="inlineStr">
        <is>
          <t>Malachite</t>
        </is>
      </c>
      <c r="AT91" t="inlineStr">
        <is>
          <t>Malachite is believed to bring good luck, Anti-theft, tune to anyone travelling by sea, especially expl, ers, adventurers. A stone cut into a triangle protects against the evil eye, can be used in spells to attract lovers. Can help you become m, e creative by helping you realise the w, th of your talents while being flexible enough to make the best use of them. The stone is well known f, its ability to turn aside mental, magical attacks. Malachite is linked with the magical Will, can be used in spells, meditation to strengthen that skill, increase your personal power, confidence.</t>
        </is>
      </c>
      <c r="AU91" t="inlineStr">
        <is>
          <t>Strength, Prosperity, inspiration, releasing pain, anger, concentration, travel protection, Healing, sleep, psychic visions, overcoming negativity &amp; depression, business success, protection from physical danger, emotional maturity, Fertility, wisdom</t>
        </is>
      </c>
      <c r="AV91" t="inlineStr">
        <is>
          <t>Peridot</t>
        </is>
      </c>
      <c r="AW91" t="inlineStr">
        <is>
          <t>Used in magic to increase intuition, Increasing wealth, k with dream states, undertake shamanic journeys, encourage astral travel. W, n at night it protects against nightmare, night hags, vampires. Peridot is an excellent stone f, emotional healing, is said to rest, e the missing, damaged fragments of a person’s soul so that they can find happiness, contentment. Wear Peridot to stave off foolishness, protect against madness, to help you keep your wits about you in challenging situations.</t>
        </is>
      </c>
      <c r="AX91" t="inlineStr">
        <is>
          <t>Prosperity, growth, Purification, Harmony, Divination, compassion, Cleansing, protection against nightmares, anger management, overcoming nervousness, Fertility, friendship, Healing, repairing relationships, reducing stress, focus.</t>
        </is>
      </c>
      <c r="AY91" t="inlineStr">
        <is>
          <t>Ylang Ylang</t>
        </is>
      </c>
      <c r="AZ91" t="inlineStr">
        <is>
          <t>SEX MAGIC, Protection, LOVE &amp; PEACE, CLEARING NEGATIVITY</t>
        </is>
      </c>
      <c r="BA91" t="inlineStr">
        <is>
          <t>Peace, ENTHUSIASM, Happiness, UPLIFTMENT</t>
        </is>
      </c>
      <c r="BB91"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91" t="inlineStr">
        <is>
          <t>Apple</t>
        </is>
      </c>
      <c r="BD91" t="inlineStr">
        <is>
          <t>Love, Happiness, WISDOM IN MAGICK</t>
        </is>
      </c>
      <c r="BE91" t="inlineStr">
        <is>
          <t>UPLIFTING</t>
        </is>
      </c>
      <c r="BF91"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BG91" t="inlineStr">
        <is>
          <t>Thyme</t>
        </is>
      </c>
      <c r="BH91" t="inlineStr">
        <is>
          <t>Healing, Love, Purification, Confidence</t>
        </is>
      </c>
      <c r="BI91" t="inlineStr">
        <is>
          <t>Harmony, STRENGTHENS, SUPP, Amulets/talismans</t>
        </is>
      </c>
      <c r="BJ91" t="inlineStr">
        <is>
          <t>In the stories of the knights, Thyme was the herb of bravery. Before a battle, they would wear a sprig of thyme near their hearts, believing the herb would gift them the heart of a lion and ensure their courage never failed when the steel was drawn.</t>
        </is>
      </c>
      <c r="BL91" t="inlineStr">
        <is>
          <t>VIOLET</t>
        </is>
      </c>
      <c r="BM91" s="42" t="inlineStr">
        <is>
          <t>Earth and the fairy realm, love in its softer most faithful form. Good luck and prophetic dreams both carried. Divination and prosperity find it willing. Faithfulness held. The flower that connects to what is beautiful and barely visible — quietly magical.</t>
        </is>
      </c>
    </row>
    <row r="92" ht="409.5" customHeight="1" s="56">
      <c r="A92" t="inlineStr">
        <is>
          <t>WHEAT GRAINS</t>
        </is>
      </c>
      <c r="B92" t="inlineStr">
        <is>
          <t>WINTERS BLOOM BARK</t>
        </is>
      </c>
      <c r="C92" t="inlineStr">
        <is>
          <t>Triticum aestivum</t>
        </is>
      </c>
      <c r="D92" t="inlineStr">
        <is>
          <t>Moon magic, love, healing, protection, and grief work. Carry willow bark to ease the pain of grief and unrequited love. Use in moon rituals and Esbat workings. The bark is used in wand-making for lunar and healing wands. Add to healing sachets and protective bags. Use in spells for acceptance and letting go., Love magick, Love drawing, Attracting love, Love-attracting rituals, Inviting love, Inducing love, Love charms, Love enchantment, Finding love, Romantic love ceremonies, PROMOTE LOVE &amp; AFFECTION, LOVE &amp; PEACE, Spiritual love, Love rituals, Star magick,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92" t="inlineStr">
        <is>
          <t>ARTEMIS, CERES, HECATE, PERSPHONE, HERA, PISCES</t>
        </is>
      </c>
      <c r="F92" t="inlineStr">
        <is>
          <t>MOON</t>
        </is>
      </c>
      <c r="G92" t="inlineStr">
        <is>
          <t>WATER</t>
        </is>
      </c>
      <c r="H92" t="inlineStr">
        <is>
          <t>FEMININE</t>
        </is>
      </c>
      <c r="I92" t="inlineStr">
        <is>
          <t>Monday</t>
        </is>
      </c>
      <c r="J92" t="inlineStr">
        <is>
          <t>ARTEMIS, CERES, HECATE</t>
        </is>
      </c>
      <c r="K92" t="inlineStr">
        <is>
          <t>IMBOLC, SAMHAIN</t>
        </is>
      </c>
      <c r="L92" t="inlineStr">
        <is>
          <t>The willow has been associated with grief, love, and the moon across cultures. In Chinese mythology the willow was planted on graves to capture the souls of the dead. Shakespeare's Ophelia drowned beneath a willow. Orpheus carried willow branches into the underworld. The word 'witch' shares its etymology with 'wicker' and 'willow' — the tree of the wise woman.</t>
        </is>
      </c>
      <c r="M92" t="inlineStr">
        <is>
          <t>Moon magic, love, healing, protection, and grief work. Used in harvest rituals and as offerings at Lammas and Samhain.</t>
        </is>
      </c>
      <c r="N92" t="inlineStr">
        <is>
          <t>Used in harvest rituals, moon magic, and as offerings at Lammas and Samhain. Placed on altars to honour grain deities and the cycle of death and rebirth.</t>
        </is>
      </c>
      <c r="O92" t="inlineStr">
        <is>
          <t>Wheat is the most revered of the Seven Sacred Grains and represents fruitfulness, bounty, and rebirth. Because wheat fields seem to replenish themselves, the golden plant represented a cycle of resurrection into light again. Many funeral rites contain offerings of wheat as part of the ceremonies. Sheaves of wheat are a well-known symbol of prosperity.</t>
        </is>
      </c>
      <c r="P92" t="inlineStr">
        <is>
          <t>Melissa</t>
        </is>
      </c>
      <c r="Q92" t="inlineStr">
        <is>
          <t>Northern Hemisphere (Meadows, roadsides)</t>
        </is>
      </c>
      <c r="R92" t="inlineStr">
        <is>
          <t>Generally safe. Avoid if you have coeliac disease or gluten intolerance.</t>
        </is>
      </c>
      <c r="AM92" t="inlineStr">
        <is>
          <t>Aquamarine</t>
        </is>
      </c>
      <c r="AN92"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92" t="inlineStr">
        <is>
          <t>Psychism, Peace, Confidence, Purification</t>
        </is>
      </c>
      <c r="AP92" t="inlineStr">
        <is>
          <t>Calcite</t>
        </is>
      </c>
      <c r="AQ92"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92" t="inlineStr">
        <is>
          <t>Luck, Prosperity, problem resolution, gambling, Healing, creativity, business success, attracting love.</t>
        </is>
      </c>
      <c r="AS92" t="inlineStr">
        <is>
          <t>Quartz Clear</t>
        </is>
      </c>
      <c r="AT92"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92" t="inlineStr">
        <is>
          <t>Protection, Healing, psychism, Strength, lactation</t>
        </is>
      </c>
      <c r="AV92" t="inlineStr">
        <is>
          <t>Moonstone</t>
        </is>
      </c>
      <c r="AW92"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92"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92" t="inlineStr">
        <is>
          <t>Melissa</t>
        </is>
      </c>
      <c r="AZ92" t="inlineStr">
        <is>
          <t>Love, Healing, Prosperity</t>
        </is>
      </c>
      <c r="BA92" t="inlineStr">
        <is>
          <t>GENTLENESS, Peace, PROGRESSIVENESS</t>
        </is>
      </c>
      <c r="BB92" t="inlineStr">
        <is>
          <t>Called the 'Bee’s Delight,' it is said that if you hold a leaf of Melissa in your hand, bees will not sting you. The plant was gifted to humans by the bees themselves, who wanted to share the secret of their own contentment and the sweet hum of life.</t>
        </is>
      </c>
      <c r="BC92" t="inlineStr">
        <is>
          <t>Honeysuckle</t>
        </is>
      </c>
      <c r="BD92" t="inlineStr">
        <is>
          <t>INCREASE PSYCHIC ABILITIES, INCREASE MONEY, Protection</t>
        </is>
      </c>
      <c r="BE92" t="inlineStr">
        <is>
          <t>RELAXING, SOOTHING, UPLIFTING, PSYCHIC POWERS</t>
        </is>
      </c>
      <c r="BF92" t="inlineStr">
        <is>
          <t>In the language of the fae, honeysuckle is known as the 'honey of the woods.' It is said that if you place a blossom under your pillow, you will dream of the location of hidden treasures—not just of gold, but of lost loves and forgotten truths.</t>
        </is>
      </c>
      <c r="BG92" t="inlineStr">
        <is>
          <t>Rose</t>
        </is>
      </c>
      <c r="BH92" t="inlineStr">
        <is>
          <t>Peace, Protection, Luck, PROMOTE LOVE &amp; AFFECTION</t>
        </is>
      </c>
      <c r="BI92" t="inlineStr">
        <is>
          <t>BALANCING, STRENGTHENING, Attracting good spirits</t>
        </is>
      </c>
      <c r="BJ92"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K92" t="inlineStr">
        <is>
          <t>PISCES</t>
        </is>
      </c>
      <c r="BL92" t="inlineStr">
        <is>
          <t>WHEAT GRAINS</t>
        </is>
      </c>
      <c r="BM92" s="42" t="inlineStr">
        <is>
          <t>Moon and harvest, the most ancient of all offerings. Love, healing and protection carried in its fullness. Grief work gentled. Lammas and Samhain both find it essential on the altar. The earth's own gift — simple, profound, irreplaceable.</t>
        </is>
      </c>
    </row>
    <row r="93" ht="409.5" customHeight="1" s="56">
      <c r="A93" t="inlineStr">
        <is>
          <t>WILLOW BARK</t>
        </is>
      </c>
      <c r="B93" t="inlineStr">
        <is>
          <t>WITCHES ASPRIN</t>
        </is>
      </c>
      <c r="C93" t="inlineStr">
        <is>
          <t>Salix alba</t>
        </is>
      </c>
      <c r="D93" t="inlineStr">
        <is>
          <t>Protection, healing, luck, and hex-breaking. Place wintergreen in the home to attract good fortune and protect against ill-wishing. Used in healing rituals, particularly for long-standing conditions. The refreshing scent is used to clear stale, negative energy from a space. Add to lucky sachets and charm bags for persistent good fortune., Protective charm, Protective charms, Protective sachets, Protective wreaths, Protective incense, PROTECT AGAINST NEGATIVITY, Protection from negativity, Circle protection</t>
        </is>
      </c>
      <c r="E93" t="inlineStr">
        <is>
          <t>CRONUS, CAPRICORN, AQUARIUS</t>
        </is>
      </c>
      <c r="F93" t="inlineStr">
        <is>
          <t>SATURN</t>
        </is>
      </c>
      <c r="G93" t="inlineStr">
        <is>
          <t>EARTH</t>
        </is>
      </c>
      <c r="H93" t="inlineStr">
        <is>
          <t>FEMININE</t>
        </is>
      </c>
      <c r="I93" t="inlineStr">
        <is>
          <t>SATURDAY</t>
        </is>
      </c>
      <c r="J93" t="inlineStr">
        <is>
          <t>ALL LUNAR GODDESSES, ARTEMIS, HECATE</t>
        </is>
      </c>
      <c r="K93" t="inlineStr">
        <is>
          <t>SAMHAIN, YULE</t>
        </is>
      </c>
      <c r="L93" t="inlineStr">
        <is>
          <t>Wintergreen was used extensively by Native American peoples — the Iroquois used it in ceremony and healing, and its oil was one of the first analgesic medicines widely traded in North America. In folk magic it was believed that a house where wintergreen was kept could never be cursed, and that it would slowly drive out any negativity already present.</t>
        </is>
      </c>
      <c r="M93" t="inlineStr">
        <is>
          <t>Healing, love, protection, and grief magic. Carry willow bark to ease sorrow; used in moon magic and hex-breaking.</t>
        </is>
      </c>
      <c r="N93" t="inlineStr">
        <is>
          <t>Used in moon magic rituals and grief ceremonies. Place on altars to honour lunar goddesses; burn to commune with spirits of the departed.</t>
        </is>
      </c>
      <c r="O93" t="inlineStr">
        <is>
          <t>White willow bark is a patron herb of communication. Willow wands are used in healing rituals. Use it to bring the blessings of the moon. It is sacred to all deities of the other worlds and may be used as a funeral herb.</t>
        </is>
      </c>
      <c r="P93" t="inlineStr">
        <is>
          <t>Patchouli</t>
        </is>
      </c>
      <c r="Q93" t="inlineStr">
        <is>
          <t>North America (Damp woodlands)</t>
        </is>
      </c>
      <c r="R93" t="inlineStr">
        <is>
          <t>Warning: Contains salicylates — avoid if allergic to aspirin. Do not give to children. Avoid during pregnancy.</t>
        </is>
      </c>
      <c r="AM93" t="inlineStr">
        <is>
          <t>Jet</t>
        </is>
      </c>
      <c r="AN93" t="inlineStr">
        <is>
          <t>Represents the power of the Goddess, the mystery of the night in which the silver Moon is Queen. Can be polished to a high sheen with brass polish (, a bit of elbow grease!), flat pieces of Jet make excellent magic mirr, s that can be used in scrying, divination to gain Underw, ld knowledge. Wear it in honour of the Mighty Dead, to speak with Underw, ld deities. Helpful f, those who find it hard to make firm decisions. Increases shamanic powers, especially the power to travel between planes. Acc, ding to an early writer Jet has eight virtues – it protects from st, Negating dreams, lightning, prevents poisoning, defends against s, cery, banishes demons from any home in which it is kept, an elixir given to one possessed by the ‘hateful fiend’ will reveal this, release them, a potion of it will rest, e health, the same potion rest, es a ‘smooth body’, whosoever takes the potion is immune to snakebite. Sacred to Cybele, the Mother goddess of Greek, Rome ~ hold a piece of Jet in your h, Amulets/talismans, you can ask her f, a favour.I</t>
        </is>
      </c>
      <c r="AO93" t="inlineStr">
        <is>
          <t>Purification, psychic protection, virility, control, Luck, Healing, Divination, protection from illness &amp; violence, guarding against nightmares.</t>
        </is>
      </c>
      <c r="AP93" t="inlineStr">
        <is>
          <t>obsidian snowflake</t>
        </is>
      </c>
      <c r="AQ93" t="inlineStr">
        <is>
          <t>It develops intuition, Divination, ability to f, esee future events. Obsidian protects from "evil eye", "bedevilling", Amulets/talismans, cery, damnations, other magic, protects its wearer in long trips, rest, es composure of after unf, tunate love, guards from infidelity. In the real life, Obsidian protects from any mischief, suppresses aggressive energy, sharpens mind, removes stress. Obsidian is a stone of prudence. When w, n constantly, Obsidian may f, ce its wearer to reduce his activity, make him inert. It is a magic stone. Any magician has an Obsidian stone to concentrate astral f, Samhain/ancestral altars, to grant vict, y over astral spirits.</t>
        </is>
      </c>
      <c r="AR93" t="inlineStr">
        <is>
          <t>Grounds spiritual energy to the physical plane, abs, bs negativity, enhances serenity</t>
        </is>
      </c>
      <c r="AY93" t="inlineStr">
        <is>
          <t>Patchouli</t>
        </is>
      </c>
      <c r="AZ93" t="inlineStr">
        <is>
          <t>Fertility, Love, Prosperity, RAISE SEXUAL ENERGY</t>
        </is>
      </c>
      <c r="BA93" t="inlineStr">
        <is>
          <t>ASTUTENESS, REASONABLENESS, STIMULATION, Aphrodisiac</t>
        </is>
      </c>
      <c r="BB93"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BC93" t="inlineStr">
        <is>
          <t>Cedarwood</t>
        </is>
      </c>
      <c r="BD93" t="inlineStr">
        <is>
          <t>Purification, Protection, RID OF BAD DREAMS, Prosperity</t>
        </is>
      </c>
      <c r="BE93" t="inlineStr">
        <is>
          <t>New beginnings, REGROWTH, CALMING &amp; COMF, Attracting good spirits, STRENGTHENING</t>
        </is>
      </c>
      <c r="BF93"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93" t="inlineStr">
        <is>
          <t>Geranium</t>
        </is>
      </c>
      <c r="BH93" t="inlineStr">
        <is>
          <t>Love, Fertility, Healing, Protection</t>
        </is>
      </c>
      <c r="BI93" t="inlineStr">
        <is>
          <t>ASSURANCE, Harmony, Peace, ANTI-DEPRESSANT</t>
        </is>
      </c>
      <c r="BJ93"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BK93" t="inlineStr">
        <is>
          <t>CAPRICORN, AQUARIUS</t>
        </is>
      </c>
      <c r="BL93" t="inlineStr">
        <is>
          <t>WILLOW BARK</t>
        </is>
      </c>
      <c r="BM93" s="42" t="inlineStr">
        <is>
          <t>Earth and the moon's own grief work. Healing and love carried in its pale wood. Hex-breaking made possible. Moon magic and sorrow eased. What has been lost drawn gently back. The tree that bends without breaking — resilience in any working that asks for it.</t>
        </is>
      </c>
    </row>
    <row r="94" ht="409.5" customHeight="1" s="56">
      <c r="A94" t="inlineStr">
        <is>
          <t>WINTERGREEN</t>
        </is>
      </c>
      <c r="B94" t="inlineStr">
        <is>
          <t>DEAR BERRY</t>
        </is>
      </c>
      <c r="C94" t="inlineStr">
        <is>
          <t>Gaultheria procumbens</t>
        </is>
      </c>
      <c r="D94" t="inlineStr">
        <is>
          <t>Protection, healing, and dowsing/divination. Witch hazel branches are the traditional wood for dowsing rods used to find water and lost objects. Used to protect against hexes and curses. Add to healing sachets for skin-related complaints. The bark is used in wand-making for dowsing wands. Carry to mend a broken heart., Protective charm, Protective charms, Protective sachets, Protective wreaths, Protective incense, PROTECT AGAINST NEGATIVITY, Protection from negativity, Circle protection</t>
        </is>
      </c>
      <c r="E94" t="inlineStr">
        <is>
          <t>SAMHAIN, ARIADNE, HELIOS, SOL, LEO</t>
        </is>
      </c>
      <c r="F94" t="inlineStr">
        <is>
          <t>SUN</t>
        </is>
      </c>
      <c r="G94" t="inlineStr">
        <is>
          <t>FIRE</t>
        </is>
      </c>
      <c r="H94" t="inlineStr">
        <is>
          <t>MASCULINE</t>
        </is>
      </c>
      <c r="I94" t="inlineStr">
        <is>
          <t>SUNDAY</t>
        </is>
      </c>
      <c r="J94" t="inlineStr">
        <is>
          <t>SOL</t>
        </is>
      </c>
      <c r="K94" t="inlineStr">
        <is>
          <t>SAMHAIN</t>
        </is>
      </c>
      <c r="L94" t="inlineStr">
        <is>
          <t>The name Witch Hazel comes from Old English wice, meaning pliant or bendable — not from witchcraft — though it became deeply associated with magical use. Native American tribes used witch hazel branches as divining rods and the bark to treat wounds. Its seed pods snap open explosively to scatter seeds — the 'snapping hazel' of its old name.</t>
        </is>
      </c>
      <c r="M94" t="inlineStr">
        <is>
          <t>Protection, healing, hex breaking, contacting other planes, good luck, and money.</t>
        </is>
      </c>
      <c r="N94" t="inlineStr">
        <is>
          <t>altar they call good spirits to witness and aid your magic.</t>
        </is>
      </c>
      <c r="O94" t="inlineStr">
        <is>
          <t>Protection, healing, hex breaking, contacting other planes, good luck, and money. Use to remove a jinx. Also used for protecting children. Wintergreen is placed in children's pillows to protect them and grant them good fortune throughout their lives. When sprinkled in the home it removes hexes and curses, especially when mixed with mint. Wintergreen is also utilised in healing spells, and when fresh sprigs are placed on the altar they call good spirits to witness and aid your magic.</t>
        </is>
      </c>
      <c r="P94" t="inlineStr">
        <is>
          <t>Tea Tree</t>
        </is>
      </c>
      <c r="Q94" t="inlineStr">
        <is>
          <t>Mediterranean (Rocky slopes)</t>
        </is>
      </c>
      <c r="R94" t="inlineStr">
        <is>
          <t>Warning: Prolonged internal intake can be detrimental. The essential oil is toxic — do not ingest.</t>
        </is>
      </c>
      <c r="AM94" t="inlineStr">
        <is>
          <t>Ametrine</t>
        </is>
      </c>
      <c r="AN94" t="inlineStr">
        <is>
          <t>Combines mental clarity with strength of will, making it a very powerful stone f, any magic user.</t>
        </is>
      </c>
      <c r="AO94" t="inlineStr">
        <is>
          <t>Astral travel, magickal power, meditation, removing negativity.</t>
        </is>
      </c>
      <c r="AP94" t="inlineStr">
        <is>
          <t>Carnelian</t>
        </is>
      </c>
      <c r="AQ94"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94" t="inlineStr">
        <is>
          <t>Happiness, Protection, energy, easing depression, promoting self-confidence, Peace, concentration, focus, Attraction, sexuality, Love, Healing, courage.</t>
        </is>
      </c>
      <c r="AS94" t="inlineStr">
        <is>
          <t>Citrine</t>
        </is>
      </c>
      <c r="AT94"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94"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94" t="inlineStr">
        <is>
          <t>Quartz Clear</t>
        </is>
      </c>
      <c r="AW94"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94" t="inlineStr">
        <is>
          <t>Protection, Healing, psychism, Strength, lactation</t>
        </is>
      </c>
      <c r="AY94" t="inlineStr">
        <is>
          <t>Tea Tree</t>
        </is>
      </c>
      <c r="AZ94" t="inlineStr">
        <is>
          <t>Strength</t>
        </is>
      </c>
      <c r="BA94" t="inlineStr">
        <is>
          <t>MEDICINAL</t>
        </is>
      </c>
      <c r="BB94"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C94" t="inlineStr">
        <is>
          <t>Cedarwood</t>
        </is>
      </c>
      <c r="BD94" t="inlineStr">
        <is>
          <t>Purification, Protection, RID OF BAD DREAMS, Prosperity</t>
        </is>
      </c>
      <c r="BE94" t="inlineStr">
        <is>
          <t>New beginnings, REGROWTH, CALMING &amp; COMF, Attracting good spirits, STRENGTHENING</t>
        </is>
      </c>
      <c r="BF94"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94" t="inlineStr">
        <is>
          <t>Frankincense</t>
        </is>
      </c>
      <c r="BH94" t="inlineStr">
        <is>
          <t>Luck, Protection, SPIRITUALITY, PROTECT AGAINST NEGATIVITY, EXC, Exorcism</t>
        </is>
      </c>
      <c r="BI94" t="inlineStr">
        <is>
          <t>ENLIGHTENMENT, INSPIRATION, INTROSPECTION, AIDS MEDITATION</t>
        </is>
      </c>
      <c r="BJ94"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K94" t="inlineStr">
        <is>
          <t>LEO</t>
        </is>
      </c>
      <c r="BL94" t="inlineStr">
        <is>
          <t>WINTERGREEN</t>
        </is>
      </c>
      <c r="BM94" s="42" t="inlineStr">
        <is>
          <t>Fire herb of the deep winter forest, the green that endures the dark. Protection and healing held in its sharp scent. Good luck and money drawn in. Other planes contacted in its smoke. Good spirits called to witness. Where the working must endure through what is difficult.</t>
        </is>
      </c>
    </row>
    <row r="95" ht="403.5" customHeight="1" s="56">
      <c r="A95" t="inlineStr">
        <is>
          <t>WITCH HAZEL BARK</t>
        </is>
      </c>
      <c r="B95" t="inlineStr">
        <is>
          <t>TOBACCO WOOD</t>
        </is>
      </c>
      <c r="C95" t="inlineStr">
        <is>
          <t>Hamamelis virginiana</t>
        </is>
      </c>
      <c r="D95" t="inlineStr">
        <is>
          <t>Protection, healing, divination, and mending heartbreak. The leaves carry the same magical properties as the bark — burn them to clear negative energies from a room. Place under the pillow to protect against nightmares. Use in healing rituals. Add to charm bags for protection against physical and psychic harm., Protective charm, Protective charms, Protective sachets, Protective wreaths, Protective incense, PROTECT AGAINST NEGATIVITY, Protection from negativity, Circle protection</t>
        </is>
      </c>
      <c r="E95" t="inlineStr">
        <is>
          <t>SAMHAIN, ARIADNE, HELIOS, SOL, LEO</t>
        </is>
      </c>
      <c r="F95" t="inlineStr">
        <is>
          <t>SUN</t>
        </is>
      </c>
      <c r="G95" t="inlineStr">
        <is>
          <t>FIRE</t>
        </is>
      </c>
      <c r="H95" t="inlineStr">
        <is>
          <t>MASCULINE</t>
        </is>
      </c>
      <c r="I95" t="inlineStr">
        <is>
          <t>SUNDAY</t>
        </is>
      </c>
      <c r="J95" t="inlineStr">
        <is>
          <t>SOL</t>
        </is>
      </c>
      <c r="K95" t="inlineStr">
        <is>
          <t>SAMHAIN</t>
        </is>
      </c>
      <c r="L95" t="inlineStr">
        <is>
          <t>The leaves of Witch Hazel were used by Algonquin peoples to treat swollen joints and inflamed skin. In folk magic, the leaves were placed between the pages of a journal to capture thoughts and dreams for later magical use. A pouch of dried leaves was said to attract the attention of a desired person.</t>
        </is>
      </c>
      <c r="M95" t="inlineStr">
        <is>
          <t>The Native Americans employed witch hazel not only as a healing plant, but as a cleansing plant, as its smoke and infusions were said to help drive away illnesses and negativity. It is often used in Afro-American conjuring as an herb of protection, or as a powerful de-hexing and exorcising herb.</t>
        </is>
      </c>
      <c r="N95" t="inlineStr">
        <is>
          <t>and mending heartbreak. The leaves carry the same magical properties as the bark — burn them to clear negative energies from a room. Place under the pillow to protect against nightmares. Use in healing rituals. Add to charm bags for protection against physical and psychic harm.</t>
        </is>
      </c>
      <c r="O95" t="inlineStr">
        <is>
          <t>Employed in modern magic, witch hazel is used as a protective and banishing herb. Very light decoctions of the herb are typically drunk as a means to heal or mend a broken heart, as well as to banish unwanted emotions or to bolster one's inherent psychical and divinatory abilities. The Native Americans employed witch hazel not only as a healing plant, but as a cleansing plant, as its smoke and infusions were said to help drive away illnesses and negativity. It is often used in Afro-American conjuring as an herb of protection, or as a powerful de-hexing and exorcising herb.</t>
        </is>
      </c>
      <c r="P95" t="inlineStr">
        <is>
          <t>Tea Tree</t>
        </is>
      </c>
      <c r="Q95" t="inlineStr">
        <is>
          <t>North America, China, Japan (Deciduous woodlands and forest edges)</t>
        </is>
      </c>
      <c r="R95" t="inlineStr">
        <is>
          <t>Warning: Prolonged internal intake of witch hazel can be detrimental to health.</t>
        </is>
      </c>
      <c r="AM95" t="inlineStr">
        <is>
          <t>Ametrine</t>
        </is>
      </c>
      <c r="AN95" t="inlineStr">
        <is>
          <t>Combines mental clarity with strength of will, making it a very powerful stone f, any magic user.</t>
        </is>
      </c>
      <c r="AO95" t="inlineStr">
        <is>
          <t>Astral travel, magickal power, meditation, removing negativity.</t>
        </is>
      </c>
      <c r="AP95" t="inlineStr">
        <is>
          <t>Carnelian</t>
        </is>
      </c>
      <c r="AQ95"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AR95" t="inlineStr">
        <is>
          <t>Happiness, Protection, energy, easing depression, promoting self-confidence, Peace, concentration, focus, Attraction, sexuality, Love, Healing, courage.</t>
        </is>
      </c>
      <c r="AS95" t="inlineStr">
        <is>
          <t>Citrine</t>
        </is>
      </c>
      <c r="AT95"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AU95"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V95" t="inlineStr">
        <is>
          <t>Quartz Clear</t>
        </is>
      </c>
      <c r="AW95"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X95" t="inlineStr">
        <is>
          <t>Protection, Healing, psychism, Strength, lactation</t>
        </is>
      </c>
      <c r="AY95" t="inlineStr">
        <is>
          <t>Tea Tree</t>
        </is>
      </c>
      <c r="AZ95" t="inlineStr">
        <is>
          <t>Strength</t>
        </is>
      </c>
      <c r="BA95" t="inlineStr">
        <is>
          <t>MEDICINAL</t>
        </is>
      </c>
      <c r="BB95"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BC95" t="inlineStr">
        <is>
          <t>Cedarwood</t>
        </is>
      </c>
      <c r="BD95" t="inlineStr">
        <is>
          <t>Purification, Protection, RID OF BAD DREAMS, Prosperity</t>
        </is>
      </c>
      <c r="BE95" t="inlineStr">
        <is>
          <t>New beginnings, REGROWTH, CALMING &amp; COMF, Attracting good spirits, STRENGTHENING</t>
        </is>
      </c>
      <c r="BF95"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G95" t="inlineStr">
        <is>
          <t>Frankincense</t>
        </is>
      </c>
      <c r="BH95" t="inlineStr">
        <is>
          <t>Luck, Protection, SPIRITUALITY, PROTECT AGAINST NEGATIVITY, EXC, Exorcism</t>
        </is>
      </c>
      <c r="BI95" t="inlineStr">
        <is>
          <t>ENLIGHTENMENT, INSPIRATION, INTROSPECTION, AIDS MEDITATION</t>
        </is>
      </c>
      <c r="BJ95"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BK95" t="inlineStr">
        <is>
          <t>LEO</t>
        </is>
      </c>
      <c r="BL95" t="inlineStr">
        <is>
          <t>WITCH HAZEL BARK</t>
        </is>
      </c>
      <c r="BM95" s="42" t="inlineStr">
        <is>
          <t>Fire and healing made tangible, the original dowsing wood. Protection and divination held in equal measure. Heartbreak found and mended. The smoke that cleanses as it reveals — the working made honest in its presence.</t>
        </is>
      </c>
    </row>
    <row r="96" ht="349.5" customHeight="1" s="56">
      <c r="A96" t="inlineStr">
        <is>
          <t>WITCH HAZEL LEAVES</t>
        </is>
      </c>
      <c r="B96" t="inlineStr">
        <is>
          <t>TOBACCO WOOD LEAVES</t>
        </is>
      </c>
      <c r="C96" t="inlineStr">
        <is>
          <t>Hamamelis virginiana</t>
        </is>
      </c>
      <c r="D96" t="inlineStr">
        <is>
          <t>Purification, Protection, Banishing, Consecration, Purifying ritual areas, Purifying  Purifying new homes, Purifying new homes, Purifying the home, Self-purification, Purifying ritual spaces, Purification rituals, Sanctifying an area, Dedicating sacred spaces, Creating sacred spaces,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96" t="inlineStr">
        <is>
          <t>Sun, Healing deities, Divination spirits</t>
        </is>
      </c>
      <c r="F96" t="inlineStr">
        <is>
          <t>Moon</t>
        </is>
      </c>
      <c r="G96" t="inlineStr">
        <is>
          <t>Water/Earth</t>
        </is>
      </c>
      <c r="H96" t="inlineStr">
        <is>
          <t>Masculine</t>
        </is>
      </c>
      <c r="I96" t="inlineStr">
        <is>
          <t>Sunday</t>
        </is>
      </c>
      <c r="J96" t="inlineStr">
        <is>
          <t>FILDIAS</t>
        </is>
      </c>
      <c r="K96" t="inlineStr">
        <is>
          <t>IMBOLC, SAMHAIN</t>
        </is>
      </c>
      <c r="L96" t="inlineStr">
        <is>
          <t>The leaves of Witch Hazel were used by Algonquin peoples to treat swollen joints and inflamed skin. In folk magic, the leaves were placed between the pages of a journal to capture thoughts and dreams for later magical use. A pouch of dried leaves was said to attract the attention of a desired person.</t>
        </is>
      </c>
      <c r="M96" t="inlineStr">
        <is>
          <t>The Native Americans employed witch hazel not only as a healing plant, but as a cleansing plant, as its smoke and infusions were said to help drive away illnesses and negativity. It is often used in Afro-American conjuring as an herb of protection, or as a powerful de-hexing and exorcising herb.</t>
        </is>
      </c>
      <c r="N96" t="inlineStr">
        <is>
          <t>Purification, Consecration</t>
        </is>
      </c>
      <c r="O96" t="inlineStr">
        <is>
          <t>Employed in modern magic, witch hazel is used as a protective and banishing herb. Very light decoctions of the herb are typically drunk as a means to heal or mend a broken heart, as well as to banish unwanted emotions or to bolster one's inherent psychical and divinatory abilities. The Native Americans employed witch hazel not only as a healing plant, but as a cleansing plant, as its smoke and infusions were said to help drive away illnesses and negativity. It is often used in Afro-American conjuring as an herb of protection, or as a powerful de-hexing and exorcising herb.</t>
        </is>
      </c>
      <c r="P96" t="inlineStr">
        <is>
          <t>Lemon</t>
        </is>
      </c>
      <c r="Q96" t="inlineStr">
        <is>
          <t>North America, China, Japan (Deciduous woodlands and forest edges)</t>
        </is>
      </c>
      <c r="R96" t="inlineStr">
        <is>
          <t>Warning: Prolonged internal intake of witch hazel can be detrimental to health. For external use only.</t>
        </is>
      </c>
      <c r="AM96" t="inlineStr">
        <is>
          <t>Aquamarine</t>
        </is>
      </c>
      <c r="AN96"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96" t="inlineStr">
        <is>
          <t>Psychism, Peace, Confidence, Purification</t>
        </is>
      </c>
      <c r="AP96" t="inlineStr">
        <is>
          <t>Calcite</t>
        </is>
      </c>
      <c r="AQ96"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96" t="inlineStr">
        <is>
          <t>Luck, Prosperity, problem resolution, gambling, Healing, creativity, business success, attracting love.</t>
        </is>
      </c>
      <c r="AS96" t="inlineStr">
        <is>
          <t>Howlite</t>
        </is>
      </c>
      <c r="AT96" t="inlineStr">
        <is>
          <t>Focusing on a piece of Howlite can assist in journeying outside the body, gaining insight from past lives. Placed on the third eye, it opens mem, ies of previous times, lifetimes.                                                                                                                                                                                                                                                                                                                                                                                      Howlite is best known f, it’s strong associations with self-awareness, creativity, improving one’s emotional well being, attitudes. It enhances character building, a sense of decency, encourages the development of desirable personal aspect.  In general, Howlite aids in dispelling anger, resentfulness, selfishness, allows one to look inside the f, answers. It also aids in communicating the negative emotions with a clearer emotional expression, which will always result in calmer ‘confrontations’.</t>
        </is>
      </c>
      <c r="AU96" t="inlineStr">
        <is>
          <t>Stress relief, anxiety, Peace, tension, artistic expression, creativity, eliminating selfishness, purity, spirituality  Patience, Peace &amp; Insomnia.</t>
        </is>
      </c>
      <c r="AV96" t="inlineStr">
        <is>
          <t>Moonstone</t>
        </is>
      </c>
      <c r="AW96"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96"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96" t="inlineStr">
        <is>
          <t>Lemon</t>
        </is>
      </c>
      <c r="AZ96" t="inlineStr">
        <is>
          <t>Purification, Love, FRIENDSHIP</t>
        </is>
      </c>
      <c r="BA96" t="inlineStr">
        <is>
          <t>AWARENESS, CLARITY, REJUVENATION, Peace</t>
        </is>
      </c>
      <c r="BB96" t="inlineStr">
        <is>
          <t>It was common practice in the Mediterranean to keep a bowl of lemons near the hearth. It was said that the lemon’s sourness could 'eat' the malice of visitors. If someone entered with a bitter heart, the lemon would absorb the negativity, keeping the family home sweet and secure.</t>
        </is>
      </c>
      <c r="BC96" t="inlineStr">
        <is>
          <t>Melissa</t>
        </is>
      </c>
      <c r="BD96" t="inlineStr">
        <is>
          <t>Love, Healing, Prosperity</t>
        </is>
      </c>
      <c r="BE96" t="inlineStr">
        <is>
          <t>GENTLENESS, Peace, PROGRESSIVENESS</t>
        </is>
      </c>
      <c r="BF96" t="inlineStr">
        <is>
          <t>Called the 'Bee’s Delight,' it is said that if you hold a leaf of Melissa in your hand, bees will not sting you. The plant was gifted to humans by the bees themselves, who wanted to share the secret of their own contentment and the sweet hum of life.</t>
        </is>
      </c>
      <c r="BG96" t="inlineStr">
        <is>
          <t>Patchouli</t>
        </is>
      </c>
      <c r="BH96" t="inlineStr">
        <is>
          <t>Fertility, Love, Prosperity, RAISE SEXUAL ENERGY</t>
        </is>
      </c>
      <c r="BI96" t="inlineStr">
        <is>
          <t>ASTUTENESS, REASONABLENESS, STIMULATION, Aphrodisiac</t>
        </is>
      </c>
      <c r="BJ96"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BL96" t="inlineStr">
        <is>
          <t>WITCH HAZEL LEAVES</t>
        </is>
      </c>
      <c r="BM96" s="42" t="inlineStr">
        <is>
          <t>Water and earth purification that goes into corners. Banishing made thorough. Ritual areas and new homes both cleansed deeply. Consecration deepened. The cleansing that does not leave anything half-done.</t>
        </is>
      </c>
    </row>
    <row r="97" ht="409.5" customHeight="1" s="56">
      <c r="A97" t="inlineStr">
        <is>
          <t>BLACK SALT</t>
        </is>
      </c>
      <c r="B97" t="inlineStr">
        <is>
          <t>WITCHES SALT</t>
        </is>
      </c>
      <c r="C97" t="inlineStr">
        <is>
          <t>Sal Negro</t>
        </is>
      </c>
      <c r="D97" t="inlineStr">
        <is>
          <t>Protection, Banishing, Purification, Warding, Removing hexes and curses, Absorbing negativity, Exorcism, Spirit work, Ancestor rituals, Binding, Samhain rituals,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Spell-breaking, Reversing harmful spells, Breaking spells, Hex breaking, Removing hexes, Removing curses, Removing jinxes, Removing bad luck, Breaking hexes, Returning hexes, hex-breaking, Removing a jinx, Luck, Good luck, Good luck in family matters, Fortune, Casino luck, WISHES, Wish magick, Carrying wishes, Transmuting wishes, Contacting planes, Contacting other planes, Communion with spirits, Communing with the departed, Communing with otherworldly entities, Nether-realm travel, Walking between worlds, SISM, contacting a specific person, Samhain/ancestral altars, Ancestral altars, Rituals for the dead, Honouring the dead, ancestral magic, ancestral memory, death rites, Death and rebirth rites, Necromancy, Peaceful transition for the dead, ancestors, Crone magic, Seeing past lives, Reincarnation, Reincarnation knowledge, Past lives, Mabon/Samhain, Mabon rituals, Samhain</t>
        </is>
      </c>
      <c r="E97" t="inlineStr">
        <is>
          <t>ARES, FREYA, MARS, ARIES</t>
        </is>
      </c>
      <c r="F97" t="inlineStr">
        <is>
          <t>MARS</t>
        </is>
      </c>
      <c r="G97" t="inlineStr">
        <is>
          <t>FIRE</t>
        </is>
      </c>
      <c r="H97" t="inlineStr">
        <is>
          <t>MASCULINE</t>
        </is>
      </c>
      <c r="I97" t="inlineStr">
        <is>
          <t>TUESDAY</t>
        </is>
      </c>
      <c r="J97" t="inlineStr">
        <is>
          <t>ARES</t>
        </is>
      </c>
      <c r="K97" t="inlineStr">
        <is>
          <t>SAMHAIN</t>
        </is>
      </c>
      <c r="L97" t="inlineStr">
        <is>
          <t>Sweet Woodruff blooms at Beltane and was traditionally used in May wine across Germany, its sweet vanilla-like scent (from coumarin) released on drying. Medieval knights wore it inside their armour for victory in battle and tournament. It was stuffed into mattresses to repel insects and promote restful sleep. Churches were strewn with it on feast days for its sweet-smelling, sacred fragrance.</t>
        </is>
      </c>
      <c r="M97" t="inlineStr">
        <is>
          <t>spirit callings, ancestor work, and Samhain rituals.</t>
        </is>
      </c>
      <c r="N97" t="inlineStr">
        <is>
          <t>Add a bit to floor washes to cleanse your home, front walkway, and ritual area of negativity. Use for spirit callings, ancestor work, and Samhain rituals.</t>
        </is>
      </c>
      <c r="O97" t="inlineStr">
        <is>
          <t>Keep in a dish under your bed or in a little bag under your pillow to negate bad dreams and ward off unwanted watchers or spirits. Cast a line across your doorways and windows to keep out evil, avoid unwanted company, and reflect slander or jealousy back to the source. Add a bit to floor washes to cleanse your home, front walkway, and ritual area of negativity. Add to bath water when feeling especially depressed, angry, or negative. Keep a bit on your person or in your workspace to deflect gossips, bullies, rude co-workers, and bad bosses. Add to war water, hot foot powder, graveyard dirt, and rattlesnake salt for extra potency. Sprinkle in an enemy's yard, office, or footsteps so that they will want to leave or move. Use to symbolise the waning moon, eclipses, and new moons — times for endings, binding work, trance, and uncrossing or removing curses. Use for spirit callings, ancestor work, and Samhain rituals.</t>
        </is>
      </c>
      <c r="P97" t="inlineStr">
        <is>
          <t>Pine</t>
        </is>
      </c>
      <c r="Q97" t="inlineStr">
        <is>
          <t>Mineral compound (worldwide — made from sea salt combined with charcoal or iron)</t>
        </is>
      </c>
      <c r="R97" t="inlineStr">
        <is>
          <t>Warning: Black salt is for ritual/magical use only. Do not ingest — it contains charcoal or ash.</t>
        </is>
      </c>
      <c r="AM97" t="inlineStr">
        <is>
          <t>Bloodstone</t>
        </is>
      </c>
      <c r="AN97"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AO97" t="inlineStr">
        <is>
          <t>Healing, Prosperity, Confidence, physical strength, stress relief, help in business, legal matters, revitalization, guidance, rain, ganization.</t>
        </is>
      </c>
      <c r="AP97" t="inlineStr">
        <is>
          <t>Garnet</t>
        </is>
      </c>
      <c r="AQ97"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AR97" t="inlineStr">
        <is>
          <t>Healing, cheery disposition, Confidence, Love, business success, past life regression, consistency of love &amp; friendship, travel protection, Happiness, Peace, Harmony, patience, inspiration, persistence, wisdom, fertility.</t>
        </is>
      </c>
      <c r="AS97" t="inlineStr">
        <is>
          <t>Pyrite (Fool's Gold)</t>
        </is>
      </c>
      <c r="AT97"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AU97" t="inlineStr">
        <is>
          <t>Logic, clarity, mem, Clairvoyance, Prosperity, will power, grounding, Harmony, Strength</t>
        </is>
      </c>
      <c r="AV97" t="inlineStr">
        <is>
          <t>Red Jasper</t>
        </is>
      </c>
      <c r="AW97"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AX97" t="inlineStr">
        <is>
          <t>Beauty, grace, increasing mental processes, Luck, easing pain of childbirth, Anti-theft, ming barrier against dangerous whims &amp; desires.</t>
        </is>
      </c>
      <c r="AY97" t="inlineStr">
        <is>
          <t>Pine</t>
        </is>
      </c>
      <c r="AZ97" t="inlineStr">
        <is>
          <t>PROSPERITY SPELLS, Prosperity</t>
        </is>
      </c>
      <c r="BA97" t="inlineStr">
        <is>
          <t>Harmony, Happiness, Strength</t>
        </is>
      </c>
      <c r="BB97"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97" t="inlineStr">
        <is>
          <t>Ginger</t>
        </is>
      </c>
      <c r="BD97" t="inlineStr">
        <is>
          <t>Prosperity, Healing, Love, Strength</t>
        </is>
      </c>
      <c r="BE97" t="inlineStr">
        <is>
          <t>Confidence, EMPATHY, LIBERATION, OPTIMISM, STRENGTHENS</t>
        </is>
      </c>
      <c r="BF97" t="inlineStr">
        <is>
          <t>It is said that Ginger grew where a drop of liquid sun hit the earth. Because of its fiery taste, it was believed to grant the eater the 'fire of the gut,' helping them digest not just food, but life experiences, turning bitterness into wisdom.</t>
        </is>
      </c>
      <c r="BG97" t="inlineStr">
        <is>
          <t>Cedarwood</t>
        </is>
      </c>
      <c r="BH97" t="inlineStr">
        <is>
          <t>Purification, Protection, RID OF BAD DREAMS, Prosperity</t>
        </is>
      </c>
      <c r="BI97" t="inlineStr">
        <is>
          <t>New beginnings, REGROWTH, CALMING &amp; COMF, Attracting good spirits, STRENGTHENING</t>
        </is>
      </c>
      <c r="BJ97"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BK97" t="inlineStr">
        <is>
          <t>ARIES</t>
        </is>
      </c>
      <c r="BL97" t="inlineStr">
        <is>
          <t>BLACK SALT</t>
        </is>
      </c>
      <c r="BM97" s="42" t="inlineStr">
        <is>
          <t>Fire and the deepest protective boundary. Negativity absorbed, what should not be present banished. Ancestor work and Samhain rituals find it essential. Spirit work and exorcism both strengthened in its dark presence. The boundary that nothing crosses.</t>
        </is>
      </c>
    </row>
    <row r="98" ht="409.5" customHeight="1" s="56">
      <c r="A98" t="inlineStr">
        <is>
          <t>WOODRUFF</t>
        </is>
      </c>
      <c r="B98" t="inlineStr">
        <is>
          <t>MASTER OF THE WOOD</t>
        </is>
      </c>
      <c r="C98" t="inlineStr">
        <is>
          <t>Galium odoratum</t>
        </is>
      </c>
      <c r="D98" t="inlineStr">
        <is>
          <t>Victory, protection, prosperity, and Beltane rituals. Carry woodruff to ensure success in all athletic and warrior endeavours. Used to attract money and good luck. Incorporated into Beltane celebrations., Success, victory in battle, Conquest, Overcoming opposition, Courtroom success, Legal matters, Justice</t>
        </is>
      </c>
      <c r="E98" t="inlineStr">
        <is>
          <t>MARS</t>
        </is>
      </c>
      <c r="F98" t="inlineStr">
        <is>
          <t>MARS</t>
        </is>
      </c>
      <c r="G98" t="inlineStr">
        <is>
          <t>AIR</t>
        </is>
      </c>
      <c r="H98" t="inlineStr">
        <is>
          <t>MASCULINE</t>
        </is>
      </c>
      <c r="I98" t="inlineStr">
        <is>
          <t>Tuesday</t>
        </is>
      </c>
      <c r="J98" t="inlineStr">
        <is>
          <t>ALL</t>
        </is>
      </c>
      <c r="K98" t="inlineStr">
        <is>
          <t>BELTANE</t>
        </is>
      </c>
      <c r="L98" t="inlineStr">
        <is>
          <t>Wormwood is the main flavouring of absinthe, the infamous green fairy liqueur associated with artists and visionaries in 19th century Paris. Its active compound thujone was believed to cause hallucinations — now known to be exaggerated but historically it inspired intense magical lore. The Greeks associated it with Artemis. In folk magic a bundle hung above the door was said to prevent fairies from entering and causing mischief.</t>
        </is>
      </c>
      <c r="M98" t="inlineStr">
        <is>
          <t>Divination, psychic enhancement, spirit summoning, and protection. Burn as incense to open psychic channels and enhance clairvoyance. Use in scrying rituals. Place near a crystal ball or scrying mirror to enhance visions. Add to flying ointments in small quantities (external use only — highly toxic internally). Protective against malevolent spirits when burned.</t>
        </is>
      </c>
      <c r="N98" t="inlineStr">
        <is>
          <t>used in rituals that honour gods associated with the woodland, such as Herne and Cernunnos, and in spells to stir male sexuality.</t>
        </is>
      </c>
      <c r="O98" t="inlineStr">
        <is>
          <t>This is a wonderful herb to incorporate into Beltane celebrations by wearing the leaves, decorating sacred space with sprigs of the leaves and flowers, or adding it to wreaths. Woodruff can be used in rituals that honour gods associated with the woodland, such as Herne and Cernunnos, and in spells to stir male sexuality. A herb of the spring, used to clear away the closeness and drabness of the winter months. Carry when wishing to turn over a new leaf or change your outlook, especially in springtime. Woodruff is carried to attract money and prosperity, and to bring victory to athletes and warriors.</t>
        </is>
      </c>
      <c r="P98" t="inlineStr">
        <is>
          <t>Pine</t>
        </is>
      </c>
      <c r="Q98" t="inlineStr">
        <is>
          <t>Europe, Western Asia, North Africa (Shaded woodlands, hedgerows)</t>
        </is>
      </c>
      <c r="R98" t="inlineStr">
        <is>
          <t>Warning: It is poisonous and should only be ingested in very small quantities if at all.</t>
        </is>
      </c>
      <c r="AY98" t="inlineStr">
        <is>
          <t>Pine</t>
        </is>
      </c>
      <c r="AZ98" t="inlineStr">
        <is>
          <t>PROSPERITY SPELLS, Prosperity</t>
        </is>
      </c>
      <c r="BA98" t="inlineStr">
        <is>
          <t>Harmony, Happiness, Strength</t>
        </is>
      </c>
      <c r="BB98"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BC98" t="inlineStr">
        <is>
          <t>Ginger</t>
        </is>
      </c>
      <c r="BD98" t="inlineStr">
        <is>
          <t>Prosperity, Healing, Love, Strength</t>
        </is>
      </c>
      <c r="BE98" t="inlineStr">
        <is>
          <t>Confidence, EMPATHY, LIBERATION, OPTIMISM, STRENGTHENS</t>
        </is>
      </c>
      <c r="BF98" t="inlineStr">
        <is>
          <t>It is said that Ginger grew where a drop of liquid sun hit the earth. Because of its fiery taste, it was believed to grant the eater the 'fire of the gut,' helping them digest not just food, but life experiences, turning bitterness into wisdom.</t>
        </is>
      </c>
      <c r="BG98" t="inlineStr">
        <is>
          <t>Bergamot</t>
        </is>
      </c>
      <c r="BH98" t="inlineStr">
        <is>
          <t>PROSPERITY SPELLS, Prosperity</t>
        </is>
      </c>
      <c r="BI98" t="inlineStr">
        <is>
          <t>Harmony, Happiness, Strength</t>
        </is>
      </c>
      <c r="BJ98" t="inlineStr">
        <is>
          <t>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t>
        </is>
      </c>
      <c r="BL98" t="inlineStr">
        <is>
          <t>WOODRUFF</t>
        </is>
      </c>
      <c r="BM98" s="42" t="inlineStr">
        <is>
          <t>Air herb of the woodland god, growing where the green man walks. Victory, protection and prosperity carried in its sweet hay scent. Beltane rituals find it joyful. Sacred to Herne and Cernunnos — the forest's own blessing on those who work within it.</t>
        </is>
      </c>
    </row>
    <row r="99" ht="409.5" customHeight="1" s="56">
      <c r="A99" t="inlineStr">
        <is>
          <t>WORMWOOD</t>
        </is>
      </c>
      <c r="B99" t="inlineStr">
        <is>
          <t>ABSINTHE</t>
        </is>
      </c>
      <c r="C99" t="inlineStr">
        <is>
          <t>Artemisia absinthium</t>
        </is>
      </c>
      <c r="D99" t="inlineStr">
        <is>
          <t>Banishing, calling spirits, clairvoyance, divination, love, protection, psychic development, growth and spell breaking. An herb of Mars matters — aggression, courage, defensive magic, exorcism, healing after surgery, hex-breaking, lust, physical strength, protection, sexual energy, and strength.,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Magical power, Increasing magical power, Increasing spell power, Power amplification, Bolstering spells, Bolstering incense, Strengthening spells, Potency, Power, Magic, WISDOM IN MAGICK, Healing, Healing magic, Healing spells, Healing sachets, Healing incenses, Healing mixtures, Healing rituals, Healing incense, Healing vibrations, Aiding recovery, Aiding the ill, Improving health, Speeding recovery, Good health, health, Spell-breaking, Reversing harmful spells, Breaking spells, Hex breaking, Removing hexes, Removing curses, Removing jinxes, Removing bad luck, Breaking hexes, Returning hexes, Removing hexes and curses, Removing a jinx, Luck, Good luck, Good luck in family matters, Fortune, Casino luck, WISHES, Wish magick, Carrying wishes, Transmuting wishes</t>
        </is>
      </c>
      <c r="E99" t="inlineStr">
        <is>
          <t>APHRODITE, HERMES, THE HORNED GOD</t>
        </is>
      </c>
      <c r="F99" t="inlineStr">
        <is>
          <t>VENUS</t>
        </is>
      </c>
      <c r="G99" t="inlineStr">
        <is>
          <t>WATER</t>
        </is>
      </c>
      <c r="H99" t="inlineStr">
        <is>
          <t>MASCULINE</t>
        </is>
      </c>
      <c r="I99" t="inlineStr">
        <is>
          <t>Friday</t>
        </is>
      </c>
      <c r="J99" t="inlineStr">
        <is>
          <t>APHRODITE</t>
        </is>
      </c>
      <c r="K99" t="inlineStr">
        <is>
          <t>OSTARA, BELTANE</t>
        </is>
      </c>
      <c r="L99" t="inlineStr">
        <is>
          <t>Yarrow is named for Achilles, who was said to have used it to staunch the wounds of his soldiers at Troy — hence its old names Soldiers' Woundwort and Herbe Militaire. The I Ching has used yarrow stalks for divination for over 3,000 years. In European tradition, yarrow held over the eyes would reveal one's future partner. At weddings, a garland of yarrow was said to ensure seven years of love.</t>
        </is>
      </c>
      <c r="M99" t="inlineStr">
        <is>
          <t>Banishing, calling spirits, clairvoyance, divination, love, protection, psychic development, growth, and spell-breaking. Wormwood may be used as an ingredient or substitute for magic spells and formulas related to Mars matters: aggression, courage, defensive magic, exorcism, healing after surgery, hex-breaking, lust, physical strength, politics, pr</t>
        </is>
      </c>
      <c r="N99" t="inlineStr">
        <is>
          <t>burned in all incenses designed to raise spirits, and now is used as incense in exorcism and protection blends.</t>
        </is>
      </c>
      <c r="O99" t="inlineStr">
        <is>
          <t>Banishing, calling spirits, clairvoyance, divination, love, protection, psychic development, growth, and spell-breaking. Wormwood may be used as an ingredient or substitute for magic spells and formulas related to Mars matters: aggression, courage, defensive magic, exorcism, healing after surgery, hex-breaking, lust, physical strength, politics, protection, sexual energy, sexual potency, and strength. Wormwood is an herb of love and a visionary herb ruled by Mars and Pluto. It is said to enhance prophecy and divination. Wormwood is a good herb to use to remove anger or inhibit enemies. It was once burned in all incenses designed to raise spirits, and now is used as incense in exorcism and protection blends. Use wormwood to enhance psychic abilities, divination, astral work, and any rituals involving the spirit world. Be sure to use a well-ventilated room when burning wormwood as incense, as the smoke is considered toxic.</t>
        </is>
      </c>
      <c r="P99" t="inlineStr">
        <is>
          <t>Ylang Ylang</t>
        </is>
      </c>
      <c r="Q99" t="inlineStr">
        <is>
          <t>Europe, Asia, North Africa, North America (Dry, rocky soils, roadsides, wasteland)</t>
        </is>
      </c>
      <c r="R99" t="inlineStr">
        <is>
          <t>Warning: Contains thujone — toxic in large doses. Do not use long-term or during pregnancy. The essential oil is particularly dangerous.</t>
        </is>
      </c>
      <c r="AM99" t="inlineStr">
        <is>
          <t>Chrysocolla</t>
        </is>
      </c>
      <c r="AN99"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AO99" t="inlineStr">
        <is>
          <t>Clarity, Peace, patience, Love, wisdom, Negating dreams, Harmony, Prosperity, growth, hope, intimacy, Divination, tolerance, sleep, creativity, self-awareness.</t>
        </is>
      </c>
      <c r="AP99" t="inlineStr">
        <is>
          <t>Copper flakes</t>
        </is>
      </c>
      <c r="AQ99" t="inlineStr">
        <is>
          <t>Use copper in rituals, Bolstering spells, amulets to promote love, sensuality, friendship, positive relationships of any kind, negotiations, peace.</t>
        </is>
      </c>
      <c r="AR99" t="inlineStr">
        <is>
          <t>Love, Peace, friendships</t>
        </is>
      </c>
      <c r="AS99" t="inlineStr">
        <is>
          <t>Goldstone</t>
        </is>
      </c>
      <c r="AT99"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AU99" t="inlineStr">
        <is>
          <t>Hope, protection.</t>
        </is>
      </c>
      <c r="AV99" t="inlineStr">
        <is>
          <t>Jade (jadeite)</t>
        </is>
      </c>
      <c r="AW99"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AX99" t="inlineStr">
        <is>
          <t>Concentration, unconditional love, concentration, Fidelity, Harmony, Healing, justice, Protection, Luck, beauty, energy, stress relief, perspective, wisdom, growth.</t>
        </is>
      </c>
      <c r="AY99" t="inlineStr">
        <is>
          <t>Ylang Ylang</t>
        </is>
      </c>
      <c r="AZ99" t="inlineStr">
        <is>
          <t>SEX MAGIC, Protection, LOVE &amp; PEACE, CLEARING NEGATIVITY</t>
        </is>
      </c>
      <c r="BA99" t="inlineStr">
        <is>
          <t>Peace, ENTHUSIASM, Happiness, UPLIFTMENT</t>
        </is>
      </c>
      <c r="BB99"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BC99" t="inlineStr">
        <is>
          <t>Thyme</t>
        </is>
      </c>
      <c r="BD99" t="inlineStr">
        <is>
          <t>Healing, Love, Purification, Confidence</t>
        </is>
      </c>
      <c r="BE99" t="inlineStr">
        <is>
          <t>Harmony, STRENGTHENS, SUPP, Amulets/talismans</t>
        </is>
      </c>
      <c r="BF99" t="inlineStr">
        <is>
          <t>In the stories of the knights, Thyme was the herb of bravery. Before a battle, they would wear a sprig of thyme near their hearts, believing the herb would gift them the heart of a lion and ensure their courage never failed when the steel was drawn.</t>
        </is>
      </c>
      <c r="BG99" t="inlineStr">
        <is>
          <t>Vanilla</t>
        </is>
      </c>
      <c r="BH99" t="inlineStr">
        <is>
          <t>MENTAL POWERS, LOVING &amp; LUSTFUL ENERGIES</t>
        </is>
      </c>
      <c r="BI99" t="inlineStr">
        <is>
          <t>SOOTHES NERVES, CALMS, RELAXES</t>
        </is>
      </c>
      <c r="BJ99"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BL99" t="inlineStr">
        <is>
          <t>WORMWOOD</t>
        </is>
      </c>
      <c r="BM99" s="42" t="inlineStr">
        <is>
          <t>Water and the raised veil, the incense that opens what is closed. Banishing made powerful, spirits called with intention. Clairvoyance and divination both sharpened. Love and protection deepened. Spell-breaking given teeth. The smoke of the liminal space.</t>
        </is>
      </c>
    </row>
    <row r="100" ht="409.5" customHeight="1" s="56">
      <c r="A100" t="inlineStr">
        <is>
          <t>YARROW</t>
        </is>
      </c>
      <c r="B100" t="inlineStr">
        <is>
          <t>ARROW ROOT</t>
        </is>
      </c>
      <c r="C100" t="inlineStr">
        <is>
          <t>Achillea millefolium</t>
        </is>
      </c>
      <c r="D100" t="inlineStr">
        <is>
          <t>Divination, love spells, contacting a specific person, prophetic dreams, psychic communication, cleansing the aura, divination tea. Used as a charm for pregnant women. Strewn across thresholds to prevent unhelpful spirits from entering. Used in sachets for love, courage, communication and psychic abilities., Enhancing divination, Divinatory incense, Foretelling the future, Future divination, Scrying, Dowsing, Prophecy, Contacting planes, Contacting other planes, Communion with spirits, Communing with the departed, Communing with otherworldly entities, Spirit work, Nether-realm travel, Walking between worlds, SISM,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E100" t="inlineStr">
        <is>
          <t>Moon, Artemis, Diana</t>
        </is>
      </c>
      <c r="F100" t="inlineStr">
        <is>
          <t>Moon</t>
        </is>
      </c>
      <c r="G100" t="inlineStr">
        <is>
          <t>Water</t>
        </is>
      </c>
      <c r="H100" t="inlineStr">
        <is>
          <t>Feminine</t>
        </is>
      </c>
      <c r="I100" t="inlineStr">
        <is>
          <t>Monday</t>
        </is>
      </c>
      <c r="J100" t="inlineStr">
        <is>
          <t>ARTEMIS, DIANA</t>
        </is>
      </c>
      <c r="K100" t="inlineStr">
        <is>
          <t>IMBOLC, SAMHAIN</t>
        </is>
      </c>
      <c r="L100" t="inlineStr">
        <is>
          <t>Camphor has long been used in temples across Asia for purification rites. In folk magic, a piece of camphor placed in the home was said to repel evil spirits and prevent illness from entering. Sailors carried camphor as protection against storms at sea.</t>
        </is>
      </c>
      <c r="M100" t="inlineStr">
        <is>
          <t>divination and love spells and in spells for contacting or seeking out a specific person.</t>
        </is>
      </c>
      <c r="N100" t="inlineStr">
        <is>
          <t>incense or oil to cleanse the aura and for divination.</t>
        </is>
      </c>
      <c r="O100" t="inlineStr">
        <is>
          <t>Yarrow is used for divination and love spells and in spells for contacting or seeking out a specific person. The flowers can be added to dream pillows to encourage prophetic dreams. Rubbing your eyelids with yarrow is said to enhance psychic abilities. It can be used in incense or oil to cleanse the aura and for divination. Yarrow tea can also be drunk prior to divination, to help the mind focus on a specific issue, or to avoid distractions. It is especially useful for psychic communication with a loved one. It is also used as a charm for pregnant women — keep it on the right side to have an easy labour. Yarrow strewn across a threshold will prevent unhelpful spirits from entering. Yarrow can be used in sachets for love, courage, communication, and psychic abilities.</t>
        </is>
      </c>
      <c r="P100" t="inlineStr">
        <is>
          <t>Melissa</t>
        </is>
      </c>
      <c r="Q100" t="inlineStr">
        <is>
          <t>Europe, Asia, North America (Meadows, grasslands, roadsides — widely naturalised globally)</t>
        </is>
      </c>
      <c r="R100" t="inlineStr">
        <is>
          <t>Warning: Avoid during pregnancy. Can cause skin sensitivity in some individuals.</t>
        </is>
      </c>
      <c r="AM100" t="inlineStr">
        <is>
          <t>Aquamarine</t>
        </is>
      </c>
      <c r="AN100"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AO100" t="inlineStr">
        <is>
          <t>Psychism, Peace, Confidence, Purification</t>
        </is>
      </c>
      <c r="AP100" t="inlineStr">
        <is>
          <t>Calcite</t>
        </is>
      </c>
      <c r="AQ100"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AR100" t="inlineStr">
        <is>
          <t>Luck, Prosperity, problem resolution, gambling, Healing, creativity, business success, attracting love.</t>
        </is>
      </c>
      <c r="AS100" t="inlineStr">
        <is>
          <t>Quartz Clear</t>
        </is>
      </c>
      <c r="AT100"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AU100" t="inlineStr">
        <is>
          <t>Protection, Healing, psychism, Strength, lactation</t>
        </is>
      </c>
      <c r="AV100" t="inlineStr">
        <is>
          <t>Moonstone</t>
        </is>
      </c>
      <c r="AW100"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AX100"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AY100" t="inlineStr">
        <is>
          <t>Melissa</t>
        </is>
      </c>
      <c r="AZ100" t="inlineStr">
        <is>
          <t>Love, Healing, Prosperity</t>
        </is>
      </c>
      <c r="BA100" t="inlineStr">
        <is>
          <t>GENTLENESS, Peace, PROGRESSIVENESS</t>
        </is>
      </c>
      <c r="BB100" t="inlineStr">
        <is>
          <t>Called the 'Bee’s Delight,' it is said that if you hold a leaf of Melissa in your hand, bees will not sting you. The plant was gifted to humans by the bees themselves, who wanted to share the secret of their own contentment and the sweet hum of life.</t>
        </is>
      </c>
      <c r="BC100" t="inlineStr">
        <is>
          <t>Honeysuckle</t>
        </is>
      </c>
      <c r="BD100" t="inlineStr">
        <is>
          <t>INCREASE PSYCHIC ABILITIES, INCREASE MONEY, Protection</t>
        </is>
      </c>
      <c r="BE100" t="inlineStr">
        <is>
          <t>RELAXING, SOOTHING, UPLIFTING, PSYCHIC POWERS</t>
        </is>
      </c>
      <c r="BF100" t="inlineStr">
        <is>
          <t>In the language of the fae, honeysuckle is known as the 'honey of the woods.' It is said that if you place a blossom under your pillow, you will dream of the location of hidden treasures—not just of gold, but of lost loves and forgotten truths.</t>
        </is>
      </c>
      <c r="BG100" t="inlineStr">
        <is>
          <t>Rose</t>
        </is>
      </c>
      <c r="BH100" t="inlineStr">
        <is>
          <t>Peace, Protection, Luck, PROMOTE LOVE &amp; AFFECTION</t>
        </is>
      </c>
      <c r="BI100" t="inlineStr">
        <is>
          <t>BALANCING, STRENGTHENING, Attracting good spirits</t>
        </is>
      </c>
      <c r="BJ100"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BL100" t="inlineStr">
        <is>
          <t>YARROW</t>
        </is>
      </c>
      <c r="BM100" s="42" t="inlineStr">
        <is>
          <t>Water and the seer's herb, the warrior's wound herb turned to deeper work. Divination and love spells both find it essential. A specific person contacted through its focus. Prophetic dreams arrive more clearly. The aura cleansed of what clings. Ancient, purposeful, precise.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C25"/>
  <sheetViews>
    <sheetView workbookViewId="0">
      <selection activeCell="A1" sqref="A1"/>
    </sheetView>
  </sheetViews>
  <sheetFormatPr baseColWidth="8" defaultRowHeight="15"/>
  <sheetData>
    <row r="1" ht="27.75" customHeight="1" s="56">
      <c r="A1" t="inlineStr">
        <is>
          <t>Name</t>
        </is>
      </c>
      <c r="B1" t="inlineStr">
        <is>
          <t>Ye Olde Name</t>
        </is>
      </c>
      <c r="C1" t="inlineStr">
        <is>
          <t>Letter</t>
        </is>
      </c>
      <c r="D1" t="inlineStr">
        <is>
          <t>Pronunciation</t>
        </is>
      </c>
      <c r="E1" t="inlineStr">
        <is>
          <t>Magical Uses</t>
        </is>
      </c>
      <c r="F1" t="inlineStr">
        <is>
          <t>Association</t>
        </is>
      </c>
      <c r="G1" t="inlineStr">
        <is>
          <t>Planet</t>
        </is>
      </c>
      <c r="H1" t="inlineStr">
        <is>
          <t>Element</t>
        </is>
      </c>
      <c r="I1" t="inlineStr">
        <is>
          <t>Energy</t>
        </is>
      </c>
      <c r="J1" t="inlineStr">
        <is>
          <t>Day</t>
        </is>
      </c>
      <c r="K1" t="inlineStr">
        <is>
          <t>Deity</t>
        </is>
      </c>
      <c r="L1" t="inlineStr">
        <is>
          <t>Sabbat</t>
        </is>
      </c>
      <c r="M1" t="inlineStr">
        <is>
          <t>Folk Lore</t>
        </is>
      </c>
      <c r="N1" t="inlineStr">
        <is>
          <t>Powers</t>
        </is>
      </c>
      <c r="O1" t="inlineStr">
        <is>
          <t>Description</t>
        </is>
      </c>
      <c r="P1" t="inlineStr">
        <is>
          <t>Runic Number</t>
        </is>
      </c>
      <c r="Q1" t="inlineStr">
        <is>
          <t>Color</t>
        </is>
      </c>
      <c r="R1" t="inlineStr">
        <is>
          <t>Tree</t>
        </is>
      </c>
      <c r="S1" t="inlineStr">
        <is>
          <t>Associated Herbs</t>
        </is>
      </c>
      <c r="T1" t="inlineStr">
        <is>
          <t>Associated Crystals</t>
        </is>
      </c>
      <c r="U1" t="inlineStr">
        <is>
          <t>Herb 1 Name</t>
        </is>
      </c>
      <c r="V1" t="inlineStr">
        <is>
          <t>Herb 1 Uses</t>
        </is>
      </c>
      <c r="W1" t="inlineStr">
        <is>
          <t>Herb 2 Name</t>
        </is>
      </c>
      <c r="X1" t="inlineStr">
        <is>
          <t>Herb 2 Uses</t>
        </is>
      </c>
      <c r="Y1" t="inlineStr">
        <is>
          <t>Herb 3 Name</t>
        </is>
      </c>
      <c r="Z1" t="inlineStr">
        <is>
          <t>Herb 3 Uses</t>
        </is>
      </c>
      <c r="AA1" t="inlineStr">
        <is>
          <t>Herb 4 Name</t>
        </is>
      </c>
      <c r="AB1" t="inlineStr">
        <is>
          <t>Herb 4 Uses</t>
        </is>
      </c>
      <c r="AC1" t="inlineStr">
        <is>
          <t>Herb 5 Name</t>
        </is>
      </c>
      <c r="AD1" t="inlineStr">
        <is>
          <t>Herb 5 Uses</t>
        </is>
      </c>
      <c r="AE1" t="inlineStr">
        <is>
          <t>Herb 6 Name</t>
        </is>
      </c>
      <c r="AF1" t="inlineStr">
        <is>
          <t>Herb 6 Uses</t>
        </is>
      </c>
      <c r="AG1" t="inlineStr">
        <is>
          <t>Crystal 1 Name</t>
        </is>
      </c>
      <c r="AH1" t="inlineStr">
        <is>
          <t>Crystal 1 Powers</t>
        </is>
      </c>
      <c r="AI1" t="inlineStr">
        <is>
          <t>Crystal 2 Name</t>
        </is>
      </c>
      <c r="AJ1" t="inlineStr">
        <is>
          <t>Crystal 2 Powers</t>
        </is>
      </c>
      <c r="AK1" t="inlineStr">
        <is>
          <t>Crystal 3 Name</t>
        </is>
      </c>
      <c r="AL1" t="inlineStr">
        <is>
          <t>Crystal 3 Powers</t>
        </is>
      </c>
      <c r="AM1" t="inlineStr">
        <is>
          <t>Crystal 4 Name</t>
        </is>
      </c>
      <c r="AN1" t="inlineStr">
        <is>
          <t>Crystal 4 Powers</t>
        </is>
      </c>
      <c r="AO1" t="inlineStr">
        <is>
          <t>Crystal 5 Name</t>
        </is>
      </c>
      <c r="AP1" t="inlineStr">
        <is>
          <t>Crystal 5 Powers</t>
        </is>
      </c>
      <c r="AQ1" t="inlineStr">
        <is>
          <t>Crystal 6 Name</t>
        </is>
      </c>
      <c r="AR1" t="inlineStr">
        <is>
          <t>Crystal 6 Powers</t>
        </is>
      </c>
      <c r="AS1" t="inlineStr">
        <is>
          <t>Oil 1 Name</t>
        </is>
      </c>
      <c r="AT1" t="inlineStr">
        <is>
          <t>Oil 1 Uses</t>
        </is>
      </c>
      <c r="AU1" t="inlineStr">
        <is>
          <t>Oil 2 Name</t>
        </is>
      </c>
      <c r="AV1" t="inlineStr">
        <is>
          <t>Oil 2 Uses</t>
        </is>
      </c>
      <c r="AW1" t="inlineStr">
        <is>
          <t>Oil 3 Name</t>
        </is>
      </c>
      <c r="AX1" t="inlineStr">
        <is>
          <t>Oil 3 Uses</t>
        </is>
      </c>
      <c r="AY1" t="inlineStr">
        <is>
          <t>Oil 4 Name</t>
        </is>
      </c>
      <c r="AZ1" t="inlineStr">
        <is>
          <t>Oil 4 Uses</t>
        </is>
      </c>
      <c r="BB1" t="inlineStr">
        <is>
          <t>Spiritual Uses</t>
        </is>
      </c>
      <c r="BC1" s="42" t="inlineStr">
        <is>
          <t>Greenman Energy</t>
        </is>
      </c>
    </row>
    <row r="2" ht="409.5" customHeight="1" s="56">
      <c r="A2" t="inlineStr">
        <is>
          <t>FEHU</t>
        </is>
      </c>
      <c r="B2" t="inlineStr">
        <is>
          <t>Fe, Faihu, Fé, Feh, Feo</t>
        </is>
      </c>
      <c r="C2" t="inlineStr">
        <is>
          <t>F</t>
        </is>
      </c>
      <c r="D2" t="inlineStr">
        <is>
          <t>Fay-who</t>
        </is>
      </c>
      <c r="E2" t="inlineStr">
        <is>
          <t>Increasing wealth, Prosperity, Anti-theft, Fortune, Luck, New beginnings, Confidence, Sun God offerings, Attraction,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Preventing theft, Protection against theft, Spell-breaking, Reversing harmful spells, Breaking spells, Hex breaking, Removing hexes, Removing curses, Removing jinxes, Removing bad luck, Breaking hexes, Returning hexes, hex-breaking, Removing hexes and curses, Removing a jinx, Good luck, Good luck in family matters, Casino luck, WISHES, Wish magick, Carrying wishes, Transmuting wishes,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Attracting a mate, Attracting a soulmate, Conjuring a lover, HELP ATTRACT OPPOSITE SEX, Finding future love</t>
        </is>
      </c>
      <c r="F2" t="inlineStr">
        <is>
          <t>Frey, Freyja, Fertility</t>
        </is>
      </c>
      <c r="G2" t="inlineStr">
        <is>
          <t>Aries</t>
        </is>
      </c>
      <c r="H2" t="inlineStr">
        <is>
          <t>Fire and Earth</t>
        </is>
      </c>
      <c r="I2" t="inlineStr">
        <is>
          <t>Female</t>
        </is>
      </c>
      <c r="J2" t="inlineStr">
        <is>
          <t>Friday</t>
        </is>
      </c>
      <c r="K2" t="inlineStr">
        <is>
          <t>Frey, Freyja</t>
        </is>
      </c>
      <c r="L2" t="inlineStr">
        <is>
          <t>BELTANE</t>
        </is>
      </c>
      <c r="M2" t="inlineStr">
        <is>
          <t>Reward, Wealth, Nourishment. Fehu means cattle, a measure of wealth to the ancients. Today Fehu means movable wealth, such as money and possessions. It also implies the energy and hard work that leads to wealth. Fehu can mean emotional and spiritual riches, as well as money.</t>
        </is>
      </c>
      <c r="N2" t="inlineStr">
        <is>
          <t>Realized ambition. Good health. Wealth. Love fulfilled. Good fortune. Show charity and compassion.</t>
        </is>
      </c>
      <c r="O2" t="inlineStr">
        <is>
          <t>Fehu is Frey's rune, and he is the god of fertility, itself a form of wealth. It is a rune of unselfish abundance. Let it shine forth to lighten your path and the paths of others. You will never run out of your spiritual richness, but don't waste it on those who will abuse it. Discernment is important.</t>
        </is>
      </c>
      <c r="P2" t="inlineStr">
        <is>
          <t>1</t>
        </is>
      </c>
      <c r="Q2" t="inlineStr">
        <is>
          <t>Light Red</t>
        </is>
      </c>
      <c r="R2" t="inlineStr">
        <is>
          <t>Elder</t>
        </is>
      </c>
      <c r="S2" t="inlineStr">
        <is>
          <t>Basil, Cinnamon, Chamomile, Apple Blossom, Black Tea</t>
        </is>
      </c>
      <c r="T2" t="inlineStr">
        <is>
          <t>Citrine, Aventurine, Amazonite, Carnelian, Clear Quartz</t>
        </is>
      </c>
      <c r="U2" t="inlineStr">
        <is>
          <t>BASIL</t>
        </is>
      </c>
      <c r="V2"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W2" t="inlineStr">
        <is>
          <t>Cinnamon</t>
        </is>
      </c>
      <c r="Y2" t="inlineStr">
        <is>
          <t>CHAMOMILE</t>
        </is>
      </c>
      <c r="Z2" t="inlineStr">
        <is>
          <t>Fortune, Justice, Love, Meditation, Money, Prosperity, Purification, Removing curses, Removing hexes, Serenity, Calm, Sleep</t>
        </is>
      </c>
      <c r="AA2" t="inlineStr">
        <is>
          <t>APPLE BLOSSOM</t>
        </is>
      </c>
      <c r="AB2" t="inlineStr">
        <is>
          <t>Love spells, Peace, Contentment, Success, Relaxation, Bath magic</t>
        </is>
      </c>
      <c r="AC2" t="inlineStr">
        <is>
          <t>BLACK TEA</t>
        </is>
      </c>
      <c r="AD2" t="inlineStr">
        <is>
          <t>Prosperity, Strength, Fortitude, Good health, Divination, Emotional healing, Calming, Soothing, Reviving, Invigorating</t>
        </is>
      </c>
      <c r="AG2" t="inlineStr">
        <is>
          <t>Citrine</t>
        </is>
      </c>
      <c r="AH2"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I2" t="inlineStr">
        <is>
          <t>Aventurine</t>
        </is>
      </c>
      <c r="AJ2" t="inlineStr">
        <is>
          <t>Creativity, motivation, inner peace, business success, intellect, perception, soothing emotions, heartache, clarity, imagination, independence, Happiness, sexuality, Strength, Prosperity, romance.</t>
        </is>
      </c>
      <c r="AK2" t="inlineStr">
        <is>
          <t>Amazonite</t>
        </is>
      </c>
      <c r="AL2" t="inlineStr">
        <is>
          <t>Gambling, Prosperity</t>
        </is>
      </c>
      <c r="AM2" t="inlineStr">
        <is>
          <t>Carnelian</t>
        </is>
      </c>
      <c r="AN2" t="inlineStr">
        <is>
          <t>Happiness, Protection, energy, easing depression, promoting self-confidence, Peace, concentration, focus, Attraction, sexuality, Love, Healing, courage.</t>
        </is>
      </c>
      <c r="AO2" t="inlineStr">
        <is>
          <t>Clear Quartz</t>
        </is>
      </c>
      <c r="BA2" t="inlineStr">
        <is>
          <t>FEHU</t>
        </is>
      </c>
      <c r="BB2" t="inlineStr">
        <is>
          <t>Abundance rituals, manifesting wealth and fertility, offerings to Frey and Freyja, gratitude ceremonies, prosperity altars.</t>
        </is>
      </c>
      <c r="BC2" s="42" t="inlineStr">
        <is>
          <t>First light on moving cattle, wealth that breathes and stirs. Frey's own energy — fertile, generous, alive. Prosperity and attraction flowing outward, new beginnings seeded in abundance. Nothing hoarded here. Everything growing.</t>
        </is>
      </c>
    </row>
    <row r="3" ht="409.5" customHeight="1" s="56">
      <c r="A3" t="inlineStr">
        <is>
          <t>URUZ</t>
        </is>
      </c>
      <c r="B3" t="inlineStr">
        <is>
          <t>Ur, Uraz, Urs, Urur, Urus</t>
        </is>
      </c>
      <c r="C3" t="inlineStr">
        <is>
          <t>U/OO</t>
        </is>
      </c>
      <c r="D3" t="inlineStr">
        <is>
          <t>Oor-ooze</t>
        </is>
      </c>
      <c r="E3" t="inlineStr">
        <is>
          <t>Strength, Bolstering spells, Healing, Confidence, Protection, Fertility, Fruitfulness, Physical Strength, Fortitude, Vitality, Inner power, and strength, Magical power, Increasing magical power, Increasing spell power, Power amplification, Bolstering incense, Strengthening spells, Potency, Power, Magic, WISDOM IN MAGICK, defensive magic, Healing magic, Healing spells, Healing sachets, Healing incenses, Healing mixtures, Healing rituals, Healing incense, Healing vibrations, healing after surgery, Aiding recovery, Aiding the ill, Improving health, Speeding recovery, Good health, health, Self-confidence, Courage, Bravery, Determination, Will Power, Leadership, Leadership skills, Commanding, Personal power, Protective charm, Protective charms, Protective sachets, Protective wreaths, Protective incense, PROTECT AGAINST NEGATIVITY, Protection from negativity, Circle protection, Female fertility, Fertility magic, Fertility charms, Aiding fertility, Increasing fertility,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F3" t="inlineStr">
        <is>
          <t>Thor, Urdl, Raw power</t>
        </is>
      </c>
      <c r="G3" t="inlineStr">
        <is>
          <t>Taurus</t>
        </is>
      </c>
      <c r="H3" t="inlineStr">
        <is>
          <t>Earth</t>
        </is>
      </c>
      <c r="I3" t="inlineStr">
        <is>
          <t>Male</t>
        </is>
      </c>
      <c r="J3" t="inlineStr">
        <is>
          <t>Tuesday</t>
        </is>
      </c>
      <c r="K3" t="inlineStr">
        <is>
          <t>Thor, Urdl</t>
        </is>
      </c>
      <c r="L3" t="inlineStr">
        <is>
          <t>BELTANE, LITHA</t>
        </is>
      </c>
      <c r="M3" t="inlineStr">
        <is>
          <t>For a man - male virility, manhood. For a woman - fertility, femininity, womanhood. Uruz encompasses physical strength, endurance, courage, and the raw, wild power of freedom. It includes emotional and spiritual strength, male sexual potency, and good health. It can also imply a challenge leading to a major life change.</t>
        </is>
      </c>
      <c r="N3" t="inlineStr">
        <is>
          <t>Terminations, new beginnings. An opportunity disguised as a threat. Mental agility. Physical development, mental and bodily health. Power.</t>
        </is>
      </c>
      <c r="O3" t="inlineStr">
        <is>
          <t>You have the strength within you to fulfill all your dreams, but with strength comes responsibility. Strength is not a force to wield over others, but a force to stop others exerting power over you. Use your strength to keep focused on your path and to stop yourself being outmaneuvered. There will always be negative people, but don't let them upset you. Master your own ego and you will succeed.</t>
        </is>
      </c>
      <c r="P3" t="inlineStr">
        <is>
          <t>2</t>
        </is>
      </c>
      <c r="Q3" t="inlineStr">
        <is>
          <t>Dark Green</t>
        </is>
      </c>
      <c r="R3" t="inlineStr">
        <is>
          <t>Birch</t>
        </is>
      </c>
      <c r="S3" t="inlineStr">
        <is>
          <t>Comfrey, Calamus Root, Blackberry Leaves, Cedarwood, Chive</t>
        </is>
      </c>
      <c r="T3" t="inlineStr">
        <is>
          <t>Bloodstone, Garnet, Carnelian, Ametrine, Apache Tears</t>
        </is>
      </c>
      <c r="U3" t="inlineStr">
        <is>
          <t>COMFREY</t>
        </is>
      </c>
      <c r="V3" t="inlineStr">
        <is>
          <t>Healing, Travel safety, Money spells, Protection for travellers, Protection against theft, Luggage protection, Faithfulness, Vehicle protection, Casino luck, Borage substitute, Ritual bath, Divination, Concentration, Letting go of relationships</t>
        </is>
      </c>
      <c r="W3" t="inlineStr">
        <is>
          <t>CALAMUS ROOT</t>
        </is>
      </c>
      <c r="X3" t="inlineStr">
        <is>
          <t>Aphrodisiac, Harmony, Love, Peace, Tranquillity, Strengthening spells, Binding spells, Healing incenses, Healing sachets, Emotional exhaustion, Self-confidence, Success</t>
        </is>
      </c>
      <c r="Y3" t="inlineStr">
        <is>
          <t>BLACKBERRY LEAVES</t>
        </is>
      </c>
      <c r="Z3" t="inlineStr">
        <is>
          <t>Protection, Protective wreaths, Mojo bags, Household protection, Prosperity, Female fertility, Aphrodisiac tea, Abundant harvest, Magical cooking</t>
        </is>
      </c>
      <c r="AA3" t="inlineStr">
        <is>
          <t>Cedarwood</t>
        </is>
      </c>
      <c r="AC3" t="inlineStr">
        <is>
          <t>CHIVE</t>
        </is>
      </c>
      <c r="AD3" t="inlineStr">
        <is>
          <t>Banishing, Exorcism, Breaking bad habits, Dispelling melancholy, Protection against disease, Weight loss spells</t>
        </is>
      </c>
      <c r="AG3" t="inlineStr">
        <is>
          <t>Bloodstone</t>
        </is>
      </c>
      <c r="AH3" t="inlineStr">
        <is>
          <t>Healing, Prosperity, Confidence, physical strength, stress relief, help in business, legal matters, revitalization, guidance, rain, ganization.</t>
        </is>
      </c>
      <c r="AI3" t="inlineStr">
        <is>
          <t>Garnet</t>
        </is>
      </c>
      <c r="AJ3" t="inlineStr">
        <is>
          <t>Healing, cheery disposition, Confidence, Love, business success, past life regression, consistency of love &amp; friendship, travel protection, Happiness, Peace, Harmony, patience, inspiration, persistence, wisdom, fertility.</t>
        </is>
      </c>
      <c r="AK3" t="inlineStr">
        <is>
          <t>Carnelian</t>
        </is>
      </c>
      <c r="AL3" t="inlineStr">
        <is>
          <t>Happiness, Protection, energy, easing depression, promoting self-confidence, Peace, concentration, focus, Attraction, sexuality, Love, Healing, courage.</t>
        </is>
      </c>
      <c r="AM3" t="inlineStr">
        <is>
          <t>Ametrine</t>
        </is>
      </c>
      <c r="AN3" t="inlineStr">
        <is>
          <t>Astral travel, magickal power, meditation, removing negativity.</t>
        </is>
      </c>
      <c r="AO3" t="inlineStr">
        <is>
          <t>Apache Tears</t>
        </is>
      </c>
      <c r="AP3" t="inlineStr">
        <is>
          <t>Luck, removal of pain</t>
        </is>
      </c>
      <c r="BA3" t="inlineStr">
        <is>
          <t>URUZ</t>
        </is>
      </c>
      <c r="BB3" t="inlineStr">
        <is>
          <t>Strength-building rites, healing workings, empowerment rituals, connecting with raw earth energy, invoking physical vitality.</t>
        </is>
      </c>
      <c r="BC3" s="42" t="inlineStr">
        <is>
          <t>Wild ox on the dark hillside, raw strength that has never been tamed. Healing drawn from deep reserves, bolstering what is weakening. Confidence and protection built from the inside out. New beginnings that arrive disguised as obstacles.</t>
        </is>
      </c>
    </row>
    <row r="4" ht="409.5" customHeight="1" s="56">
      <c r="A4" t="inlineStr">
        <is>
          <t>THURISAZ</t>
        </is>
      </c>
      <c r="B4" t="inlineStr">
        <is>
          <t>Thurs, Thuith, Thurisa, Thurisar, Thorunisaz, Thyth</t>
        </is>
      </c>
      <c r="C4" t="inlineStr">
        <is>
          <t>TH</t>
        </is>
      </c>
      <c r="D4" t="inlineStr">
        <is>
          <t>Thor-ee-sawz</t>
        </is>
      </c>
      <c r="E4" t="inlineStr">
        <is>
          <t>Protection, Protection (hexes/evil), Banishing, Warding, Exorcism, Magical power, Strength,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Increasing magical power, Increasing spell power, Power amplification, Bolstering spells, Bolstering incense, Strengthening spells, Potency, Power, Magic, WISDOM IN MAGICK, defensive magic, Physical Strength, Fortitude, Vitality, Inner power, and strength</t>
        </is>
      </c>
      <c r="F4" t="inlineStr">
        <is>
          <t>Thor, Chaos, Protection through strength</t>
        </is>
      </c>
      <c r="G4" t="inlineStr">
        <is>
          <t>Mars</t>
        </is>
      </c>
      <c r="H4" t="inlineStr">
        <is>
          <t>Fire</t>
        </is>
      </c>
      <c r="I4" t="inlineStr">
        <is>
          <t>Male</t>
        </is>
      </c>
      <c r="J4" t="inlineStr">
        <is>
          <t>Thursday</t>
        </is>
      </c>
      <c r="K4" t="inlineStr">
        <is>
          <t>Thor</t>
        </is>
      </c>
      <c r="L4" t="inlineStr">
        <is>
          <t>BELTANE</t>
        </is>
      </c>
      <c r="M4" t="inlineStr">
        <is>
          <t>Threats from persons of power or position. Resist temptations which offer reward through dishonesty or trickery. Heed the omen of dishonour or physical harm. The energy of Thurisaz can be used for good or for chaos. It represents the forces of the human psyche, including anger and lust. The thorn is a symbolic weapon. It can pierce, stab or tear. But it can also be protective, like a thorny hedge.</t>
        </is>
      </c>
      <c r="N4" t="inlineStr">
        <is>
          <t>Magical power, the forces of chaos or of evil. Temptation. A Warning. Protective barrier.</t>
        </is>
      </c>
      <c r="O4" t="inlineStr">
        <is>
          <t>You have the power within you to face anything. Fear nothing, for you have the authority to claim your destiny. Let no one deter you from your search for the truth. Spiritual authority brings power and it is up to you to use that power in an unselfish and loving way. Power can corrupt if you do not have a true and honest heart.</t>
        </is>
      </c>
      <c r="P4" t="inlineStr">
        <is>
          <t>3</t>
        </is>
      </c>
      <c r="Q4" t="inlineStr">
        <is>
          <t>Bright Red</t>
        </is>
      </c>
      <c r="R4" t="inlineStr">
        <is>
          <t>Blackthorn (sloe)</t>
        </is>
      </c>
      <c r="S4" t="inlineStr">
        <is>
          <t>Cedarwood, Cloves, Bay Laurel, Camph, Cinnamon</t>
        </is>
      </c>
      <c r="T4" t="inlineStr">
        <is>
          <t>Apache Tears, Flu, ite, Clear Quartz, Garnet, Bloodstone</t>
        </is>
      </c>
      <c r="U4" t="inlineStr">
        <is>
          <t>Cedarwood</t>
        </is>
      </c>
      <c r="W4" t="inlineStr">
        <is>
          <t>CLOVES</t>
        </is>
      </c>
      <c r="X4" t="inlineStr">
        <is>
          <t>Clairvoyance, Divination, Exorcism, Keeping away negative forces, Love, Memory, Money, Passion, Peace of mind, Protection, Psychic protection, Purification, Stopping gossip, Cleansing, Friendship, Psychic development, Release, Spell-breaking</t>
        </is>
      </c>
      <c r="Y4" t="inlineStr">
        <is>
          <t>BAY LAUREL</t>
        </is>
      </c>
      <c r="Z4" t="inlineStr">
        <is>
          <t>Clairvoyance, Consecration, Divination, Dreams, Exorcism, Healing, Love, Passion, Protection, Psychic protection, Purification, Wisdom, Wishes, Winter rituals, Yule magic</t>
        </is>
      </c>
      <c r="AA4" t="inlineStr">
        <is>
          <t>Camph</t>
        </is>
      </c>
      <c r="AC4" t="inlineStr">
        <is>
          <t>Cinnamon</t>
        </is>
      </c>
      <c r="AG4" t="inlineStr">
        <is>
          <t>Apache Tears</t>
        </is>
      </c>
      <c r="AH4" t="inlineStr">
        <is>
          <t>Luck, removal of pain</t>
        </is>
      </c>
      <c r="AI4" t="inlineStr">
        <is>
          <t>Flu</t>
        </is>
      </c>
      <c r="AK4" t="inlineStr">
        <is>
          <t>ite</t>
        </is>
      </c>
      <c r="AM4" t="inlineStr">
        <is>
          <t>Clear Quartz</t>
        </is>
      </c>
      <c r="AO4" t="inlineStr">
        <is>
          <t>Garnet</t>
        </is>
      </c>
      <c r="AP4" t="inlineStr">
        <is>
          <t>Healing, cheery disposition, Confidence, Love, business success, past life regression, consistency of love &amp; friendship, travel protection, Happiness, Peace, Harmony, patience, inspiration, persistence, wisdom, fertility.</t>
        </is>
      </c>
      <c r="AQ4" t="inlineStr">
        <is>
          <t>Bloodstone</t>
        </is>
      </c>
      <c r="AR4" t="inlineStr">
        <is>
          <t>Healing, Prosperity, Confidence, physical strength, stress relief, help in business, legal matters, revitalization, guidance, rain, ganization.</t>
        </is>
      </c>
      <c r="AS4" t="inlineStr">
        <is>
          <t>Pine</t>
        </is>
      </c>
      <c r="AT4" t="inlineStr">
        <is>
          <t>PROSPERITY SPELLS, Prosperity</t>
        </is>
      </c>
      <c r="AU4" t="inlineStr">
        <is>
          <t>Ginger</t>
        </is>
      </c>
      <c r="AV4" t="inlineStr">
        <is>
          <t>Prosperity, Healing, Love, Strength</t>
        </is>
      </c>
      <c r="BA4" t="inlineStr">
        <is>
          <t>THURISAZ</t>
        </is>
      </c>
      <c r="BB4" t="inlineStr">
        <is>
          <t>Protective barrier work, warding sacred spaces, banishing harmful forces, shadow work, confronting inner obstacles.</t>
        </is>
      </c>
      <c r="BC4" s="42" t="inlineStr">
        <is>
          <t>The thorn that tears and the fire that burns what needs burning. Protection and banishing at their most uncompromising. Warding and exorcism given real force. Magical power directed precisely at what needs stopping. Not gentle — but sometimes that is what is needed.</t>
        </is>
      </c>
    </row>
    <row r="5" ht="409.5" customHeight="1" s="56">
      <c r="A5" t="inlineStr">
        <is>
          <t>ANSUZ</t>
        </is>
      </c>
      <c r="B5" t="inlineStr">
        <is>
          <t>Ass, Aesir, Ansur, Ansus, As, Aza, Easc, Oss</t>
        </is>
      </c>
      <c r="C5" t="inlineStr">
        <is>
          <t>A</t>
        </is>
      </c>
      <c r="D5" t="inlineStr">
        <is>
          <t>Awn-sooze</t>
        </is>
      </c>
      <c r="E5" t="inlineStr">
        <is>
          <t>Divination, Prophetic dreams, Communication, Wisdom, Clairvoyance, Star magick, Truth, Enhancing divination, Divinatory incense, Foretelling the future, Future divination, Scrying, Dowsing, Prophecy, Invoking dreams, Dream work, Dreams, Visions, Seeing the unseen, Seeing manifestations, Honesty, Removing deception, Subconscious work, Digging into the subconscious, Uprooting what is hidden, Treasure seeking, Lost object finding,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F5" t="inlineStr">
        <is>
          <t>Odin, Loki, Eostre, Divine communication</t>
        </is>
      </c>
      <c r="G5" t="inlineStr">
        <is>
          <t>Venus</t>
        </is>
      </c>
      <c r="H5" t="inlineStr">
        <is>
          <t>Air</t>
        </is>
      </c>
      <c r="I5" t="inlineStr">
        <is>
          <t>Male</t>
        </is>
      </c>
      <c r="J5" t="inlineStr">
        <is>
          <t>Wednesday</t>
        </is>
      </c>
      <c r="K5" t="inlineStr">
        <is>
          <t>Odin, Loki, Eostre</t>
        </is>
      </c>
      <c r="L5" t="inlineStr">
        <is>
          <t>OSTARA</t>
        </is>
      </c>
      <c r="M5" t="inlineStr">
        <is>
          <t>Ansuz is primarily Odin's rune and represents communication, creativity, controlled and divine power. Spiritually, it is the rune of prophecy and revelation. It also encompasses the ideas of wisdom, knowledge, reason, and therefore of instruction and good advice. It might also refer to a test, examination, or perhaps an interview. It can mean a letter, book, paper, message or other information.</t>
        </is>
      </c>
      <c r="N5" t="inlineStr">
        <is>
          <t>Knowledge. Wisdom. Communication. The mouth. A message. Divine power and revelation.</t>
        </is>
      </c>
      <c r="O5" t="inlineStr">
        <is>
          <t>The answers to questions are available but not yet recognized. Look for signs and confirmations which are all around. Everything has significance and appreciation of this will lead to understanding. Ensure you don't ignore the message because you don't like the content. All experience is a lesson that teaches by acknowledging the truth knowledge and wisdom will increase.</t>
        </is>
      </c>
      <c r="P5" t="inlineStr">
        <is>
          <t>4</t>
        </is>
      </c>
      <c r="Q5" t="inlineStr">
        <is>
          <t>Dark Blue</t>
        </is>
      </c>
      <c r="R5" t="inlineStr">
        <is>
          <t>Ash</t>
        </is>
      </c>
      <c r="S5" t="inlineStr">
        <is>
          <t>Anise, Bay Laurel, Camph, Coltsfoot, Cinnamon</t>
        </is>
      </c>
      <c r="T5" t="inlineStr">
        <is>
          <t>Amethyst, Flu, ite, Clear Quartz, Ametrine, Emerald</t>
        </is>
      </c>
      <c r="U5" t="inlineStr">
        <is>
          <t>ANISE</t>
        </is>
      </c>
      <c r="V5" t="inlineStr">
        <is>
          <t>Contacting other planes, Divination, Love, Passion, Preventing nightmares, Protection, Psychic development, Psychic protection, Purification, Clairvoyance, Cleansing, Consecration, Fertility, Gain, Good luck, Happiness, Money, Weddings</t>
        </is>
      </c>
      <c r="W5" t="inlineStr">
        <is>
          <t>BAY LAUREL</t>
        </is>
      </c>
      <c r="X5" t="inlineStr">
        <is>
          <t>Clairvoyance, Consecration, Divination, Dreams, Exorcism, Healing, Love, Passion, Protection, Psychic protection, Purification, Wisdom, Wishes, Winter rituals, Yule magic</t>
        </is>
      </c>
      <c r="Y5" t="inlineStr">
        <is>
          <t>Camph</t>
        </is>
      </c>
      <c r="AA5" t="inlineStr">
        <is>
          <t>COLTSFOOT</t>
        </is>
      </c>
      <c r="AB5" t="inlineStr">
        <is>
          <t>Spring rituals, Imbolc, Ostara, Beltane, Love, Tranquillity, Money spells, Divinatory incense, Healing incense, Psychic awareness, Communion with spirits, Prophetic dreams, Removing sickness, Removing mental troubles, Visions</t>
        </is>
      </c>
      <c r="AC5" t="inlineStr">
        <is>
          <t>Cinnamon</t>
        </is>
      </c>
      <c r="AG5" t="inlineStr">
        <is>
          <t>Amethyst</t>
        </is>
      </c>
      <c r="AH5"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I5" t="inlineStr">
        <is>
          <t>Flu</t>
        </is>
      </c>
      <c r="AK5" t="inlineStr">
        <is>
          <t>ite</t>
        </is>
      </c>
      <c r="AM5" t="inlineStr">
        <is>
          <t>Clear Quartz</t>
        </is>
      </c>
      <c r="AO5" t="inlineStr">
        <is>
          <t>Ametrine</t>
        </is>
      </c>
      <c r="AP5" t="inlineStr">
        <is>
          <t>Astral travel, magickal power, meditation, removing negativity.</t>
        </is>
      </c>
      <c r="AQ5" t="inlineStr">
        <is>
          <t>Emerald</t>
        </is>
      </c>
      <c r="AR5" t="inlineStr">
        <is>
          <t>Psychic awareness, meditation, Divination, Peace, sleep, Healing, Love, friendship, protection from evil, business success, mem, Clairvoyance, recognition, faith, Fertility, serenity, underst, Attracting good spirits, balance. Represents Time, the astral planes</t>
        </is>
      </c>
      <c r="AS5" t="inlineStr">
        <is>
          <t>Apple</t>
        </is>
      </c>
      <c r="AT5" t="inlineStr">
        <is>
          <t>Love, Happiness, WISDOM IN MAGICK</t>
        </is>
      </c>
      <c r="AU5" t="inlineStr">
        <is>
          <t>Geranium</t>
        </is>
      </c>
      <c r="AV5" t="inlineStr">
        <is>
          <t>Love, Fertility, Healing, Protection</t>
        </is>
      </c>
      <c r="AW5" t="inlineStr">
        <is>
          <t>Peppermint</t>
        </is>
      </c>
      <c r="AX5" t="inlineStr">
        <is>
          <t>Purification, PSYCHIC POWERS, Healing</t>
        </is>
      </c>
      <c r="BA5" t="inlineStr">
        <is>
          <t>ANSUZ</t>
        </is>
      </c>
      <c r="BB5" t="inlineStr">
        <is>
          <t>Divination and oracle work, invoking divine wisdom, communication with ancestors and spirits, meditation on sacred messages.</t>
        </is>
      </c>
      <c r="BC5" s="42" t="inlineStr">
        <is>
          <t>Wind through the highest branches, the voice that carries further than expected. Divination and prophetic dreams arriving with clarity. Wisdom and communication opened. Clairvoyance and star magick both find it receptive. Where knowledge needs receiving and what is true needs saying.</t>
        </is>
      </c>
    </row>
    <row r="6" ht="409.5" customHeight="1" s="56">
      <c r="A6" t="inlineStr">
        <is>
          <t>RAIDO</t>
        </is>
      </c>
      <c r="B6" t="inlineStr">
        <is>
          <t>Reid, Radh, Raidha, Raidho, Raidu, Reda, Reidr, Reidh, Reidthr</t>
        </is>
      </c>
      <c r="C6" t="inlineStr">
        <is>
          <t>R</t>
        </is>
      </c>
      <c r="D6" t="inlineStr">
        <is>
          <t>Rye-doh</t>
        </is>
      </c>
      <c r="E6" t="inlineStr">
        <is>
          <t>Journey spells, New beginnings, Movement, Cycles, Luck, Progress,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F6" t="inlineStr">
        <is>
          <t>Ing, Nerthus, Travel, Cycles</t>
        </is>
      </c>
      <c r="G6" t="inlineStr">
        <is>
          <t>Sagittarius</t>
        </is>
      </c>
      <c r="H6" t="inlineStr">
        <is>
          <t>Air</t>
        </is>
      </c>
      <c r="I6" t="inlineStr">
        <is>
          <t>Male</t>
        </is>
      </c>
      <c r="J6" t="inlineStr">
        <is>
          <t>Thursday</t>
        </is>
      </c>
      <c r="K6" t="inlineStr">
        <is>
          <t>Ing, Nerthus</t>
        </is>
      </c>
      <c r="L6" t="inlineStr">
        <is>
          <t>SAMHAIN, YULE</t>
        </is>
      </c>
      <c r="M6" t="inlineStr">
        <is>
          <t>Raido can mean wheel, ride, or travel, but it also has a deeper meaning. Riding a horse includes both movement and direction. A journey can be long and arduous, requiring planning, foresight, determination, and fortitude. Raido can therefore refer to the journey of life (the wheel of life), or to a spiritual quest. Raido might also mean transport or communication, such as delivering or receiving a message.</t>
        </is>
      </c>
      <c r="N6" t="inlineStr">
        <is>
          <t>Travel is indicated. New friends or old friends return. Jobs connected with transport or overseas locations.</t>
        </is>
      </c>
      <c r="O6" t="inlineStr">
        <is>
          <t>Recognize that everything comes in cycles and that by following them you will progress quickly and efficiently. Align your lifestyle to the seasons and honor the turning of the year. Embrace hard times knowing that the harder it is now, the easier it will get in the future. Everything has its opposite, and challenges bring equal and opposite rewards.</t>
        </is>
      </c>
      <c r="P6" t="inlineStr">
        <is>
          <t>5</t>
        </is>
      </c>
      <c r="Q6" t="inlineStr">
        <is>
          <t>Bright Red</t>
        </is>
      </c>
      <c r="R6" t="inlineStr">
        <is>
          <t>Oak</t>
        </is>
      </c>
      <c r="S6" t="inlineStr">
        <is>
          <t>Comfrey, Cedarwood, Blackberry Leaves, Chamomile, Cinnamon</t>
        </is>
      </c>
      <c r="T6" t="inlineStr">
        <is>
          <t>Amazonite, Aventurine, Clear Quartz, Carnelian, Bloodstone</t>
        </is>
      </c>
      <c r="U6" t="inlineStr">
        <is>
          <t>COMFREY</t>
        </is>
      </c>
      <c r="V6" t="inlineStr">
        <is>
          <t>Healing, Travel safety, Money spells, Protection for travellers, Protection against theft, Luggage protection, Faithfulness, Vehicle protection, Casino luck, Borage substitute, Ritual bath, Divination, Concentration, Letting go of relationships</t>
        </is>
      </c>
      <c r="W6" t="inlineStr">
        <is>
          <t>Cedarwood</t>
        </is>
      </c>
      <c r="Y6" t="inlineStr">
        <is>
          <t>BLACKBERRY LEAVES</t>
        </is>
      </c>
      <c r="Z6" t="inlineStr">
        <is>
          <t>Protection, Protective wreaths, Mojo bags, Household protection, Prosperity, Female fertility, Aphrodisiac tea, Abundant harvest, Magical cooking</t>
        </is>
      </c>
      <c r="AA6" t="inlineStr">
        <is>
          <t>CHAMOMILE</t>
        </is>
      </c>
      <c r="AB6" t="inlineStr">
        <is>
          <t>Fortune, Justice, Love, Meditation, Money, Prosperity, Purification, Removing curses, Removing hexes, Serenity, Calm, Sleep</t>
        </is>
      </c>
      <c r="AC6" t="inlineStr">
        <is>
          <t>Cinnamon</t>
        </is>
      </c>
      <c r="AG6" t="inlineStr">
        <is>
          <t>Amazonite</t>
        </is>
      </c>
      <c r="AH6" t="inlineStr">
        <is>
          <t>Gambling, Prosperity</t>
        </is>
      </c>
      <c r="AI6" t="inlineStr">
        <is>
          <t>Aventurine</t>
        </is>
      </c>
      <c r="AJ6" t="inlineStr">
        <is>
          <t>Creativity, motivation, inner peace, business success, intellect, perception, soothing emotions, heartache, clarity, imagination, independence, Happiness, sexuality, Strength, Prosperity, romance.</t>
        </is>
      </c>
      <c r="AK6" t="inlineStr">
        <is>
          <t>Clear Quartz</t>
        </is>
      </c>
      <c r="AM6" t="inlineStr">
        <is>
          <t>Carnelian</t>
        </is>
      </c>
      <c r="AN6" t="inlineStr">
        <is>
          <t>Happiness, Protection, energy, easing depression, promoting self-confidence, Peace, concentration, focus, Attraction, sexuality, Love, Healing, courage.</t>
        </is>
      </c>
      <c r="AO6" t="inlineStr">
        <is>
          <t>Bloodstone</t>
        </is>
      </c>
      <c r="AP6" t="inlineStr">
        <is>
          <t>Healing, Prosperity, Confidence, physical strength, stress relief, help in business, legal matters, revitalization, guidance, rain, ganization.</t>
        </is>
      </c>
      <c r="BA6" t="inlineStr">
        <is>
          <t>RAIDO</t>
        </is>
      </c>
      <c r="BB6" t="inlineStr">
        <is>
          <t>Journey blessings, rites of passage, aligning with natural cycles, movement and progress rituals, soul travel.</t>
        </is>
      </c>
      <c r="BC6" s="42" t="inlineStr">
        <is>
          <t>The rhythm of hooves on the old road, movement finding its purpose. Journey spells blessed, new beginnings set in motion. Luck in travel, harmony in cycles both carried. Bad habits broken in the momentum. Where something has been still for too long and needs the energy of purposeful motion.</t>
        </is>
      </c>
    </row>
    <row r="7" ht="409.5" customHeight="1" s="56">
      <c r="A7" t="inlineStr">
        <is>
          <t>KAUNO</t>
        </is>
      </c>
      <c r="B7" t="inlineStr">
        <is>
          <t>Kaunaz, Kaun, Chozma, Kano, Kauna, Kaunan, Kaunaz, Kenaz, Kusmas</t>
        </is>
      </c>
      <c r="C7" t="inlineStr">
        <is>
          <t>K/C</t>
        </is>
      </c>
      <c r="D7" t="inlineStr">
        <is>
          <t>Cow-noh</t>
        </is>
      </c>
      <c r="E7" t="inlineStr">
        <is>
          <t>Fire magick, Enlightenment, Illumination, Clarity, Healing, Dispelling sickness, Inspiration, Wisdom, Knowledge, Intelligence, Intuition, Mental clarity, Sharpening the wits, Sharpening the brain, Mental powers, MEM, Memory, Concentration, Focus, Healing magic, Healing spells, Healing sachets, Healing incenses, Healing mixtures, Healing rituals, Healing incense, Healing vibrations, healing after surgery, Aiding recovery, Aiding the ill, Improving health, Speeding recovery, Good health, health,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t>
        </is>
      </c>
      <c r="F7" t="inlineStr">
        <is>
          <t>Heimdall, Freyja, Frey, Fire, Enlightenment</t>
        </is>
      </c>
      <c r="G7" t="inlineStr">
        <is>
          <t>Venus</t>
        </is>
      </c>
      <c r="H7" t="inlineStr">
        <is>
          <t>Fire</t>
        </is>
      </c>
      <c r="I7" t="inlineStr">
        <is>
          <t>Female</t>
        </is>
      </c>
      <c r="J7" t="inlineStr">
        <is>
          <t>Friday</t>
        </is>
      </c>
      <c r="K7" t="inlineStr">
        <is>
          <t>Heimdall, Freyja, Frey</t>
        </is>
      </c>
      <c r="L7" t="inlineStr">
        <is>
          <t>BELTANE</t>
        </is>
      </c>
      <c r="M7" t="inlineStr">
        <is>
          <t>In its rather suspect "ulcer" translation it can represent a doorway or portal leading from darkness to light. It could also be taken as a warning to beware sources of heat or light, or of physical danger. Kauno's main significance is related to fire, light, warmth, enlightenment and knowledge. It sheds light on the path, dispels the dark shadows of ignorance, and helps us to see with true discernment. It suggests that understanding must lead to action, and light in the darkness implies spiritual illumination. Kauno also represents the natural warmth and companionship of the home fire and thus, good health.</t>
        </is>
      </c>
      <c r="N7" t="inlineStr">
        <is>
          <t>Light, warmth, enlightenment and knowledge. Understanding must lead to action.</t>
        </is>
      </c>
      <c r="O7" t="inlineStr">
        <is>
          <t>You are coming into a new understanding of life and its meaning. New insights await, but don't be complacent. Use this new understanding or it will be worthless. Look for ways to use your insights for the good of yourself and others. Enlightenment is replenishable. The more you use, the more knowledge you gain. Enlightenment itself is not the goal, it is just the starting point of a great adventure that will show you great wisdom and understanding if you proceed with truth and honesty.</t>
        </is>
      </c>
      <c r="P7" t="inlineStr">
        <is>
          <t>6</t>
        </is>
      </c>
      <c r="Q7" t="inlineStr">
        <is>
          <t>Light Red</t>
        </is>
      </c>
      <c r="R7" t="inlineStr">
        <is>
          <t>Pine</t>
        </is>
      </c>
      <c r="S7" t="inlineStr">
        <is>
          <t>Cinnamon, Bay Laurel, Chamomile, Camph, Cloves</t>
        </is>
      </c>
      <c r="T7" t="inlineStr">
        <is>
          <t>Carnelian, Citrine, Ametrine, Clear Quartz, Chrysocolla</t>
        </is>
      </c>
      <c r="U7" t="inlineStr">
        <is>
          <t>Cinnamon</t>
        </is>
      </c>
      <c r="W7" t="inlineStr">
        <is>
          <t>BAY LAUREL</t>
        </is>
      </c>
      <c r="X7" t="inlineStr">
        <is>
          <t>Clairvoyance, Consecration, Divination, Dreams, Exorcism, Healing, Love, Passion, Protection, Psychic protection, Purification, Wisdom, Wishes, Winter rituals, Yule magic</t>
        </is>
      </c>
      <c r="Y7" t="inlineStr">
        <is>
          <t>CHAMOMILE</t>
        </is>
      </c>
      <c r="Z7" t="inlineStr">
        <is>
          <t>Fortune, Justice, Love, Meditation, Money, Prosperity, Purification, Removing curses, Removing hexes, Serenity, Calm, Sleep</t>
        </is>
      </c>
      <c r="AA7" t="inlineStr">
        <is>
          <t>Camph</t>
        </is>
      </c>
      <c r="AC7" t="inlineStr">
        <is>
          <t>CLOVES</t>
        </is>
      </c>
      <c r="AD7" t="inlineStr">
        <is>
          <t>Clairvoyance, Divination, Exorcism, Keeping away negative forces, Love, Memory, Money, Passion, Peace of mind, Protection, Psychic protection, Purification, Stopping gossip, Cleansing, Friendship, Psychic development, Release, Spell-breaking</t>
        </is>
      </c>
      <c r="AG7" t="inlineStr">
        <is>
          <t>Carnelian</t>
        </is>
      </c>
      <c r="AH7" t="inlineStr">
        <is>
          <t>Happiness, Protection, energy, easing depression, promoting self-confidence, Peace, concentration, focus, Attraction, sexuality, Love, Healing, courage.</t>
        </is>
      </c>
      <c r="AI7" t="inlineStr">
        <is>
          <t>Citrine</t>
        </is>
      </c>
      <c r="AJ7"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K7" t="inlineStr">
        <is>
          <t>Ametrine</t>
        </is>
      </c>
      <c r="AL7" t="inlineStr">
        <is>
          <t>Astral travel, magickal power, meditation, removing negativity.</t>
        </is>
      </c>
      <c r="AM7" t="inlineStr">
        <is>
          <t>Clear Quartz</t>
        </is>
      </c>
      <c r="AO7" t="inlineStr">
        <is>
          <t>Chrysocolla</t>
        </is>
      </c>
      <c r="AP7" t="inlineStr">
        <is>
          <t>Clarity, Peace, patience, Love, wisdom, Negating dreams, Harmony, Prosperity, growth, hope, intimacy, Divination, tolerance, sleep, creativity, self-awareness.</t>
        </is>
      </c>
      <c r="BA7" t="inlineStr">
        <is>
          <t>KAUNO</t>
        </is>
      </c>
      <c r="BB7" t="inlineStr">
        <is>
          <t>Illumination ceremonies, fire meditation, invoking clarity and inspiration, candle magic, dispelling ignorance and fear.</t>
        </is>
      </c>
      <c r="BC7" s="42" t="inlineStr">
        <is>
          <t>The torch lit against the dark of the forest, warmth that clarifies. Enlightenment and illumination carried in its fire. Clarity burns through confusion. Healing and wisdom deepened. Dispelling sickness given the light it needs. Where darkness has gone on long enough.</t>
        </is>
      </c>
    </row>
    <row r="8" ht="409.5" customHeight="1" s="56">
      <c r="A8" t="inlineStr">
        <is>
          <t>GEBO</t>
        </is>
      </c>
      <c r="B8" t="inlineStr">
        <is>
          <t>Gyfu, Gebu, Geuua, Geofu, Giba, Gifu, Gipt, Giof, Gjof</t>
        </is>
      </c>
      <c r="C8" t="inlineStr">
        <is>
          <t>G</t>
        </is>
      </c>
      <c r="D8" t="inlineStr">
        <is>
          <t>Ghay-bow</t>
        </is>
      </c>
      <c r="E8" t="inlineStr">
        <is>
          <t>Love spells, Love rituals, Love, Gift-giving, Anti-theft, Harmony, Attraction, Peace,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Preventing theft, Protection against theft, Attracting a mate, Attracting a soulmate, Conjuring a lover, HELP ATTRACT OPPOSITE SEX, Finding future love</t>
        </is>
      </c>
      <c r="F8" t="inlineStr">
        <is>
          <t>Odin, Gefn, Generosity, Exchange</t>
        </is>
      </c>
      <c r="G8" t="inlineStr">
        <is>
          <t>Pisces</t>
        </is>
      </c>
      <c r="H8" t="inlineStr">
        <is>
          <t>Air</t>
        </is>
      </c>
      <c r="I8" t="inlineStr">
        <is>
          <t>Male &amp; Female</t>
        </is>
      </c>
      <c r="J8" t="inlineStr">
        <is>
          <t>Friday</t>
        </is>
      </c>
      <c r="K8" t="inlineStr">
        <is>
          <t>Odin, Gefn</t>
        </is>
      </c>
      <c r="L8" t="inlineStr">
        <is>
          <t>IMBOLC, OSTARA</t>
        </is>
      </c>
      <c r="M8" t="inlineStr">
        <is>
          <t>Gebo - rune number 7 - is the origin of our "lucky seven" superstition. It represents a gift, whether it is a present, an attribute, a certain skill or ability. To the ancients, a gift always called for another in return. So accepting a gift places you under an obligation to the giver - the gods, destiny, another person. Gebo can also mean a partnership or union, in business or in love. Or it can mean forgiveness - perhaps the greatest gift of all - to give or to receive. Gebo is commonly used as the sign of a kiss -the symbol of affection.</t>
        </is>
      </c>
      <c r="N8" t="inlineStr">
        <is>
          <t>Generosity in men is to honour and praise and dignity a prop.</t>
        </is>
      </c>
      <c r="O8" t="inlineStr">
        <is>
          <t>A gift presents you with the choice of acceptance or rejection. If you accept you must be prepared to give in return. Everything has its price, but with spiritual gifts the cost is always worth it in the end. You must find the balance between giving and receiving and learn to give responsibly. This means deciding when to give and who to give to as it is not appropriate to give to everyone indiscriminately.</t>
        </is>
      </c>
      <c r="P8" t="inlineStr">
        <is>
          <t>7</t>
        </is>
      </c>
      <c r="Q8" t="inlineStr">
        <is>
          <t>Dark Blue</t>
        </is>
      </c>
      <c r="R8" t="inlineStr">
        <is>
          <t>Elm</t>
        </is>
      </c>
      <c r="S8" t="inlineStr">
        <is>
          <t>Apple Blossom, Basil, Clover, Red Clover, Chamomile</t>
        </is>
      </c>
      <c r="T8" t="inlineStr">
        <is>
          <t>Chrysocolla, Emerald, Amazonite, Aventurine, Amethyst</t>
        </is>
      </c>
      <c r="U8" t="inlineStr">
        <is>
          <t>APPLE BLOSSOM</t>
        </is>
      </c>
      <c r="V8" t="inlineStr">
        <is>
          <t>Love spells, Peace, Contentment, Success, Relaxation, Bath magic</t>
        </is>
      </c>
      <c r="W8" t="inlineStr">
        <is>
          <t>BASIL</t>
        </is>
      </c>
      <c r="X8"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Y8" t="inlineStr">
        <is>
          <t>CLOVER</t>
        </is>
      </c>
      <c r="Z8" t="inlineStr">
        <is>
          <t>Fidelity, Love, Money, Protection, Blessing domestic animals, Financial arrangements, Removing negative spirits, Ritual baths, Prosperity, Floor washes, Shamanic work, Otherworld travel, Out-of-body protection, Walking between worlds, Protective charm</t>
        </is>
      </c>
      <c r="AA8" t="inlineStr">
        <is>
          <t>Red Clover</t>
        </is>
      </c>
      <c r="AC8" t="inlineStr">
        <is>
          <t>CHAMOMILE</t>
        </is>
      </c>
      <c r="AD8" t="inlineStr">
        <is>
          <t>Fortune, Justice, Love, Meditation, Money, Prosperity, Purification, Removing curses, Removing hexes, Serenity, Calm, Sleep</t>
        </is>
      </c>
      <c r="AG8" t="inlineStr">
        <is>
          <t>Chrysocolla</t>
        </is>
      </c>
      <c r="AH8" t="inlineStr">
        <is>
          <t>Clarity, Peace, patience, Love, wisdom, Negating dreams, Harmony, Prosperity, growth, hope, intimacy, Divination, tolerance, sleep, creativity, self-awareness.</t>
        </is>
      </c>
      <c r="AI8" t="inlineStr">
        <is>
          <t>Emerald</t>
        </is>
      </c>
      <c r="AJ8" t="inlineStr">
        <is>
          <t>Psychic awareness, meditation, Divination, Peace, sleep, Healing, Love, friendship, protection from evil, business success, mem, Clairvoyance, recognition, faith, Fertility, serenity, underst, Attracting good spirits, balance. Represents Time, the astral planes</t>
        </is>
      </c>
      <c r="AK8" t="inlineStr">
        <is>
          <t>Amazonite</t>
        </is>
      </c>
      <c r="AL8" t="inlineStr">
        <is>
          <t>Gambling, Prosperity</t>
        </is>
      </c>
      <c r="AM8" t="inlineStr">
        <is>
          <t>Aventurine</t>
        </is>
      </c>
      <c r="AN8" t="inlineStr">
        <is>
          <t>Creativity, motivation, inner peace, business success, intellect, perception, soothing emotions, heartache, clarity, imagination, independence, Happiness, sexuality, Strength, Prosperity, romance.</t>
        </is>
      </c>
      <c r="AO8" t="inlineStr">
        <is>
          <t>Amethyst</t>
        </is>
      </c>
      <c r="AP8"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BA8" t="inlineStr">
        <is>
          <t>GEBO</t>
        </is>
      </c>
      <c r="BB8" t="inlineStr">
        <is>
          <t>Exchange and offering rituals, sacred partnership work, gift blessing, love rites, honouring reciprocity in spellwork.</t>
        </is>
      </c>
      <c r="BC8" s="42" t="inlineStr">
        <is>
          <t>The giving tree and the exchange at the crossroads, the rune of what is freely given. Love spells and love rituals find it generous. Sacred partnership honoured. Anti-theft energy and attraction both carried in its crossing. Where the relationship energy of giving and receiving needs balancing.</t>
        </is>
      </c>
    </row>
    <row r="9" ht="409.5" customHeight="1" s="56">
      <c r="A9" t="inlineStr">
        <is>
          <t>WUNJO</t>
        </is>
      </c>
      <c r="B9" t="inlineStr">
        <is>
          <t>Wyn, Vend, Vin, Uinne, Winja, Wungo, Wunja, Wunju</t>
        </is>
      </c>
      <c r="C9" t="inlineStr">
        <is>
          <t>W/V</t>
        </is>
      </c>
      <c r="D9" t="inlineStr">
        <is>
          <t>Vun-yoh</t>
        </is>
      </c>
      <c r="E9" t="inlineStr">
        <is>
          <t>Happiness, Prosperity, Harmony, Love, Celebration, Confidence, Luck, Joy, Joyous celebrations, Contentment, Serenity, Ensuring joy in the home, PEACE &amp; HAPPINESS,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Self-confidence, Courage,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t>
        </is>
      </c>
      <c r="F9" t="inlineStr">
        <is>
          <t>Odin, Frigg, Delight, Satisfaction</t>
        </is>
      </c>
      <c r="G9" t="inlineStr">
        <is>
          <t>Leo</t>
        </is>
      </c>
      <c r="H9" t="inlineStr">
        <is>
          <t>Ice (Water)</t>
        </is>
      </c>
      <c r="I9" t="inlineStr">
        <is>
          <t>Male</t>
        </is>
      </c>
      <c r="J9" t="inlineStr">
        <is>
          <t>Sunday</t>
        </is>
      </c>
      <c r="K9" t="inlineStr">
        <is>
          <t>Odin, Frigg</t>
        </is>
      </c>
      <c r="L9" t="inlineStr">
        <is>
          <t>LITHA, LAMMAS</t>
        </is>
      </c>
      <c r="M9" t="inlineStr">
        <is>
          <t>Wunjo is linked to a reward, a feeling of goodness and satisfaction, peaceful winning, and ultimate achievement. It contains the idea of everything going well because you are in total harmony with life. Wunjo also implies close co-operation and companionship with other people, because joy is not usually a solitary emotion. When so much of life can be negative, it is important to allow Wunjo's joy to reach into every part of your life.</t>
        </is>
      </c>
      <c r="N9" t="inlineStr">
        <is>
          <t>Understanding, realisation of ambition, success in romance and good health. Partnerships flourish. New beginnings are blessed with joyfulness. Your eyes are opened to the truth.</t>
        </is>
      </c>
      <c r="O9" t="inlineStr">
        <is>
          <t>Happiness is yours if you are willing to work for it. You must strive for balance and harmony in your life. Always look for solutions rather than dwell on problems. For happiness to last, it must be founded on truth and honesty. Hide from the truth and you hide from true happiness. Seek only what is good and right, and good fortune cannot fail to follow.</t>
        </is>
      </c>
      <c r="P9" t="inlineStr">
        <is>
          <t>8</t>
        </is>
      </c>
      <c r="Q9" t="inlineStr">
        <is>
          <t>Light Blue</t>
        </is>
      </c>
      <c r="R9" t="inlineStr">
        <is>
          <t>Ash</t>
        </is>
      </c>
      <c r="S9" t="inlineStr">
        <is>
          <t>Chamomile, Cinnamon, Apple Blossom, Black Tea, Clover</t>
        </is>
      </c>
      <c r="T9" t="inlineStr">
        <is>
          <t>Citrine, Aventurine, Amazonite, Clear Quartz, Amethyst</t>
        </is>
      </c>
      <c r="U9" t="inlineStr">
        <is>
          <t>CHAMOMILE</t>
        </is>
      </c>
      <c r="V9" t="inlineStr">
        <is>
          <t>Fortune, Justice, Love, Meditation, Money, Prosperity, Purification, Removing curses, Removing hexes, Serenity, Calm, Sleep</t>
        </is>
      </c>
      <c r="W9" t="inlineStr">
        <is>
          <t>Cinnamon</t>
        </is>
      </c>
      <c r="Y9" t="inlineStr">
        <is>
          <t>APPLE BLOSSOM</t>
        </is>
      </c>
      <c r="Z9" t="inlineStr">
        <is>
          <t>Love spells, Peace, Contentment, Success, Relaxation, Bath magic</t>
        </is>
      </c>
      <c r="AA9" t="inlineStr">
        <is>
          <t>BLACK TEA</t>
        </is>
      </c>
      <c r="AB9" t="inlineStr">
        <is>
          <t>Prosperity, Strength, Fortitude, Good health, Divination, Emotional healing, Calming, Soothing, Reviving, Invigorating</t>
        </is>
      </c>
      <c r="AC9" t="inlineStr">
        <is>
          <t>CLOVER</t>
        </is>
      </c>
      <c r="AD9" t="inlineStr">
        <is>
          <t>Fidelity, Love, Money, Protection, Blessing domestic animals, Financial arrangements, Removing negative spirits, Ritual baths, Prosperity, Floor washes, Shamanic work, Otherworld travel, Out-of-body protection, Walking between worlds, Protective charm</t>
        </is>
      </c>
      <c r="AG9" t="inlineStr">
        <is>
          <t>Citrine</t>
        </is>
      </c>
      <c r="AH9"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I9" t="inlineStr">
        <is>
          <t>Aventurine</t>
        </is>
      </c>
      <c r="AJ9" t="inlineStr">
        <is>
          <t>Creativity, motivation, inner peace, business success, intellect, perception, soothing emotions, heartache, clarity, imagination, independence, Happiness, sexuality, Strength, Prosperity, romance.</t>
        </is>
      </c>
      <c r="AK9" t="inlineStr">
        <is>
          <t>Amazonite</t>
        </is>
      </c>
      <c r="AL9" t="inlineStr">
        <is>
          <t>Gambling, Prosperity</t>
        </is>
      </c>
      <c r="AM9" t="inlineStr">
        <is>
          <t>Clear Quartz</t>
        </is>
      </c>
      <c r="AO9" t="inlineStr">
        <is>
          <t>Amethyst</t>
        </is>
      </c>
      <c r="AP9"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BA9" t="inlineStr">
        <is>
          <t>WUNJO</t>
        </is>
      </c>
      <c r="BB9" t="inlineStr">
        <is>
          <t>Joy and harmony rituals, prosperity celebrations, manifesting happiness, blessing partnerships, opening to abundance.</t>
        </is>
      </c>
      <c r="BC9" s="42" t="inlineStr">
        <is>
          <t>The full summer meadow, everything in flower at once and nothing lacking. Happiness, prosperity and harmony all carried. Love and celebration find it expansive. Confidence and luck drawn in. Where the working is for what is genuinely wanted rather than what is feared.</t>
        </is>
      </c>
    </row>
    <row r="10" ht="409.5" customHeight="1" s="56">
      <c r="A10" t="inlineStr">
        <is>
          <t>HAGALAZ</t>
        </is>
      </c>
      <c r="B10" t="inlineStr">
        <is>
          <t>Hagall, Haal, Hagalar, Hagl, Hagalz, Haglaz</t>
        </is>
      </c>
      <c r="C10" t="inlineStr">
        <is>
          <t>H</t>
        </is>
      </c>
      <c r="D10" t="inlineStr">
        <is>
          <t>Har-ghawl-arz</t>
        </is>
      </c>
      <c r="E10" t="inlineStr">
        <is>
          <t>Protection, Banishing, Warding, Exorcism, Strength, Challenges, Disruption,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Physical Strength, Fortitude, Vitality, Inner power, and strength</t>
        </is>
      </c>
      <c r="F10" t="inlineStr">
        <is>
          <t>Urd, Heimdall, Elemental disruption</t>
        </is>
      </c>
      <c r="G10" t="inlineStr">
        <is>
          <t>Aquarius</t>
        </is>
      </c>
      <c r="H10" t="inlineStr">
        <is>
          <t>Ice (Water)</t>
        </is>
      </c>
      <c r="I10" t="inlineStr">
        <is>
          <t>Female</t>
        </is>
      </c>
      <c r="J10" t="inlineStr">
        <is>
          <t>Saturday</t>
        </is>
      </c>
      <c r="K10" t="inlineStr">
        <is>
          <t>Urd, Heimdall</t>
        </is>
      </c>
      <c r="L10" t="inlineStr">
        <is>
          <t>IMBOLC</t>
        </is>
      </c>
      <c r="M10" t="inlineStr">
        <is>
          <t>Hagalaz represents hail and it is portent may be likened to an unexpected hailstorm, an elemental disruption of your life. When Hagalaz is linked with other runes, it can suggest limitation, interruption, or delay, and imply a complete change in direction. Hagalaz can also mean suffering, hardship, illness, or injury. The weather is a significan't factor. Insure against damage from storm, flood or lightning. Prepare for disruptive influences. A third party interferes with relationships.</t>
        </is>
      </c>
      <c r="N10" t="inlineStr">
        <is>
          <t>Challenge, disruption, interference, hardship, elemental forces.</t>
        </is>
      </c>
      <c r="O10" t="inlineStr">
        <is>
          <t>Challenges are occurring in your life. These are not to be feared, but faced. A hailstorm is daunting, but if you catch a hailstone you will see that it is only water, nothing to be feared. So it is with challenges. Fire up your determination, and face the challenges head-on knowing they are just stepping stones on the way to your goal. The greater the challenge, the more you gain by overcoming it.</t>
        </is>
      </c>
      <c r="P10" t="inlineStr">
        <is>
          <t>9</t>
        </is>
      </c>
      <c r="Q10" t="inlineStr">
        <is>
          <t>Light Blue</t>
        </is>
      </c>
      <c r="R10" t="inlineStr">
        <is>
          <t>Ash</t>
        </is>
      </c>
      <c r="S10" t="inlineStr">
        <is>
          <t>Blackberry Leaves, Cedarwood, Cloves, Camph, Chive</t>
        </is>
      </c>
      <c r="T10" t="inlineStr">
        <is>
          <t>Apache Tears, Garnet, Bloodstone, Clear Quartz, Flu, ite</t>
        </is>
      </c>
      <c r="U10" t="inlineStr">
        <is>
          <t>BLACKBERRY LEAVES</t>
        </is>
      </c>
      <c r="V10" t="inlineStr">
        <is>
          <t>Protection, Protective wreaths, Mojo bags, Household protection, Prosperity, Female fertility, Aphrodisiac tea, Abundant harvest, Magical cooking</t>
        </is>
      </c>
      <c r="W10" t="inlineStr">
        <is>
          <t>Cedarwood</t>
        </is>
      </c>
      <c r="Y10" t="inlineStr">
        <is>
          <t>CLOVES</t>
        </is>
      </c>
      <c r="Z10" t="inlineStr">
        <is>
          <t>Clairvoyance, Divination, Exorcism, Keeping away negative forces, Love, Memory, Money, Passion, Peace of mind, Protection, Psychic protection, Purification, Stopping gossip, Cleansing, Friendship, Psychic development, Release, Spell-breaking</t>
        </is>
      </c>
      <c r="AA10" t="inlineStr">
        <is>
          <t>Camph</t>
        </is>
      </c>
      <c r="AC10" t="inlineStr">
        <is>
          <t>CHIVE</t>
        </is>
      </c>
      <c r="AD10" t="inlineStr">
        <is>
          <t>Banishing, Exorcism, Breaking bad habits, Dispelling melancholy, Protection against disease, Weight loss spells</t>
        </is>
      </c>
      <c r="AG10" t="inlineStr">
        <is>
          <t>Apache Tears</t>
        </is>
      </c>
      <c r="AH10" t="inlineStr">
        <is>
          <t>Luck, removal of pain</t>
        </is>
      </c>
      <c r="AI10" t="inlineStr">
        <is>
          <t>Garnet</t>
        </is>
      </c>
      <c r="AJ10" t="inlineStr">
        <is>
          <t>Healing, cheery disposition, Confidence, Love, business success, past life regression, consistency of love &amp; friendship, travel protection, Happiness, Peace, Harmony, patience, inspiration, persistence, wisdom, fertility.</t>
        </is>
      </c>
      <c r="AK10" t="inlineStr">
        <is>
          <t>Bloodstone</t>
        </is>
      </c>
      <c r="AL10" t="inlineStr">
        <is>
          <t>Healing, Prosperity, Confidence, physical strength, stress relief, help in business, legal matters, revitalization, guidance, rain, ganization.</t>
        </is>
      </c>
      <c r="AM10" t="inlineStr">
        <is>
          <t>Clear Quartz</t>
        </is>
      </c>
      <c r="AO10" t="inlineStr">
        <is>
          <t>Flu</t>
        </is>
      </c>
      <c r="AQ10" t="inlineStr">
        <is>
          <t>ite</t>
        </is>
      </c>
      <c r="BA10" t="inlineStr">
        <is>
          <t>HAGALAZ</t>
        </is>
      </c>
      <c r="BB10" t="inlineStr">
        <is>
          <t>Shadow integration, releasing what no longer serves, working through disruption, elemental release ceremonies.</t>
        </is>
      </c>
      <c r="BC10" s="42" t="inlineStr">
        <is>
          <t>Hailstorm and disruption, the winter that breaks things open whether or not it is welcomed. Protection and banishing held through what cannot be avoided. Strength built through challenge. Warding given urgency. Where transformation is being forced by circumstance.</t>
        </is>
      </c>
    </row>
    <row r="11" ht="409.5" customHeight="1" s="56">
      <c r="A11" t="inlineStr">
        <is>
          <t>NAUDIZ</t>
        </is>
      </c>
      <c r="B11" t="inlineStr">
        <is>
          <t>Naudr, Nauthiz, Naud, Naudhr, Naudir, Naudth, Nauths, Nied, Noicz</t>
        </is>
      </c>
      <c r="C11" t="inlineStr">
        <is>
          <t>N</t>
        </is>
      </c>
      <c r="D11" t="inlineStr">
        <is>
          <t>Now-dthiz</t>
        </is>
      </c>
      <c r="E11" t="inlineStr">
        <is>
          <t>Strength, Perseverance, Inner power, Confidence, Healing, Necessity, Physical Strength, Fortitude, Vitality, and strength, Self-confidence, Courage, Bravery, Determination, Will Power, Leadership, Leadership skills, Commanding, Personal power, Healing magic, Healing spells, Healing sachets, Healing incenses, Healing mixtures, Healing rituals, Healing incense, Healing vibrations, healing after surgery, Aiding recovery, Aiding the ill, Improving health, Speeding recovery, Good health, health</t>
        </is>
      </c>
      <c r="F11" t="inlineStr">
        <is>
          <t>Skuld, Hardship, Learning through adversity</t>
        </is>
      </c>
      <c r="G11" t="inlineStr">
        <is>
          <t>Capricorn</t>
        </is>
      </c>
      <c r="H11" t="inlineStr">
        <is>
          <t>Fire</t>
        </is>
      </c>
      <c r="I11" t="inlineStr">
        <is>
          <t>Female</t>
        </is>
      </c>
      <c r="J11" t="inlineStr">
        <is>
          <t>Saturday</t>
        </is>
      </c>
      <c r="K11" t="inlineStr">
        <is>
          <t>Skuld</t>
        </is>
      </c>
      <c r="L11" t="inlineStr">
        <is>
          <t>IMBOLC, YULE</t>
        </is>
      </c>
      <c r="M11" t="inlineStr">
        <is>
          <t>Naudiz represents need, hardship, or adversity. Luckily, it includes the perseverance to endure, and reserves of inner strength. It counsels patience. However unpleasant the hardship it is a learning experience that will ultimately benefit you. Naudiz can also warn against taking a risky path. In conjunction with other runes, Naudiz tends to have a delaying influence.</t>
        </is>
      </c>
      <c r="N11" t="inlineStr">
        <is>
          <t>Control your emotions. Do not give in to cravings. Your health is at risk especially from dietary aberrations. Ensure your love is not misplaced. Beware extraordinary demands on your time or generosity.</t>
        </is>
      </c>
      <c r="O11" t="inlineStr">
        <is>
          <t>You are getting exactly what you need right now to make the best progress on your spiritual path. It may appear to be the very opposite of what you want, but this state is not permanent, it is merely a series of lessons that must be learnt so that you can make the transition from negative to positive. Accept your past, keep your mind fixed on your goal, and learn from your present situation.</t>
        </is>
      </c>
      <c r="P11" t="inlineStr">
        <is>
          <t>10</t>
        </is>
      </c>
      <c r="Q11" t="inlineStr">
        <is>
          <t>Black</t>
        </is>
      </c>
      <c r="R11" t="inlineStr">
        <is>
          <t>Rowan (mountain ash)</t>
        </is>
      </c>
      <c r="S11" t="inlineStr">
        <is>
          <t>Calamus Root, Comfrey, Black Tea, Cedarwood, Coltsfoot</t>
        </is>
      </c>
      <c r="T11" t="inlineStr">
        <is>
          <t>Bloodstone, Garnet, Ametrine, Clear Quartz, Flu, ite</t>
        </is>
      </c>
      <c r="U11" t="inlineStr">
        <is>
          <t>CALAMUS ROOT</t>
        </is>
      </c>
      <c r="V11" t="inlineStr">
        <is>
          <t>Aphrodisiac, Harmony, Love, Peace, Tranquillity, Strengthening spells, Binding spells, Healing incenses, Healing sachets, Emotional exhaustion, Self-confidence, Success</t>
        </is>
      </c>
      <c r="W11" t="inlineStr">
        <is>
          <t>COMFREY</t>
        </is>
      </c>
      <c r="X11" t="inlineStr">
        <is>
          <t>Healing, Travel safety, Money spells, Protection for travellers, Protection against theft, Luggage protection, Faithfulness, Vehicle protection, Casino luck, Borage substitute, Ritual bath, Divination, Concentration, Letting go of relationships</t>
        </is>
      </c>
      <c r="Y11" t="inlineStr">
        <is>
          <t>BLACK TEA</t>
        </is>
      </c>
      <c r="Z11" t="inlineStr">
        <is>
          <t>Prosperity, Strength, Fortitude, Good health, Divination, Emotional healing, Calming, Soothing, Reviving, Invigorating</t>
        </is>
      </c>
      <c r="AA11" t="inlineStr">
        <is>
          <t>Cedarwood</t>
        </is>
      </c>
      <c r="AC11" t="inlineStr">
        <is>
          <t>COLTSFOOT</t>
        </is>
      </c>
      <c r="AD11" t="inlineStr">
        <is>
          <t>Spring rituals, Imbolc, Ostara, Beltane, Love, Tranquillity, Money spells, Divinatory incense, Healing incense, Psychic awareness, Communion with spirits, Prophetic dreams, Removing sickness, Removing mental troubles, Visions</t>
        </is>
      </c>
      <c r="AG11" t="inlineStr">
        <is>
          <t>Bloodstone</t>
        </is>
      </c>
      <c r="AH11" t="inlineStr">
        <is>
          <t>Healing, Prosperity, Confidence, physical strength, stress relief, help in business, legal matters, revitalization, guidance, rain, ganization.</t>
        </is>
      </c>
      <c r="AI11" t="inlineStr">
        <is>
          <t>Garnet</t>
        </is>
      </c>
      <c r="AJ11" t="inlineStr">
        <is>
          <t>Healing, cheery disposition, Confidence, Love, business success, past life regression, consistency of love &amp; friendship, travel protection, Happiness, Peace, Harmony, patience, inspiration, persistence, wisdom, fertility.</t>
        </is>
      </c>
      <c r="AK11" t="inlineStr">
        <is>
          <t>Ametrine</t>
        </is>
      </c>
      <c r="AL11" t="inlineStr">
        <is>
          <t>Astral travel, magickal power, meditation, removing negativity.</t>
        </is>
      </c>
      <c r="AM11" t="inlineStr">
        <is>
          <t>Clear Quartz</t>
        </is>
      </c>
      <c r="AO11" t="inlineStr">
        <is>
          <t>Flu</t>
        </is>
      </c>
      <c r="AQ11" t="inlineStr">
        <is>
          <t>ite</t>
        </is>
      </c>
      <c r="BA11" t="inlineStr">
        <is>
          <t>NAUDIZ</t>
        </is>
      </c>
      <c r="BB11" t="inlineStr">
        <is>
          <t>Endurance rites, binding harmful patterns, fire-starting ceremonies, need-fire magic, spiritual discipline work.</t>
        </is>
      </c>
      <c r="BC11" s="42" t="inlineStr">
        <is>
          <t>The need-fire lit in the dark of necessity, the rune of endurance. Strength and perseverance held in constraint. Inner power drawn from what is difficult. Healing and confidence built in the facing of what cannot be avoided. Where giving up is not the option.</t>
        </is>
      </c>
    </row>
    <row r="12" ht="409.5" customHeight="1" s="56">
      <c r="A12" t="inlineStr">
        <is>
          <t>ISA</t>
        </is>
      </c>
      <c r="B12" t="inlineStr">
        <is>
          <t>Is, Eis, Icz, Isar, Isaz, Iss</t>
        </is>
      </c>
      <c r="C12" t="inlineStr">
        <is>
          <t>I</t>
        </is>
      </c>
      <c r="D12" t="inlineStr">
        <is>
          <t>Ee-saw</t>
        </is>
      </c>
      <c r="E12" t="inlineStr">
        <is>
          <t>Binding spells, Stillness, Stagnation breaking, Freezing (hexes), Protection, Patience, Protective charm, Protective charms, Protective sachets, Protective wreaths, Protective incense, PROTECT AGAINST NEGATIVITY, Protection from negativity, Circle protection</t>
        </is>
      </c>
      <c r="F12" t="inlineStr">
        <is>
          <t>Verdandi, Winter, Preservation</t>
        </is>
      </c>
      <c r="G12" t="inlineStr">
        <is>
          <t>The Moon</t>
        </is>
      </c>
      <c r="H12" t="inlineStr">
        <is>
          <t>Ice (Water)</t>
        </is>
      </c>
      <c r="I12" t="inlineStr">
        <is>
          <t>Female</t>
        </is>
      </c>
      <c r="J12" t="inlineStr">
        <is>
          <t>Monday</t>
        </is>
      </c>
      <c r="K12" t="inlineStr">
        <is>
          <t>Verdandi</t>
        </is>
      </c>
      <c r="L12" t="inlineStr">
        <is>
          <t>IMBOLC, SAMHAIN</t>
        </is>
      </c>
      <c r="M12" t="inlineStr">
        <is>
          <t>Isa means ice. Although ice can be beautiful, it is also dangerous. It can be slippery or treacherously thin, or block your progress. Emotionally, Isa implies a cooling of affection, or frigidity. It has a freezing, delaying, or preserving effect on other runes around it. Isa means that you may have to delay your plans until a more favourable season. But it can take the heat out of a confrontation, or protect against magical attack.</t>
        </is>
      </c>
      <c r="N12" t="inlineStr">
        <is>
          <t>Ice, cold, freezing. Lack of change. Stagnation. Preservation and binding.</t>
        </is>
      </c>
      <c r="O12" t="inlineStr">
        <is>
          <t>A period of non-action is indicated. Do not let yourself get into a rut. Do not take anyone for granted. Be not afraid to show your feelings. Crossing water will be beneficial. Things appear to be at a standstill and this is not a time to try to force movement. Patience and wisdom are called for. This is not the time to abandon goals, but an opportunity to reaffirm them. This is a time for contemplation and preparation, not despondency or regrets. Things will change as surely as winter changes to spring and then summer.</t>
        </is>
      </c>
      <c r="P12" t="inlineStr">
        <is>
          <t>11</t>
        </is>
      </c>
      <c r="Q12" t="inlineStr">
        <is>
          <t>Black</t>
        </is>
      </c>
      <c r="R12" t="inlineStr">
        <is>
          <t>Alder</t>
        </is>
      </c>
      <c r="S12" t="inlineStr">
        <is>
          <t>Chamomile, Cedarwood, Coltsfoot, Chive, Black Tea</t>
        </is>
      </c>
      <c r="T12" t="inlineStr">
        <is>
          <t>Clear Quartz, Flu, ite, Calcite (Icel, Spar), Amethyst, Aquamarine</t>
        </is>
      </c>
      <c r="U12" t="inlineStr">
        <is>
          <t>CHAMOMILE</t>
        </is>
      </c>
      <c r="V12" t="inlineStr">
        <is>
          <t>Fortune, Justice, Love, Meditation, Money, Prosperity, Purification, Removing curses, Removing hexes, Serenity, Calm, Sleep</t>
        </is>
      </c>
      <c r="W12" t="inlineStr">
        <is>
          <t>Cedarwood</t>
        </is>
      </c>
      <c r="Y12" t="inlineStr">
        <is>
          <t>COLTSFOOT</t>
        </is>
      </c>
      <c r="Z12" t="inlineStr">
        <is>
          <t>Spring rituals, Imbolc, Ostara, Beltane, Love, Tranquillity, Money spells, Divinatory incense, Healing incense, Psychic awareness, Communion with spirits, Prophetic dreams, Removing sickness, Removing mental troubles, Visions</t>
        </is>
      </c>
      <c r="AA12" t="inlineStr">
        <is>
          <t>CHIVE</t>
        </is>
      </c>
      <c r="AB12" t="inlineStr">
        <is>
          <t>Banishing, Exorcism, Breaking bad habits, Dispelling melancholy, Protection against disease, Weight loss spells</t>
        </is>
      </c>
      <c r="AC12" t="inlineStr">
        <is>
          <t>BLACK TEA</t>
        </is>
      </c>
      <c r="AD12" t="inlineStr">
        <is>
          <t>Prosperity, Strength, Fortitude, Good health, Divination, Emotional healing, Calming, Soothing, Reviving, Invigorating</t>
        </is>
      </c>
      <c r="AG12" t="inlineStr">
        <is>
          <t>Clear Quartz</t>
        </is>
      </c>
      <c r="AI12" t="inlineStr">
        <is>
          <t>Flu</t>
        </is>
      </c>
      <c r="AK12" t="inlineStr">
        <is>
          <t>ite</t>
        </is>
      </c>
      <c r="AM12" t="inlineStr">
        <is>
          <t>Calcite (Icel</t>
        </is>
      </c>
      <c r="AO12" t="inlineStr">
        <is>
          <t>Spar)</t>
        </is>
      </c>
      <c r="AQ12" t="inlineStr">
        <is>
          <t>Amethyst</t>
        </is>
      </c>
      <c r="AR12"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BA12" t="inlineStr">
        <is>
          <t>ISA</t>
        </is>
      </c>
      <c r="BB12" t="inlineStr">
        <is>
          <t>Stillness and inner reflection, binding spells, freezing harmful situations, deep meditation, winter solstice rites.</t>
        </is>
      </c>
      <c r="BC12" s="42" t="inlineStr">
        <is>
          <t>Ice on still water, everything frozen and waiting with perfect patience. Binding spells given absolute stillness. What is harmful frozen in place. Protection through the refusal to move. Where something needs stopping completely until the time is right.</t>
        </is>
      </c>
    </row>
    <row r="13" ht="409.5" customHeight="1" s="56">
      <c r="A13" t="inlineStr">
        <is>
          <t>JERA</t>
        </is>
      </c>
      <c r="B13" t="inlineStr">
        <is>
          <t>Ar, Gaar, Jara, Jer, Jeran, Yer</t>
        </is>
      </c>
      <c r="C13" t="inlineStr">
        <is>
          <t>J/Y</t>
        </is>
      </c>
      <c r="D13" t="inlineStr">
        <is>
          <t>Year-ah</t>
        </is>
      </c>
      <c r="E13" t="inlineStr">
        <is>
          <t>Harvest spells, Fertility, Fruitfulness, Prosperity, Cycles, Justice, Reward, Female fertility, Fertility magic, Fertility charms, Aiding fertility, Increasing fertility,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Success, Victory, victory in battle, Conquest, Overcoming opposition, Courtroom success, Legal matters</t>
        </is>
      </c>
      <c r="F13" t="inlineStr">
        <is>
          <t>Frey, Freyja, Natural cycles, Harvest</t>
        </is>
      </c>
      <c r="G13" t="inlineStr">
        <is>
          <t>The Sun</t>
        </is>
      </c>
      <c r="H13" t="inlineStr">
        <is>
          <t>Earth</t>
        </is>
      </c>
      <c r="I13" t="inlineStr">
        <is>
          <t>Male and Female</t>
        </is>
      </c>
      <c r="J13" t="inlineStr">
        <is>
          <t>Thursday</t>
        </is>
      </c>
      <c r="K13" t="inlineStr">
        <is>
          <t>Frey, Freyja</t>
        </is>
      </c>
      <c r="L13" t="inlineStr">
        <is>
          <t>Lughnasadh, Mabon</t>
        </is>
      </c>
      <c r="M13" t="inlineStr">
        <is>
          <t>Jera as Rune No. 12 represents the 12 months of the year. It implies fruitfulness, profit or achievement of a goal. It also means the cycle of seasons implying movement, change, natural development. It is usually very positive, but as a symbol of cause-and-effect it may portend the end-result of past actions. Jera may therefore represent justice, which can be positive or negative, a reward or a punishment.</t>
        </is>
      </c>
      <c r="N13" t="inlineStr">
        <is>
          <t>Success in endeavours, fruition of plans. Good spirits. Just rewards for past efforts. Inventiveness, talent or skill. Great reward to those who work with their hands or on the land.</t>
        </is>
      </c>
      <c r="O13" t="inlineStr">
        <is>
          <t>This is a time of reaping rewards from seeds sown in the past. It is a time of plenty, of joy and celebration. But it is also a time to work with no time for complacency. The harvest is followed by winter so you should make sure you have stored enough wisdom to face your next challenge. This is another turning point in life, not a goal. There are greater harvests ahead, but like the farmer, you must prepare the land, sow the seed, tend the seedlings and feed the fruit.</t>
        </is>
      </c>
      <c r="P13" t="inlineStr">
        <is>
          <t>12</t>
        </is>
      </c>
      <c r="Q13" t="inlineStr">
        <is>
          <t>Light Blue</t>
        </is>
      </c>
      <c r="R13" t="inlineStr">
        <is>
          <t>Oak</t>
        </is>
      </c>
      <c r="S13" t="inlineStr">
        <is>
          <t>Chamomile, Clover, Red Clover, Apple Blossom, Cinnamon</t>
        </is>
      </c>
      <c r="T13" t="inlineStr">
        <is>
          <t>Carnelian, Citrine, Aventurine, Amazonite, Clear Quartz</t>
        </is>
      </c>
      <c r="U13" t="inlineStr">
        <is>
          <t>CHAMOMILE</t>
        </is>
      </c>
      <c r="V13" t="inlineStr">
        <is>
          <t>Fortune, Justice, Love, Meditation, Money, Prosperity, Purification, Removing curses, Removing hexes, Serenity, Calm, Sleep</t>
        </is>
      </c>
      <c r="W13" t="inlineStr">
        <is>
          <t>CLOVER</t>
        </is>
      </c>
      <c r="X13" t="inlineStr">
        <is>
          <t>Fidelity, Love, Money, Protection, Blessing domestic animals, Financial arrangements, Removing negative spirits, Ritual baths, Prosperity, Floor washes, Shamanic work, Otherworld travel, Out-of-body protection, Walking between worlds, Protective charm</t>
        </is>
      </c>
      <c r="Y13" t="inlineStr">
        <is>
          <t>Red Clover</t>
        </is>
      </c>
      <c r="AA13" t="inlineStr">
        <is>
          <t>APPLE BLOSSOM</t>
        </is>
      </c>
      <c r="AB13" t="inlineStr">
        <is>
          <t>Love spells, Peace, Contentment, Success, Relaxation, Bath magic</t>
        </is>
      </c>
      <c r="AC13" t="inlineStr">
        <is>
          <t>Cinnamon</t>
        </is>
      </c>
      <c r="AG13" t="inlineStr">
        <is>
          <t>Carnelian</t>
        </is>
      </c>
      <c r="AH13" t="inlineStr">
        <is>
          <t>Happiness, Protection, energy, easing depression, promoting self-confidence, Peace, concentration, focus, Attraction, sexuality, Love, Healing, courage.</t>
        </is>
      </c>
      <c r="AI13" t="inlineStr">
        <is>
          <t>Citrine</t>
        </is>
      </c>
      <c r="AJ13"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K13" t="inlineStr">
        <is>
          <t>Aventurine</t>
        </is>
      </c>
      <c r="AL13" t="inlineStr">
        <is>
          <t>Creativity, motivation, inner peace, business success, intellect, perception, soothing emotions, heartache, clarity, imagination, independence, Happiness, sexuality, Strength, Prosperity, romance.</t>
        </is>
      </c>
      <c r="AM13" t="inlineStr">
        <is>
          <t>Amazonite</t>
        </is>
      </c>
      <c r="AN13" t="inlineStr">
        <is>
          <t>Gambling, Prosperity</t>
        </is>
      </c>
      <c r="AO13" t="inlineStr">
        <is>
          <t>Clear Quartz</t>
        </is>
      </c>
      <c r="AS13" t="inlineStr">
        <is>
          <t>Cedarwood</t>
        </is>
      </c>
      <c r="AT13" t="inlineStr">
        <is>
          <t>Purification, Protection, RID OF BAD DREAMS, Prosperity</t>
        </is>
      </c>
      <c r="BA13" t="inlineStr">
        <is>
          <t>JERA</t>
        </is>
      </c>
      <c r="BB13" t="inlineStr">
        <is>
          <t>Harvest celebrations, seasonal cycle honouring, gratitude altars, patience work, long-term manifestation rituals.</t>
        </is>
      </c>
      <c r="BC13" s="42" t="inlineStr">
        <is>
          <t>The turning of the full year with harvest in its hands, the rune of just reward. Fertility and fruitfulness both carried. Prosperity drawn in, cycles honoured. Justice and the fruition of long workings. Where what has been planted with patience is finally ready to be gathered.</t>
        </is>
      </c>
    </row>
    <row r="14" ht="409.5" customHeight="1" s="56">
      <c r="A14" t="inlineStr">
        <is>
          <t>IHWAZ</t>
        </is>
      </c>
      <c r="B14" t="inlineStr">
        <is>
          <t>Eihwaz, Eihwas, Eihwaz, Eo, Erwaz, Ezck, Ihwar, Ihwas, Iwar, Iwaz, Yr</t>
        </is>
      </c>
      <c r="C14" t="inlineStr">
        <is>
          <t>Y/I</t>
        </is>
      </c>
      <c r="D14" t="inlineStr">
        <is>
          <t>Eye-warz</t>
        </is>
      </c>
      <c r="E14" t="inlineStr">
        <is>
          <t>Transformation, Protection, Banishing, Healing, Strength, Change, New beginnings, Breaking habits, Breaking bad habits, Ending negative self-talk, Letting go of relationships, Ending guilt, Release, Renewal, New beginning spells, Fresh starts, rebirth, Breakthrough, Awakening, Growth, New ideas, Assisting transformation, Transformation/Evolution,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Physical Strength, Fortitude, Vitality, Inner power, and strength</t>
        </is>
      </c>
      <c r="F14" t="inlineStr">
        <is>
          <t>Ullr, Yew tree, Defense, Magic</t>
        </is>
      </c>
      <c r="G14" t="inlineStr">
        <is>
          <t>Scorpio</t>
        </is>
      </c>
      <c r="H14" t="inlineStr">
        <is>
          <t>Earth, Air, Fire &amp; Water</t>
        </is>
      </c>
      <c r="I14" t="inlineStr">
        <is>
          <t>Male</t>
        </is>
      </c>
      <c r="J14" t="inlineStr">
        <is>
          <t>Friday</t>
        </is>
      </c>
      <c r="K14" t="inlineStr">
        <is>
          <t>Ullr</t>
        </is>
      </c>
      <c r="L14" t="inlineStr">
        <is>
          <t>SAMHAIN, YULE</t>
        </is>
      </c>
      <c r="M14" t="inlineStr">
        <is>
          <t>Ihwaz should not be feared, because it also means continuity and endurance. The best longbows were always made from yew trees. As well as being strong, long-lasting, and flexible, they contained protective magic. Thus, Ihwaz also represents safety from attack and a weapon of defence. Ihwaz is the symbol of rune magic. Avertive, defective or defensive power is yours. Patience, perseverance, foresight and protection against unexpected attack. Wisdom in adversity.</t>
        </is>
      </c>
      <c r="N14" t="inlineStr">
        <is>
          <t>Transformation, defense, protection, magical power, continuity, endurance.</t>
        </is>
      </c>
      <c r="O14" t="inlineStr">
        <is>
          <t>This is a time of transformation, a time to let go of the old and embrace the new, new beginnings, new life and new dreams. The only constant is change, and quick progress requires an acceptance of change, not resistance to it. Don't be afraid. Change is scary, but if you remain true to yourself and stick to your path, you will soon achieve your goal.</t>
        </is>
      </c>
      <c r="P14" t="inlineStr">
        <is>
          <t>13</t>
        </is>
      </c>
      <c r="Q14" t="inlineStr">
        <is>
          <t>Magenta</t>
        </is>
      </c>
      <c r="R14" t="inlineStr">
        <is>
          <t>Yew</t>
        </is>
      </c>
      <c r="S14" t="inlineStr">
        <is>
          <t>Cedarwood, Comfrey, Cloves, Calamus Root, Camph</t>
        </is>
      </c>
      <c r="T14" t="inlineStr">
        <is>
          <t>Garnet, Bloodstone, Ametrine, Apache Tears, Clear Quartz</t>
        </is>
      </c>
      <c r="U14" t="inlineStr">
        <is>
          <t>Cedarwood</t>
        </is>
      </c>
      <c r="W14" t="inlineStr">
        <is>
          <t>COMFREY</t>
        </is>
      </c>
      <c r="X14" t="inlineStr">
        <is>
          <t>Healing, Travel safety, Money spells, Protection for travellers, Protection against theft, Luggage protection, Faithfulness, Vehicle protection, Casino luck, Borage substitute, Ritual bath, Divination, Concentration, Letting go of relationships</t>
        </is>
      </c>
      <c r="Y14" t="inlineStr">
        <is>
          <t>CLOVES</t>
        </is>
      </c>
      <c r="Z14" t="inlineStr">
        <is>
          <t>Clairvoyance, Divination, Exorcism, Keeping away negative forces, Love, Memory, Money, Passion, Peace of mind, Protection, Psychic protection, Purification, Stopping gossip, Cleansing, Friendship, Psychic development, Release, Spell-breaking</t>
        </is>
      </c>
      <c r="AA14" t="inlineStr">
        <is>
          <t>CALAMUS ROOT</t>
        </is>
      </c>
      <c r="AB14" t="inlineStr">
        <is>
          <t>Aphrodisiac, Harmony, Love, Peace, Tranquillity, Strengthening spells, Binding spells, Healing incenses, Healing sachets, Emotional exhaustion, Self-confidence, Success</t>
        </is>
      </c>
      <c r="AC14" t="inlineStr">
        <is>
          <t>Camph</t>
        </is>
      </c>
      <c r="AG14" t="inlineStr">
        <is>
          <t>Garnet</t>
        </is>
      </c>
      <c r="AH14" t="inlineStr">
        <is>
          <t>Healing, cheery disposition, Confidence, Love, business success, past life regression, consistency of love &amp; friendship, travel protection, Happiness, Peace, Harmony, patience, inspiration, persistence, wisdom, fertility.</t>
        </is>
      </c>
      <c r="AI14" t="inlineStr">
        <is>
          <t>Bloodstone</t>
        </is>
      </c>
      <c r="AJ14" t="inlineStr">
        <is>
          <t>Healing, Prosperity, Confidence, physical strength, stress relief, help in business, legal matters, revitalization, guidance, rain, ganization.</t>
        </is>
      </c>
      <c r="AK14" t="inlineStr">
        <is>
          <t>Ametrine</t>
        </is>
      </c>
      <c r="AL14" t="inlineStr">
        <is>
          <t>Astral travel, magickal power, meditation, removing negativity.</t>
        </is>
      </c>
      <c r="AM14" t="inlineStr">
        <is>
          <t>Apache Tears</t>
        </is>
      </c>
      <c r="AN14" t="inlineStr">
        <is>
          <t>Luck, removal of pain</t>
        </is>
      </c>
      <c r="AO14" t="inlineStr">
        <is>
          <t>Clear Quartz</t>
        </is>
      </c>
      <c r="BA14" t="inlineStr">
        <is>
          <t>IHWAZ</t>
        </is>
      </c>
      <c r="BB14" t="inlineStr">
        <is>
          <t>Death and rebirth rites, Samhain workings, transformation ceremonies, ancestral connection, endurance through change.</t>
        </is>
      </c>
      <c r="BC14" s="42" t="inlineStr">
        <is>
          <t>The yew tree at the churchyard edge, roots reaching into both worlds. Transformation and protection held together. Banishing and healing found in the same working. Strength drawn through change. New beginnings arrived at through the death of what needed to end.</t>
        </is>
      </c>
    </row>
    <row r="15" ht="409.5" customHeight="1" s="56">
      <c r="A15" t="inlineStr">
        <is>
          <t>PERTH</t>
        </is>
      </c>
      <c r="B15" t="inlineStr">
        <is>
          <t>Pertho, Peorth, Pairthra, Perb, Perthu, Peordh, Perthro, Perthrold, Pertra</t>
        </is>
      </c>
      <c r="C15" t="inlineStr">
        <is>
          <t>P</t>
        </is>
      </c>
      <c r="D15" t="inlineStr">
        <is>
          <t>Pair-dth</t>
        </is>
      </c>
      <c r="E15" t="inlineStr">
        <is>
          <t>Divination, Mystery, Clairvoyance, Secrets, Star magick, Chance, Hidden knowledge, Truth,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Prophetic dreams, Invoking dreams, Dream work, Dreams, Visions, Seeing the unseen, Seeing manifestations, Honesty, Removing deception, Subconscious work, Digging into the subconscious, Uprooting what is hidden, Treasure seeking, Lost object finding</t>
        </is>
      </c>
      <c r="F15" t="inlineStr">
        <is>
          <t>Frigg, Mystery, Hidden things</t>
        </is>
      </c>
      <c r="G15" t="inlineStr">
        <is>
          <t>Saturn</t>
        </is>
      </c>
      <c r="H15" t="inlineStr">
        <is>
          <t>Water</t>
        </is>
      </c>
      <c r="I15" t="inlineStr">
        <is>
          <t>Female</t>
        </is>
      </c>
      <c r="J15" t="inlineStr">
        <is>
          <t>Saturday</t>
        </is>
      </c>
      <c r="K15" t="inlineStr">
        <is>
          <t>Frigg</t>
        </is>
      </c>
      <c r="L15" t="inlineStr">
        <is>
          <t>SAMHAIN</t>
        </is>
      </c>
      <c r="M15" t="inlineStr">
        <is>
          <t>Perth suggests the disclosure of a secret. It could also refer to pregnancy and birth. Perth is linked with the sensible and moderate enjoyment of sexuality. Because of the mystery surrounding it, common sense and prudence are called for in the interpretation of Perth. A gamble, a mystery, an unknown outcome. Mathematical odds. Make the best of your lot. Employ common sense and moderation to succeed.</t>
        </is>
      </c>
      <c r="N15" t="inlineStr">
        <is>
          <t>Mystery, chance, secrets, hidden knowledge, disclosure, science.</t>
        </is>
      </c>
      <c r="O15" t="inlineStr">
        <is>
          <t>You always have a choice in everything. No-one can upset you, you can only choose to be upset. No-one can exert power over you unless you choose to subject yourself to it. Claim your right to choice. Don't allow others to compromise your truth or prevent you from doing what you need to do. The only danger here is not to make a choice, to leave things to fate and have no say in your own future.</t>
        </is>
      </c>
      <c r="P15" t="inlineStr">
        <is>
          <t>14</t>
        </is>
      </c>
      <c r="Q15" t="inlineStr">
        <is>
          <t>Black</t>
        </is>
      </c>
      <c r="R15" t="inlineStr">
        <is>
          <t>Aspen</t>
        </is>
      </c>
      <c r="S15" t="inlineStr">
        <is>
          <t>Camph, Anise, Coltsfoot, Cinnamon, Bay Laurel</t>
        </is>
      </c>
      <c r="T15" t="inlineStr">
        <is>
          <t>Amethyst, Ametrine, Flu, ite, Clear Quartz, Chrysocolla</t>
        </is>
      </c>
      <c r="U15" t="inlineStr">
        <is>
          <t>Camph</t>
        </is>
      </c>
      <c r="W15" t="inlineStr">
        <is>
          <t>ANISE</t>
        </is>
      </c>
      <c r="X15" t="inlineStr">
        <is>
          <t>Contacting other planes, Divination, Love, Passion, Preventing nightmares, Protection, Psychic development, Psychic protection, Purification, Clairvoyance, Cleansing, Consecration, Fertility, Gain, Good luck, Happiness, Money, Weddings</t>
        </is>
      </c>
      <c r="Y15" t="inlineStr">
        <is>
          <t>COLTSFOOT</t>
        </is>
      </c>
      <c r="Z15" t="inlineStr">
        <is>
          <t>Spring rituals, Imbolc, Ostara, Beltane, Love, Tranquillity, Money spells, Divinatory incense, Healing incense, Psychic awareness, Communion with spirits, Prophetic dreams, Removing sickness, Removing mental troubles, Visions</t>
        </is>
      </c>
      <c r="AA15" t="inlineStr">
        <is>
          <t>Cinnamon</t>
        </is>
      </c>
      <c r="AC15" t="inlineStr">
        <is>
          <t>BAY LAUREL</t>
        </is>
      </c>
      <c r="AD15" t="inlineStr">
        <is>
          <t>Clairvoyance, Consecration, Divination, Dreams, Exorcism, Healing, Love, Passion, Protection, Psychic protection, Purification, Wisdom, Wishes, Winter rituals, Yule magic</t>
        </is>
      </c>
      <c r="AG15" t="inlineStr">
        <is>
          <t>Amethyst</t>
        </is>
      </c>
      <c r="AH15"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I15" t="inlineStr">
        <is>
          <t>Ametrine</t>
        </is>
      </c>
      <c r="AJ15" t="inlineStr">
        <is>
          <t>Astral travel, magickal power, meditation, removing negativity.</t>
        </is>
      </c>
      <c r="AK15" t="inlineStr">
        <is>
          <t>Flu</t>
        </is>
      </c>
      <c r="AM15" t="inlineStr">
        <is>
          <t>ite</t>
        </is>
      </c>
      <c r="AO15" t="inlineStr">
        <is>
          <t>Clear Quartz</t>
        </is>
      </c>
      <c r="AQ15" t="inlineStr">
        <is>
          <t>Chrysocolla</t>
        </is>
      </c>
      <c r="AR15" t="inlineStr">
        <is>
          <t>Clarity, Peace, patience, Love, wisdom, Negating dreams, Harmony, Prosperity, growth, hope, intimacy, Divination, tolerance, sleep, creativity, self-awareness.</t>
        </is>
      </c>
      <c r="BA15" t="inlineStr">
        <is>
          <t>PERTH</t>
        </is>
      </c>
      <c r="BB15" t="inlineStr">
        <is>
          <t>Divination ceremonies, uncovering hidden truths, working with mystery traditions, fate and destiny rituals.</t>
        </is>
      </c>
      <c r="BC15" s="42" t="inlineStr">
        <is>
          <t>The hidden pool deep in the forest, still and showing what it chooses. Divination and mystery find it willing. Clairvoyance and hidden knowledge drawn up. Star magick and the secrets of chance carried in its depth. Where the working requires looking honestly at what is not yet visible.</t>
        </is>
      </c>
    </row>
    <row r="16" ht="409.5" customHeight="1" s="56">
      <c r="A16" t="inlineStr">
        <is>
          <t>ALGIZ</t>
        </is>
      </c>
      <c r="B16" t="inlineStr">
        <is>
          <t>Yr, Elhaz, Algir, Algis, Algs, Elgr</t>
        </is>
      </c>
      <c r="C16" t="inlineStr">
        <is>
          <t>Z/S</t>
        </is>
      </c>
      <c r="D16" t="inlineStr">
        <is>
          <t>Awl-gh-eeze</t>
        </is>
      </c>
      <c r="E16" t="inlineStr">
        <is>
          <t>Protection, Warding, Protection (hexes/evil), Banishing, Alertness, Strength, Success,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Victory, victory in battle, Conquest, Overcoming opposition, Courtroom success, Legal matters, Justice</t>
        </is>
      </c>
      <c r="F16" t="inlineStr">
        <is>
          <t>Heimdall, Protection, Defense</t>
        </is>
      </c>
      <c r="G16" t="inlineStr">
        <is>
          <t>Cancer</t>
        </is>
      </c>
      <c r="H16" t="inlineStr">
        <is>
          <t>Air</t>
        </is>
      </c>
      <c r="I16" t="inlineStr">
        <is>
          <t>Male</t>
        </is>
      </c>
      <c r="J16" t="inlineStr">
        <is>
          <t>Sunday</t>
        </is>
      </c>
      <c r="K16" t="inlineStr">
        <is>
          <t>Heimdall</t>
        </is>
      </c>
      <c r="L16" t="inlineStr">
        <is>
          <t>LITHA, LAMMAS</t>
        </is>
      </c>
      <c r="M16" t="inlineStr">
        <is>
          <t>Algiz also represents success through endeavour in a search, quest, or other enterprise. Like the fast-growing pine tree, schemes will develop quickly. Like sharp sedge, you are protected from attack. Alertness and awareness will be your guide. Wisdom, vision and clarity of mind will aid your cause. Algiz illustrates both the antlers of the elk, and the shape of the sedge-grass herb. To some it suggests the spread fingers of a hand raised in a protective gesture. It is a powerful rune of protection and, spiritually, it symbolizes reaching up to the divine.</t>
        </is>
      </c>
      <c r="N16" t="inlineStr">
        <is>
          <t>Protection, safe refuge, opportunity, alertness, rapid growth, success.</t>
        </is>
      </c>
      <c r="O16" t="inlineStr">
        <is>
          <t>Although the path ahead is fraught with danger, you need have no fear, for you have the power of protection within you. You will be safe as long as you are not reckless. Algiz indicates a favourable time for risky ventures, although all things must be built on firm foundations. Do not become complacent.</t>
        </is>
      </c>
      <c r="P16" t="inlineStr">
        <is>
          <t>15</t>
        </is>
      </c>
      <c r="Q16" t="inlineStr">
        <is>
          <t>Gold</t>
        </is>
      </c>
      <c r="R16" t="inlineStr">
        <is>
          <t>Oak</t>
        </is>
      </c>
      <c r="S16" t="inlineStr">
        <is>
          <t>Cedarwood, Cloves, Blackberry Leaves, Camph, Chive</t>
        </is>
      </c>
      <c r="T16" t="inlineStr">
        <is>
          <t>Apache Tears, Garnet, Clear Quartz, Flu, ite, Bloodstone</t>
        </is>
      </c>
      <c r="U16" t="inlineStr">
        <is>
          <t>Cedarwood</t>
        </is>
      </c>
      <c r="W16" t="inlineStr">
        <is>
          <t>CLOVES</t>
        </is>
      </c>
      <c r="X16" t="inlineStr">
        <is>
          <t>Clairvoyance, Divination, Exorcism, Keeping away negative forces, Love, Memory, Money, Passion, Peace of mind, Protection, Psychic protection, Purification, Stopping gossip, Cleansing, Friendship, Psychic development, Release, Spell-breaking</t>
        </is>
      </c>
      <c r="Y16" t="inlineStr">
        <is>
          <t>BLACKBERRY LEAVES</t>
        </is>
      </c>
      <c r="Z16" t="inlineStr">
        <is>
          <t>Protection, Protective wreaths, Mojo bags, Household protection, Prosperity, Female fertility, Aphrodisiac tea, Abundant harvest, Magical cooking</t>
        </is>
      </c>
      <c r="AA16" t="inlineStr">
        <is>
          <t>Camph</t>
        </is>
      </c>
      <c r="AC16" t="inlineStr">
        <is>
          <t>CHIVE</t>
        </is>
      </c>
      <c r="AD16" t="inlineStr">
        <is>
          <t>Banishing, Exorcism, Breaking bad habits, Dispelling melancholy, Protection against disease, Weight loss spells</t>
        </is>
      </c>
      <c r="AG16" t="inlineStr">
        <is>
          <t>Apache Tears</t>
        </is>
      </c>
      <c r="AH16" t="inlineStr">
        <is>
          <t>Luck, removal of pain</t>
        </is>
      </c>
      <c r="AI16" t="inlineStr">
        <is>
          <t>Garnet</t>
        </is>
      </c>
      <c r="AJ16" t="inlineStr">
        <is>
          <t>Healing, cheery disposition, Confidence, Love, business success, past life regression, consistency of love &amp; friendship, travel protection, Happiness, Peace, Harmony, patience, inspiration, persistence, wisdom, fertility.</t>
        </is>
      </c>
      <c r="AK16" t="inlineStr">
        <is>
          <t>Clear Quartz</t>
        </is>
      </c>
      <c r="AM16" t="inlineStr">
        <is>
          <t>Flu</t>
        </is>
      </c>
      <c r="AO16" t="inlineStr">
        <is>
          <t>ite</t>
        </is>
      </c>
      <c r="AQ16" t="inlineStr">
        <is>
          <t>Bloodstone</t>
        </is>
      </c>
      <c r="AR16" t="inlineStr">
        <is>
          <t>Healing, Prosperity, Confidence, physical strength, stress relief, help in business, legal matters, revitalization, guidance, rain, ganization.</t>
        </is>
      </c>
      <c r="BA16" t="inlineStr">
        <is>
          <t>ALGIZ</t>
        </is>
      </c>
      <c r="BB16" t="inlineStr">
        <is>
          <t>Protective circle casting, warding rituals, invoking guardian energies, alertness meditation, sacred space creation.</t>
        </is>
      </c>
      <c r="BC16" s="42" t="inlineStr">
        <is>
          <t>The elk sedge at the water's edge, sharp and uncompromising. Protection and warding held firm. Banishing given alertness, strength and opportunity running in the same current. Where the boundary needs holding and what is growing needs protecting from what would harm it.</t>
        </is>
      </c>
    </row>
    <row r="17" ht="409.5" customHeight="1" s="56">
      <c r="A17" t="inlineStr">
        <is>
          <t>SOWILO</t>
        </is>
      </c>
      <c r="B17" t="inlineStr">
        <is>
          <t>Sol, Sowulo, Sunna, Saugil, Sighel, Sigo, Sil, Sowela, Sowilu, Sowelu, Solwulo, Sugil, Sulhil, Sulu, Sygel</t>
        </is>
      </c>
      <c r="C17" t="inlineStr">
        <is>
          <t>S/C</t>
        </is>
      </c>
      <c r="D17" t="inlineStr">
        <is>
          <t>Soh-veal-oh</t>
        </is>
      </c>
      <c r="E17" t="inlineStr">
        <is>
          <t>Success, Clairvoyance, Truth, Light, Energy, Prosperity, Healing, Sun God offerings, Clarity, Victory, victory in battle, Conquest, Overcoming opposition, Courtroom success, Legal matters, Justice, Enhancing clairvoyance, Psychic development, Psychic powers, INCREASE PSYCHIC ABILITIES, Psychic awareness, Stimulating psychic senses, Disabling psychic phenomena, Psychic communication, communication and psychic abilities, Prophetic dreams, Invoking dreams, Dream work, Dreams, Visions, Seeing the unseen, Seeing manifestations, Honesty, Removing deception, Subconscious work, Digging into the subconscious, Uprooting what is hidden, Scrying, Dowsing, Treasure seeking, Lost object finding,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t>
        </is>
      </c>
      <c r="F17" t="inlineStr">
        <is>
          <t>Baldur, Sun, Light, Victory</t>
        </is>
      </c>
      <c r="G17" t="inlineStr">
        <is>
          <t>The Sun</t>
        </is>
      </c>
      <c r="H17" t="inlineStr">
        <is>
          <t>Air</t>
        </is>
      </c>
      <c r="I17" t="inlineStr">
        <is>
          <t>Male</t>
        </is>
      </c>
      <c r="J17" t="inlineStr">
        <is>
          <t>Sunday</t>
        </is>
      </c>
      <c r="K17" t="inlineStr">
        <is>
          <t>Baldur</t>
        </is>
      </c>
      <c r="L17" t="inlineStr">
        <is>
          <t>Midsummer, Summer solstice</t>
        </is>
      </c>
      <c r="M17" t="inlineStr">
        <is>
          <t>Sowilo is well known as a victory symbol, it can also be used as a force of attack. It is a positive force, because it is the natural power of the sun. Spiritually, Sowilo symbolizes clear vision, and the victories of light over darkness, good over evil. It admonishes one to use the powers of good to vanquish evil. The spirit of life, the energy of the sun. Completeness. Spiritual awareness. Boundless energy, strength of character. The capacity to learn, the gift of understanding. Good health and fitness.</t>
        </is>
      </c>
      <c r="N17" t="inlineStr">
        <is>
          <t>Victory, light, energy, wholeness, completeness, clarity, good health.</t>
        </is>
      </c>
      <c r="O17" t="inlineStr">
        <is>
          <t>You have the power to bring things to fruition. Good fortune awaits you and there is a positive feel to everything. This is not a time to rest and relax, but to examine the darker aspects of your nature. The power of the sun will enable you to face them without fear and to overcome them. Seek solutions to problems, they are all within your grasp.</t>
        </is>
      </c>
      <c r="P17" t="inlineStr">
        <is>
          <t>16</t>
        </is>
      </c>
      <c r="Q17" t="inlineStr">
        <is>
          <t>White</t>
        </is>
      </c>
      <c r="R17" t="inlineStr">
        <is>
          <t>Juniper</t>
        </is>
      </c>
      <c r="S17" t="inlineStr">
        <is>
          <t>Cinnamon, Chamomile, Bay Laurel, Black Tea, Apple Blossom</t>
        </is>
      </c>
      <c r="T17" t="inlineStr">
        <is>
          <t>Carnelian, Citrine, Aventurine, Clear Quartz, Ametrine</t>
        </is>
      </c>
      <c r="U17" t="inlineStr">
        <is>
          <t>Cinnamon</t>
        </is>
      </c>
      <c r="W17" t="inlineStr">
        <is>
          <t>CHAMOMILE</t>
        </is>
      </c>
      <c r="X17" t="inlineStr">
        <is>
          <t>Fortune, Justice, Love, Meditation, Money, Prosperity, Purification, Removing curses, Removing hexes, Serenity, Calm, Sleep</t>
        </is>
      </c>
      <c r="Y17" t="inlineStr">
        <is>
          <t>BAY LAUREL</t>
        </is>
      </c>
      <c r="Z17" t="inlineStr">
        <is>
          <t>Clairvoyance, Consecration, Divination, Dreams, Exorcism, Healing, Love, Passion, Protection, Psychic protection, Purification, Wisdom, Wishes, Winter rituals, Yule magic</t>
        </is>
      </c>
      <c r="AA17" t="inlineStr">
        <is>
          <t>BLACK TEA</t>
        </is>
      </c>
      <c r="AB17" t="inlineStr">
        <is>
          <t>Prosperity, Strength, Fortitude, Good health, Divination, Emotional healing, Calming, Soothing, Reviving, Invigorating</t>
        </is>
      </c>
      <c r="AC17" t="inlineStr">
        <is>
          <t>APPLE BLOSSOM</t>
        </is>
      </c>
      <c r="AD17" t="inlineStr">
        <is>
          <t>Love spells, Peace, Contentment, Success, Relaxation, Bath magic</t>
        </is>
      </c>
      <c r="AG17" t="inlineStr">
        <is>
          <t>Carnelian</t>
        </is>
      </c>
      <c r="AH17" t="inlineStr">
        <is>
          <t>Happiness, Protection, energy, easing depression, promoting self-confidence, Peace, concentration, focus, Attraction, sexuality, Love, Healing, courage.</t>
        </is>
      </c>
      <c r="AI17" t="inlineStr">
        <is>
          <t>Citrine</t>
        </is>
      </c>
      <c r="AJ17"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K17" t="inlineStr">
        <is>
          <t>Aventurine</t>
        </is>
      </c>
      <c r="AL17" t="inlineStr">
        <is>
          <t>Creativity, motivation, inner peace, business success, intellect, perception, soothing emotions, heartache, clarity, imagination, independence, Happiness, sexuality, Strength, Prosperity, romance.</t>
        </is>
      </c>
      <c r="AM17" t="inlineStr">
        <is>
          <t>Clear Quartz</t>
        </is>
      </c>
      <c r="AO17" t="inlineStr">
        <is>
          <t>Ametrine</t>
        </is>
      </c>
      <c r="AP17" t="inlineStr">
        <is>
          <t>Astral travel, magickal power, meditation, removing negativity.</t>
        </is>
      </c>
      <c r="AS17" t="inlineStr">
        <is>
          <t>Fir Needle</t>
        </is>
      </c>
      <c r="AT17" t="inlineStr">
        <is>
          <t>Purification, Cleansing, Protection, Healing</t>
        </is>
      </c>
      <c r="AU17" t="inlineStr">
        <is>
          <t>Orange Bitter</t>
        </is>
      </c>
      <c r="AV17" t="inlineStr">
        <is>
          <t>Divination, Love, Luck, Prosperity</t>
        </is>
      </c>
      <c r="BA17" t="inlineStr">
        <is>
          <t>SOWILO</t>
        </is>
      </c>
      <c r="BB17" t="inlineStr">
        <is>
          <t>Sun invocations, victory and healing ceremonies, energy raising, clarity meditation, light-bringing rituals.</t>
        </is>
      </c>
      <c r="BC17" s="42" t="inlineStr">
        <is>
          <t>The sun breaking through the forest canopy after long dark. Success and healing both carried in its light. Energy and clarity restored. Clairvoyance sharpened, victory drawn closer. Where light is being called in and the sun's power needs bringing down into the working.</t>
        </is>
      </c>
    </row>
    <row r="18" ht="409.5" customHeight="1" s="56">
      <c r="A18" t="inlineStr">
        <is>
          <t>TIWAZ</t>
        </is>
      </c>
      <c r="B18" t="inlineStr">
        <is>
          <t>Tiw, Tyr, Teiws, Teiwaz, Tiwar, Ty, Tys</t>
        </is>
      </c>
      <c r="C18" t="inlineStr">
        <is>
          <t>T</t>
        </is>
      </c>
      <c r="D18" t="inlineStr">
        <is>
          <t>Tee-wahz</t>
        </is>
      </c>
      <c r="E18" t="inlineStr">
        <is>
          <t>Confidence, Justice, Strength, Protection, Dedication, Success, Clairvoyance, Strength, Star magick, Self-confidence, Courage, Bravery, Determination, Will Power, Leadership, Leadership skills, Commanding, Personal power, Victory, victory in battle, Conquest, Overcoming opposition, Courtroom success, Legal matters, Physical Strength, Fortitude, Vitality, Inner power, and strength, Protective charm, Protective charms, Protective sachets, Protective wreaths, Protective incense, PROTECT AGAINST NEGATIVITY, Protection from negativity, Circle protection,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F18" t="inlineStr">
        <is>
          <t>Tiw, Justice, Courage, Truth</t>
        </is>
      </c>
      <c r="G18" t="inlineStr">
        <is>
          <t>Libra</t>
        </is>
      </c>
      <c r="H18" t="inlineStr">
        <is>
          <t>Air</t>
        </is>
      </c>
      <c r="I18" t="inlineStr">
        <is>
          <t>Male</t>
        </is>
      </c>
      <c r="J18" t="inlineStr">
        <is>
          <t>Tuesday</t>
        </is>
      </c>
      <c r="K18" t="inlineStr">
        <is>
          <t>Tiw</t>
        </is>
      </c>
      <c r="L18" t="inlineStr">
        <is>
          <t>MABON, SAMHAIN</t>
        </is>
      </c>
      <c r="M18" t="inlineStr">
        <is>
          <t>Tiwaz is named for the Norse god Tiw, after whom Tuesday is named. Tiw is the Norse equivalent of Zeus or Jupiter. He was the god of war and justice, fair law and regulation, and success through sacrifice. He was courageous, fearless, the master tactician and a consummate diplomat. He allowed a wolf to bite off his right hand in order to bind the wolf's chaotic force and thus protects warriors (both physical &amp; spiritual), the disabled and the left-handed.</t>
        </is>
      </c>
      <c r="N18" t="inlineStr">
        <is>
          <t>Tactical genius, courage, bravery, dedication, daring. Protection on sea voyages. Negotiating and legislative ability.</t>
        </is>
      </c>
      <c r="O18" t="inlineStr">
        <is>
          <t>There is a need for courage now, as your victory is already assured if your heart remains true. Make use of all the skill and wisdom you have acquired so far. Protect your faith, as it will be challenged. But truth, honesty and justice will always win through.</t>
        </is>
      </c>
      <c r="P18" t="inlineStr">
        <is>
          <t>17</t>
        </is>
      </c>
      <c r="Q18" t="inlineStr">
        <is>
          <t>Bright Red</t>
        </is>
      </c>
      <c r="R18" t="inlineStr">
        <is>
          <t>Oak</t>
        </is>
      </c>
      <c r="S18" t="inlineStr">
        <is>
          <t>Basil, Black Tea, Cinnamon, Cedarwood, Calamus Root</t>
        </is>
      </c>
      <c r="T18" t="inlineStr">
        <is>
          <t>Garnet, Carnelian, Bloodstone, Clear Quartz, Ametrine</t>
        </is>
      </c>
      <c r="U18" t="inlineStr">
        <is>
          <t>BASIL</t>
        </is>
      </c>
      <c r="V18"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W18" t="inlineStr">
        <is>
          <t>BLACK TEA</t>
        </is>
      </c>
      <c r="X18" t="inlineStr">
        <is>
          <t>Prosperity, Strength, Fortitude, Good health, Divination, Emotional healing, Calming, Soothing, Reviving, Invigorating</t>
        </is>
      </c>
      <c r="Y18" t="inlineStr">
        <is>
          <t>Cinnamon</t>
        </is>
      </c>
      <c r="AA18" t="inlineStr">
        <is>
          <t>Cedarwood</t>
        </is>
      </c>
      <c r="AC18" t="inlineStr">
        <is>
          <t>CALAMUS ROOT</t>
        </is>
      </c>
      <c r="AD18" t="inlineStr">
        <is>
          <t>Aphrodisiac, Harmony, Love, Peace, Tranquillity, Strengthening spells, Binding spells, Healing incenses, Healing sachets, Emotional exhaustion, Self-confidence, Success</t>
        </is>
      </c>
      <c r="AG18" t="inlineStr">
        <is>
          <t>Garnet</t>
        </is>
      </c>
      <c r="AH18" t="inlineStr">
        <is>
          <t>Healing, cheery disposition, Confidence, Love, business success, past life regression, consistency of love &amp; friendship, travel protection, Happiness, Peace, Harmony, patience, inspiration, persistence, wisdom, fertility.</t>
        </is>
      </c>
      <c r="AI18" t="inlineStr">
        <is>
          <t>Carnelian</t>
        </is>
      </c>
      <c r="AJ18" t="inlineStr">
        <is>
          <t>Happiness, Protection, energy, easing depression, promoting self-confidence, Peace, concentration, focus, Attraction, sexuality, Love, Healing, courage.</t>
        </is>
      </c>
      <c r="AK18" t="inlineStr">
        <is>
          <t>Bloodstone</t>
        </is>
      </c>
      <c r="AL18" t="inlineStr">
        <is>
          <t>Healing, Prosperity, Confidence, physical strength, stress relief, help in business, legal matters, revitalization, guidance, rain, ganization.</t>
        </is>
      </c>
      <c r="AM18" t="inlineStr">
        <is>
          <t>Clear Quartz</t>
        </is>
      </c>
      <c r="AO18" t="inlineStr">
        <is>
          <t>Ametrine</t>
        </is>
      </c>
      <c r="AP18" t="inlineStr">
        <is>
          <t>Astral travel, magickal power, meditation, removing negativity.</t>
        </is>
      </c>
      <c r="BA18" t="inlineStr">
        <is>
          <t>TIWAZ</t>
        </is>
      </c>
      <c r="BB18" t="inlineStr">
        <is>
          <t>Justice workings, warrior blessings, dedication ceremonies, sacred vows, invoking courage before challenges.</t>
        </is>
      </c>
      <c r="BC18" s="42" t="inlineStr">
        <is>
          <t>The upright oak holding the boundary through principle in the full force of the storm. Confidence and justice both carried. Protection and dedication deepened. Success drawn through the courage to hold to what is right regardless of the cost.</t>
        </is>
      </c>
    </row>
    <row r="19" ht="409.5" customHeight="1" s="56">
      <c r="A19" t="inlineStr">
        <is>
          <t>BERKANAN</t>
        </is>
      </c>
      <c r="B19" t="inlineStr">
        <is>
          <t>Bjarkan, Bairkan, Bercna, Berkana, Berkano, Beroc</t>
        </is>
      </c>
      <c r="C19" t="inlineStr">
        <is>
          <t>B</t>
        </is>
      </c>
      <c r="D19" t="inlineStr">
        <is>
          <t>Bear-khan-awn</t>
        </is>
      </c>
      <c r="E19" t="inlineStr">
        <is>
          <t>Fertility, Growth, New beginnings, Healing, Beauty, Birth, Fresh starts,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Breaking habits, Breaking bad habits, Ending negative self-talk, Letting go of relationships, Ending guilt, Release, Renewal, New beginning spells, Transformation, Change, rebirth, Breakthrough, Awakening, New ideas, Assisting transformation, Transformation/Evolution, Healing magic, Healing spells, Healing sachets, Healing incenses, Healing mixtures, Healing rituals, Healing incense, Healing vibrations, healing after surgery, Aiding recovery, Aiding the ill, Improving health, Speeding recovery, Good health, health</t>
        </is>
      </c>
      <c r="F19" t="inlineStr">
        <is>
          <t>Nerthus, Holda, Birth, Growth</t>
        </is>
      </c>
      <c r="G19" t="inlineStr">
        <is>
          <t>Virgo</t>
        </is>
      </c>
      <c r="H19" t="inlineStr">
        <is>
          <t>Earth</t>
        </is>
      </c>
      <c r="I19" t="inlineStr">
        <is>
          <t>Female</t>
        </is>
      </c>
      <c r="J19" t="inlineStr">
        <is>
          <t>Friday</t>
        </is>
      </c>
      <c r="K19" t="inlineStr">
        <is>
          <t>Nerthus, Holda</t>
        </is>
      </c>
      <c r="L19" t="inlineStr">
        <is>
          <t>Spring equinox, Imbolc</t>
        </is>
      </c>
      <c r="M19" t="inlineStr">
        <is>
          <t>Berkanan refers to renewal, regeneration, purification, healing, and recovery. It is the rune of the family and the home, and represents the enjoyment of sexual relations, fertility, and birth. Birth in this context can be literal or symbolic, such as the successful start of any new idea or enterprise. Physical or mental growth. Increased business, investment or profit. Bumper crops. Lost causes may be redeemed. New beginnings will flourish.</t>
        </is>
      </c>
      <c r="N19" t="inlineStr">
        <is>
          <t>Growth, fertility, rebirth, new life, renewal, purification, beauty.</t>
        </is>
      </c>
      <c r="O19" t="inlineStr">
        <is>
          <t>An exciting time for new beginnings, fresh adventures. Activity and energy. Sow seeds, but the harvest is yet to come so don't expect immediate reward for your effort. Put the past in its place, learn from experience. A good time for spiritual renewal - clear away misconceptions and accept new ideas.</t>
        </is>
      </c>
      <c r="P19" t="inlineStr">
        <is>
          <t>18</t>
        </is>
      </c>
      <c r="Q19" t="inlineStr">
        <is>
          <t>Dark Green</t>
        </is>
      </c>
      <c r="R19" t="inlineStr">
        <is>
          <t>Birch</t>
        </is>
      </c>
      <c r="S19" t="inlineStr">
        <is>
          <t>Apple Blossom, Clover, Red Clover, Chamomile, Cinnamon</t>
        </is>
      </c>
      <c r="T19" t="inlineStr">
        <is>
          <t>Chrysocolla, Aventurine, Amazonite, Emerald, Clear Quartz</t>
        </is>
      </c>
      <c r="U19" t="inlineStr">
        <is>
          <t>APPLE BLOSSOM</t>
        </is>
      </c>
      <c r="V19" t="inlineStr">
        <is>
          <t>Love spells, Peace, Contentment, Success, Relaxation, Bath magic</t>
        </is>
      </c>
      <c r="W19" t="inlineStr">
        <is>
          <t>CLOVER</t>
        </is>
      </c>
      <c r="X19" t="inlineStr">
        <is>
          <t>Fidelity, Love, Money, Protection, Blessing domestic animals, Financial arrangements, Removing negative spirits, Ritual baths, Prosperity, Floor washes, Shamanic work, Otherworld travel, Out-of-body protection, Walking between worlds, Protective charm</t>
        </is>
      </c>
      <c r="Y19" t="inlineStr">
        <is>
          <t>Red Clover</t>
        </is>
      </c>
      <c r="AA19" t="inlineStr">
        <is>
          <t>CHAMOMILE</t>
        </is>
      </c>
      <c r="AB19" t="inlineStr">
        <is>
          <t>Fortune, Justice, Love, Meditation, Money, Prosperity, Purification, Removing curses, Removing hexes, Serenity, Calm, Sleep</t>
        </is>
      </c>
      <c r="AC19" t="inlineStr">
        <is>
          <t>Cinnamon</t>
        </is>
      </c>
      <c r="AG19" t="inlineStr">
        <is>
          <t>Chrysocolla</t>
        </is>
      </c>
      <c r="AH19" t="inlineStr">
        <is>
          <t>Clarity, Peace, patience, Love, wisdom, Negating dreams, Harmony, Prosperity, growth, hope, intimacy, Divination, tolerance, sleep, creativity, self-awareness.</t>
        </is>
      </c>
      <c r="AI19" t="inlineStr">
        <is>
          <t>Aventurine</t>
        </is>
      </c>
      <c r="AJ19" t="inlineStr">
        <is>
          <t>Creativity, motivation, inner peace, business success, intellect, perception, soothing emotions, heartache, clarity, imagination, independence, Happiness, sexuality, Strength, Prosperity, romance.</t>
        </is>
      </c>
      <c r="AK19" t="inlineStr">
        <is>
          <t>Amazonite</t>
        </is>
      </c>
      <c r="AL19" t="inlineStr">
        <is>
          <t>Gambling, Prosperity</t>
        </is>
      </c>
      <c r="AM19" t="inlineStr">
        <is>
          <t>Emerald</t>
        </is>
      </c>
      <c r="AN19" t="inlineStr">
        <is>
          <t>Psychic awareness, meditation, Divination, Peace, sleep, Healing, Love, friendship, protection from evil, business success, mem, Clairvoyance, recognition, faith, Fertility, serenity, underst, Attracting good spirits, balance. Represents Time, the astral planes</t>
        </is>
      </c>
      <c r="AO19" t="inlineStr">
        <is>
          <t>Clear Quartz</t>
        </is>
      </c>
      <c r="BA19" t="inlineStr">
        <is>
          <t>BERKANAN</t>
        </is>
      </c>
      <c r="BB19" t="inlineStr">
        <is>
          <t>Birth and renewal rites, fertility ceremonies, purification baths, spring workings, nurturing new beginnings.</t>
        </is>
      </c>
      <c r="BC19" s="42" t="inlineStr">
        <is>
          <t>The birch in early spring, first green after snow, proof that what was dormant is still alive. Fertility, growth and new beginnings carried in its pale bark. Healing and beauty deepened. Birth and fresh starts find it joyful. Where new life is being called and dormancy is ending.</t>
        </is>
      </c>
    </row>
    <row r="20" ht="409.5" customHeight="1" s="56">
      <c r="A20" t="inlineStr">
        <is>
          <t>EHWAZ</t>
        </is>
      </c>
      <c r="B20" t="inlineStr">
        <is>
          <t>Eoh, Aihws, Ehol, Ehwar, Eol, Eow, Eykur, Eys, Ior</t>
        </is>
      </c>
      <c r="C20" t="inlineStr">
        <is>
          <t>E</t>
        </is>
      </c>
      <c r="D20" t="inlineStr">
        <is>
          <t>Ay-wahz</t>
        </is>
      </c>
      <c r="E20" t="inlineStr">
        <is>
          <t>Movement, Progress, Love, Loyalty, Trust, Momentum, Journey, Harmony,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Fidelity, Faithfulness, Promoting fidelity, Ensuring a lover returns love</t>
        </is>
      </c>
      <c r="F20" t="inlineStr">
        <is>
          <t>Frey, Freyja, Partnership, Movement</t>
        </is>
      </c>
      <c r="G20" t="inlineStr">
        <is>
          <t>Gemini</t>
        </is>
      </c>
      <c r="H20" t="inlineStr">
        <is>
          <t>Earth</t>
        </is>
      </c>
      <c r="I20" t="inlineStr">
        <is>
          <t>Male and Female</t>
        </is>
      </c>
      <c r="J20" t="inlineStr">
        <is>
          <t>Wednesday</t>
        </is>
      </c>
      <c r="K20" t="inlineStr">
        <is>
          <t>Frey, Freyja</t>
        </is>
      </c>
      <c r="L20" t="inlineStr">
        <is>
          <t>LITHA, LAMMAS</t>
        </is>
      </c>
      <c r="M20" t="inlineStr">
        <is>
          <t>Ehwaz represents the horse. The speed, strength, and beauty of a horse makes it much more than a means of transport. It is a sacred animal, a vehicle for material and spiritual advancement. Ehwaz implies controlled change, progress, and sometimes a journey. It also represents partnership, trust, loyalty, and faithfulness, such as that between horse and rider, brother and sister, two halves of the whole.</t>
        </is>
      </c>
      <c r="N20" t="inlineStr">
        <is>
          <t>Speed of thought or deed. Quick-wittedness. Forward progress, purposeful motion. Willingness. Sure-footed, confident, loyal.</t>
        </is>
      </c>
      <c r="O20" t="inlineStr">
        <is>
          <t>You have the support you need to make swift progress towards your goal. But you must be loyal and supportive to those around you, as they are to you. The horse is proud, but that does not impede its purpose. So while you can be proud of your achievements, you must remain humble to ensure your journey reaches a successful conclusion.</t>
        </is>
      </c>
      <c r="P20" t="inlineStr">
        <is>
          <t>19</t>
        </is>
      </c>
      <c r="Q20" t="inlineStr">
        <is>
          <t>White</t>
        </is>
      </c>
      <c r="R20" t="inlineStr">
        <is>
          <t>Ash</t>
        </is>
      </c>
      <c r="S20" t="inlineStr">
        <is>
          <t>Comfrey, Clover, Apple Blossom, Chamomile, Cedarwood</t>
        </is>
      </c>
      <c r="T20" t="inlineStr">
        <is>
          <t>Amazonite, Aventurine, Clear Quartz, Carnelian, Amethyst</t>
        </is>
      </c>
      <c r="U20" t="inlineStr">
        <is>
          <t>COMFREY</t>
        </is>
      </c>
      <c r="V20" t="inlineStr">
        <is>
          <t>Healing, Travel safety, Money spells, Protection for travellers, Protection against theft, Luggage protection, Faithfulness, Vehicle protection, Casino luck, Borage substitute, Ritual bath, Divination, Concentration, Letting go of relationships</t>
        </is>
      </c>
      <c r="W20" t="inlineStr">
        <is>
          <t>CLOVER</t>
        </is>
      </c>
      <c r="X20" t="inlineStr">
        <is>
          <t>Fidelity, Love, Money, Protection, Blessing domestic animals, Financial arrangements, Removing negative spirits, Ritual baths, Prosperity, Floor washes, Shamanic work, Otherworld travel, Out-of-body protection, Walking between worlds, Protective charm</t>
        </is>
      </c>
      <c r="Y20" t="inlineStr">
        <is>
          <t>APPLE BLOSSOM</t>
        </is>
      </c>
      <c r="Z20" t="inlineStr">
        <is>
          <t>Love spells, Peace, Contentment, Success, Relaxation, Bath magic</t>
        </is>
      </c>
      <c r="AA20" t="inlineStr">
        <is>
          <t>CHAMOMILE</t>
        </is>
      </c>
      <c r="AB20" t="inlineStr">
        <is>
          <t>Fortune, Justice, Love, Meditation, Money, Prosperity, Purification, Removing curses, Removing hexes, Serenity, Calm, Sleep</t>
        </is>
      </c>
      <c r="AC20" t="inlineStr">
        <is>
          <t>Cedarwood</t>
        </is>
      </c>
      <c r="AG20" t="inlineStr">
        <is>
          <t>Amazonite</t>
        </is>
      </c>
      <c r="AH20" t="inlineStr">
        <is>
          <t>Gambling, Prosperity</t>
        </is>
      </c>
      <c r="AI20" t="inlineStr">
        <is>
          <t>Aventurine</t>
        </is>
      </c>
      <c r="AJ20" t="inlineStr">
        <is>
          <t>Creativity, motivation, inner peace, business success, intellect, perception, soothing emotions, heartache, clarity, imagination, independence, Happiness, sexuality, Strength, Prosperity, romance.</t>
        </is>
      </c>
      <c r="AK20" t="inlineStr">
        <is>
          <t>Clear Quartz</t>
        </is>
      </c>
      <c r="AM20" t="inlineStr">
        <is>
          <t>Carnelian</t>
        </is>
      </c>
      <c r="AN20" t="inlineStr">
        <is>
          <t>Happiness, Protection, energy, easing depression, promoting self-confidence, Peace, concentration, focus, Attraction, sexuality, Love, Healing, courage.</t>
        </is>
      </c>
      <c r="AO20" t="inlineStr">
        <is>
          <t>Amethyst</t>
        </is>
      </c>
      <c r="AP20"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BA20" t="inlineStr">
        <is>
          <t>EHWAZ</t>
        </is>
      </c>
      <c r="BB20" t="inlineStr">
        <is>
          <t>Shamanic journeying, partnership blessings, movement rituals, trust-building ceremonies, astral travel work.</t>
        </is>
      </c>
      <c r="BC20" s="42" t="inlineStr">
        <is>
          <t>The horse and rider moving as one, trust made into forward motion. Movement and progress found in partnership. Love and loyalty deepened. Journeys blessed, trust built. Harmony in partnership. Where two things need to work together and neither can do it alone.</t>
        </is>
      </c>
    </row>
    <row r="21" ht="409.5" customHeight="1" s="56">
      <c r="A21" t="inlineStr">
        <is>
          <t>MANNAZ</t>
        </is>
      </c>
      <c r="B21" t="inlineStr">
        <is>
          <t>Madr, Madhr, Madthr, Madthur, Mann, Manna, Mannar, Mannazold</t>
        </is>
      </c>
      <c r="C21" t="inlineStr">
        <is>
          <t>M</t>
        </is>
      </c>
      <c r="D21" t="inlineStr">
        <is>
          <t>Mah-nawz</t>
        </is>
      </c>
      <c r="E21" t="inlineStr">
        <is>
          <t>Wisdom, Breaking habits, Wisdom, Intelligence, Communication, Humanity, Truth, Clarity of thought, Knowledge, Intuition, Mental clarity, Sharpening the wits, Sharpening the brain, Mental powers, MEM, Memory, Concentration, Focus, Illumination, Enlightenment, Breaking bad habits, Ending negative self-talk, Letting go of relationships, Ending guilt, Release, Renewal, New beginnings, New beginning spells, Fresh starts, Transformation, Change, rebirth, Breakthrough, Awakening, Growth, New ideas, Assisting transformation, Transformation/Evolution, Prophetic dreams, Invoking dreams, Dream work, Dreams, Visions, Seeing the unseen, Seeing manifestations, Honesty, Removing deception, Subconscious work, Digging into the subconscious, Uprooting what is hidden, Scrying, Dowsing, Treasure seeking, Lost object finding</t>
        </is>
      </c>
      <c r="F21" t="inlineStr">
        <is>
          <t>Heimdall, Odin, Frigg, Humanity</t>
        </is>
      </c>
      <c r="G21" t="inlineStr">
        <is>
          <t>Jupiter</t>
        </is>
      </c>
      <c r="H21" t="inlineStr">
        <is>
          <t>Air</t>
        </is>
      </c>
      <c r="I21" t="inlineStr">
        <is>
          <t>Male and Female</t>
        </is>
      </c>
      <c r="J21" t="inlineStr">
        <is>
          <t>Thursday</t>
        </is>
      </c>
      <c r="K21" t="inlineStr">
        <is>
          <t>Heimdall, Odin, Frigg</t>
        </is>
      </c>
      <c r="L21" t="inlineStr">
        <is>
          <t>LAMMAS, MABON</t>
        </is>
      </c>
      <c r="M21" t="inlineStr">
        <is>
          <t>Mannaz represents the human race, humanity, the shared human nature within each individual. We are all members of the human family, yet alone in life and in the final journey into death. Mannaz symbolizes creativity, intelligence, forward planning, and speech and implies co-operation between individuals for the common good. Yourself, your mind and ego, your body. People in general, the world. Friends or family or associates. Clarity of thought. Tolerance, broad-mindedness. Devotion, kindness, consideration and charity. Willingness to change.</t>
        </is>
      </c>
      <c r="N21" t="inlineStr">
        <is>
          <t>Humanity, self, mind, intelligence, speech, cooperation, creativity.</t>
        </is>
      </c>
      <c r="O21" t="inlineStr">
        <is>
          <t>Destiny awaits you, so claim it. But to be a spiritual being, you must balance body, mind and spirit. Embrace everything, good and bad alike, with total acceptance, knowing that each new experience will teach more of life. By learning each lesson you will go onwards and upwards.</t>
        </is>
      </c>
      <c r="P21" t="inlineStr">
        <is>
          <t>20</t>
        </is>
      </c>
      <c r="Q21" t="inlineStr">
        <is>
          <t>Deep Red</t>
        </is>
      </c>
      <c r="R21" t="inlineStr">
        <is>
          <t>Holly</t>
        </is>
      </c>
      <c r="S21" t="inlineStr">
        <is>
          <t>Anise, Bay Laurel, Cinnamon, Chamomile, Black Tea</t>
        </is>
      </c>
      <c r="T21" t="inlineStr">
        <is>
          <t>Flu, ite, Clear Quartz, Amethyst, Ametrine, Emerald</t>
        </is>
      </c>
      <c r="U21" t="inlineStr">
        <is>
          <t>ANISE</t>
        </is>
      </c>
      <c r="V21" t="inlineStr">
        <is>
          <t>Contacting other planes, Divination, Love, Passion, Preventing nightmares, Protection, Psychic development, Psychic protection, Purification, Clairvoyance, Cleansing, Consecration, Fertility, Gain, Good luck, Happiness, Money, Weddings</t>
        </is>
      </c>
      <c r="W21" t="inlineStr">
        <is>
          <t>BAY LAUREL</t>
        </is>
      </c>
      <c r="X21" t="inlineStr">
        <is>
          <t>Clairvoyance, Consecration, Divination, Dreams, Exorcism, Healing, Love, Passion, Protection, Psychic protection, Purification, Wisdom, Wishes, Winter rituals, Yule magic</t>
        </is>
      </c>
      <c r="Y21" t="inlineStr">
        <is>
          <t>Cinnamon</t>
        </is>
      </c>
      <c r="AA21" t="inlineStr">
        <is>
          <t>CHAMOMILE</t>
        </is>
      </c>
      <c r="AB21" t="inlineStr">
        <is>
          <t>Fortune, Justice, Love, Meditation, Money, Prosperity, Purification, Removing curses, Removing hexes, Serenity, Calm, Sleep</t>
        </is>
      </c>
      <c r="AC21" t="inlineStr">
        <is>
          <t>BLACK TEA</t>
        </is>
      </c>
      <c r="AD21" t="inlineStr">
        <is>
          <t>Prosperity, Strength, Fortitude, Good health, Divination, Emotional healing, Calming, Soothing, Reviving, Invigorating</t>
        </is>
      </c>
      <c r="AG21" t="inlineStr">
        <is>
          <t>Flu</t>
        </is>
      </c>
      <c r="AI21" t="inlineStr">
        <is>
          <t>ite</t>
        </is>
      </c>
      <c r="AK21" t="inlineStr">
        <is>
          <t>Clear Quartz</t>
        </is>
      </c>
      <c r="AM21" t="inlineStr">
        <is>
          <t>Amethyst</t>
        </is>
      </c>
      <c r="AN21"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O21" t="inlineStr">
        <is>
          <t>Ametrine</t>
        </is>
      </c>
      <c r="AP21" t="inlineStr">
        <is>
          <t>Astral travel, magickal power, meditation, removing negativity.</t>
        </is>
      </c>
      <c r="AQ21" t="inlineStr">
        <is>
          <t>Emerald</t>
        </is>
      </c>
      <c r="AR21" t="inlineStr">
        <is>
          <t>Psychic awareness, meditation, Divination, Peace, sleep, Healing, Love, friendship, protection from evil, business success, mem, Clairvoyance, recognition, faith, Fertility, serenity, underst, Attracting good spirits, balance. Represents Time, the astral planes</t>
        </is>
      </c>
      <c r="BA21" t="inlineStr">
        <is>
          <t>MANNAZ</t>
        </is>
      </c>
      <c r="BB21" t="inlineStr">
        <is>
          <t>Humanity and community rituals, self-knowledge meditation, invoking intelligence, cooperative magical workings.</t>
        </is>
      </c>
      <c r="BC21" s="42" t="inlineStr">
        <is>
          <t>The clearing where the forest people gather, the rune of the self known and shared. Wisdom and intelligence both carried. Communication and humanity deepened. Truth and clarity of thought found in its presence. Where the working requires honest self-knowledge and the cooperation of others.</t>
        </is>
      </c>
    </row>
    <row r="22" ht="409.5" customHeight="1" s="56">
      <c r="A22" t="inlineStr">
        <is>
          <t>LAGUZ</t>
        </is>
      </c>
      <c r="B22" t="inlineStr">
        <is>
          <t>Logr, Laukaz, Laaz, Lagur, Lagus, Laukar, Laukr, Logur</t>
        </is>
      </c>
      <c r="C22" t="inlineStr">
        <is>
          <t>L</t>
        </is>
      </c>
      <c r="D22" t="inlineStr">
        <is>
          <t>Lah-gooze</t>
        </is>
      </c>
      <c r="E22" t="inlineStr">
        <is>
          <t>Divination, Water magick, Cleansing, Healing, Clairvoyance, Breaking habits, Clairvoyance, Negating dreams, Emotion, Enhancing divination, Divinatory incense, Foretelling the future, Future divination, Scrying, Dowsing, Prophecy,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Stimulating psychic senses, Disabling psychic phenomena, Psychic communication, communication and psychic abilities, Breaking bad habits, Ending negative self-talk, Letting go of relationships, Ending guilt, Release, Renewal, New beginnings, New beginning spells, Fresh starts, Transformation, Change, rebirth, Breakthrough, Awakening, Growth, New ideas, Assisting transformation, Transformation/Evolution, Nightmare prevention, Preventing nightmares, RID OF BAD DREAMS, Nightmares, Sleep, Rest, Encouraging sound sleep, Relaxation, Serenity, Calm</t>
        </is>
      </c>
      <c r="F22" t="inlineStr">
        <is>
          <t>Njord, Nerthus, Water, Intuition</t>
        </is>
      </c>
      <c r="G22" t="inlineStr">
        <is>
          <t>The Moon</t>
        </is>
      </c>
      <c r="H22" t="inlineStr">
        <is>
          <t>Water</t>
        </is>
      </c>
      <c r="I22" t="inlineStr">
        <is>
          <t>Female</t>
        </is>
      </c>
      <c r="J22" t="inlineStr">
        <is>
          <t>Monday</t>
        </is>
      </c>
      <c r="K22" t="inlineStr">
        <is>
          <t>Njord, Nerthus</t>
        </is>
      </c>
      <c r="L22" t="inlineStr">
        <is>
          <t>SAMHAIN</t>
        </is>
      </c>
      <c r="M22" t="inlineStr">
        <is>
          <t>Laguz means water, a vital part of life, but a constant danger, just as our journey through life encounters risks. Laguz contains elements of fluidity, changeability, and a lack of control. It represents the sensual madness of sexuality, the unconscious, intuitive, and psychic abilities. It's deceptive elements come from its variety, rather than from any menace. Traditionally, Laguz is the ultimate female rune. Associations with water in all its forms. Cleansing action. Tidal movement - ebb and flow. Fortuitous omen for overseas travel, fishing or other aquatic activities.</t>
        </is>
      </c>
      <c r="N22" t="inlineStr">
        <is>
          <t>Water, intuition, emotion, fluidity, psychic ability, unconscious mind.</t>
        </is>
      </c>
      <c r="O22" t="inlineStr">
        <is>
          <t>Only by attunement to creation will your life truly flow as it is meant to. Emotional balance comes from harmony with creation around you. For example, natural foods lead to natural flow, whereas unnatural foods lead to disharmony and stagnation. The sea is always fluid and moving, so it should be with your life. Embrace change itself, for it is the only true constant in life.</t>
        </is>
      </c>
      <c r="P22" t="inlineStr">
        <is>
          <t>21</t>
        </is>
      </c>
      <c r="Q22" t="inlineStr">
        <is>
          <t>Dark Green</t>
        </is>
      </c>
      <c r="R22" t="inlineStr">
        <is>
          <t>Osier willow</t>
        </is>
      </c>
      <c r="S22" t="inlineStr">
        <is>
          <t>Anise, Coltsfoot, Camph, Chamomile, Clover</t>
        </is>
      </c>
      <c r="T22" t="inlineStr">
        <is>
          <t>Aquamarine, Amethyst, Chrysocolla, Clear Quartz, Flu, ite</t>
        </is>
      </c>
      <c r="U22" t="inlineStr">
        <is>
          <t>ANISE</t>
        </is>
      </c>
      <c r="V22" t="inlineStr">
        <is>
          <t>Contacting other planes, Divination, Love, Passion, Preventing nightmares, Protection, Psychic development, Psychic protection, Purification, Clairvoyance, Cleansing, Consecration, Fertility, Gain, Good luck, Happiness, Money, Weddings</t>
        </is>
      </c>
      <c r="W22" t="inlineStr">
        <is>
          <t>COLTSFOOT</t>
        </is>
      </c>
      <c r="X22" t="inlineStr">
        <is>
          <t>Spring rituals, Imbolc, Ostara, Beltane, Love, Tranquillity, Money spells, Divinatory incense, Healing incense, Psychic awareness, Communion with spirits, Prophetic dreams, Removing sickness, Removing mental troubles, Visions</t>
        </is>
      </c>
      <c r="Y22" t="inlineStr">
        <is>
          <t>Camph</t>
        </is>
      </c>
      <c r="AA22" t="inlineStr">
        <is>
          <t>CHAMOMILE</t>
        </is>
      </c>
      <c r="AB22" t="inlineStr">
        <is>
          <t>Fortune, Justice, Love, Meditation, Money, Prosperity, Purification, Removing curses, Removing hexes, Serenity, Calm, Sleep</t>
        </is>
      </c>
      <c r="AC22" t="inlineStr">
        <is>
          <t>CLOVER</t>
        </is>
      </c>
      <c r="AD22" t="inlineStr">
        <is>
          <t>Fidelity, Love, Money, Protection, Blessing domestic animals, Financial arrangements, Removing negative spirits, Ritual baths, Prosperity, Floor washes, Shamanic work, Otherworld travel, Out-of-body protection, Walking between worlds, Protective charm</t>
        </is>
      </c>
      <c r="AG22" t="inlineStr">
        <is>
          <t>Aquamarine</t>
        </is>
      </c>
      <c r="AH22" t="inlineStr">
        <is>
          <t>Psychism, Peace, Confidence, Purification</t>
        </is>
      </c>
      <c r="AI22" t="inlineStr">
        <is>
          <t>Amethyst</t>
        </is>
      </c>
      <c r="AJ22"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K22" t="inlineStr">
        <is>
          <t>Chrysocolla</t>
        </is>
      </c>
      <c r="AL22" t="inlineStr">
        <is>
          <t>Clarity, Peace, patience, Love, wisdom, Negating dreams, Harmony, Prosperity, growth, hope, intimacy, Divination, tolerance, sleep, creativity, self-awareness.</t>
        </is>
      </c>
      <c r="AM22" t="inlineStr">
        <is>
          <t>Clear Quartz</t>
        </is>
      </c>
      <c r="AO22" t="inlineStr">
        <is>
          <t>Flu</t>
        </is>
      </c>
      <c r="AQ22" t="inlineStr">
        <is>
          <t>ite</t>
        </is>
      </c>
      <c r="BA22" t="inlineStr">
        <is>
          <t>LAGUZ</t>
        </is>
      </c>
      <c r="BB22" t="inlineStr">
        <is>
          <t>Water blessing rituals, psychic development, dream work, emotional healing ceremonies, moon and tide magic.</t>
        </is>
      </c>
      <c r="BC22" s="42" t="inlineStr">
        <is>
          <t>The river moving through the deep wood, finding its own way regardless of what stands in it. Divination and water magick carried in its current. Clairvoyance and emotional truth surfaced. Cleansing and healing as it flows. Releases what has been held too long and cannot afford to be held any longer.</t>
        </is>
      </c>
    </row>
    <row r="23" ht="409.5" customHeight="1" s="56">
      <c r="A23" t="inlineStr">
        <is>
          <t>INGWAZ</t>
        </is>
      </c>
      <c r="B23" t="inlineStr">
        <is>
          <t>Inguz, Enguz, Iggus, Ingvarr, Ingwar</t>
        </is>
      </c>
      <c r="C23" t="inlineStr">
        <is>
          <t>NG</t>
        </is>
      </c>
      <c r="D23" t="inlineStr">
        <is>
          <t>Ing-wahz</t>
        </is>
      </c>
      <c r="E23" t="inlineStr">
        <is>
          <t>Fertility, Peace, Harmony, Completion, Love, Unity, Wholeness, Happiness,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Joy, Joyous celebrations, Contentment</t>
        </is>
      </c>
      <c r="F23" t="inlineStr">
        <is>
          <t>Ing, Frey, Peace, Harmony</t>
        </is>
      </c>
      <c r="G23" t="inlineStr">
        <is>
          <t>Cancer, The New Moon</t>
        </is>
      </c>
      <c r="H23" t="inlineStr">
        <is>
          <t>Earth and Water</t>
        </is>
      </c>
      <c r="I23" t="inlineStr">
        <is>
          <t>Male</t>
        </is>
      </c>
      <c r="J23" t="inlineStr">
        <is>
          <t>Friday</t>
        </is>
      </c>
      <c r="K23" t="inlineStr">
        <is>
          <t>Ing, Frey</t>
        </is>
      </c>
      <c r="L23" t="inlineStr">
        <is>
          <t>Lughnasadh</t>
        </is>
      </c>
      <c r="M23" t="inlineStr">
        <is>
          <t>Ingwaz representing Ing therefore symbolises peace, unity, harmony, agreement, togetherness and undying love between romantic partners. It portends completion, the certainty of a conclusion. This could include the male orgasmic force, or birth as the conclusion to pregnancy. Ingwaz is associated with healthy, wholesome sexuality, a strong, affectionate family, and a safe, secure hearth and home. It also symbolizes protection, and contains the idea of a beacon, a light shining in the darkness, and therefore, spiritual inspiration.</t>
        </is>
      </c>
      <c r="N23" t="inlineStr">
        <is>
          <t>Harmony, unity, love, peace, completion, fertility, wholesome sexuality.</t>
        </is>
      </c>
      <c r="O23" t="inlineStr">
        <is>
          <t>On your spiritual path you may feel isolated, but within you burns the fire of inspiration urging you onward and upward. Feed the fire by perseverance. Seek answers but don't get encumbered with irrelevant questions. Live one day at a time, knowing that the past is just a memory, the future just a dream, and the here and now is what matters.</t>
        </is>
      </c>
      <c r="P23" t="inlineStr">
        <is>
          <t>22</t>
        </is>
      </c>
      <c r="Q23" t="inlineStr">
        <is>
          <t>Yellow</t>
        </is>
      </c>
      <c r="R23" t="inlineStr">
        <is>
          <t>Apple</t>
        </is>
      </c>
      <c r="S23" t="inlineStr">
        <is>
          <t>Clover, Red Clover, Apple Blossom, Chamomile, Cinnamon</t>
        </is>
      </c>
      <c r="T23" t="inlineStr">
        <is>
          <t>Aventurine, Carnelian, Chrysocolla, Amazonite, Emerald</t>
        </is>
      </c>
      <c r="U23" t="inlineStr">
        <is>
          <t>CLOVER</t>
        </is>
      </c>
      <c r="V23" t="inlineStr">
        <is>
          <t>Fidelity, Love, Money, Protection, Blessing domestic animals, Financial arrangements, Removing negative spirits, Ritual baths, Prosperity, Floor washes, Shamanic work, Otherworld travel, Out-of-body protection, Walking between worlds, Protective charm</t>
        </is>
      </c>
      <c r="W23" t="inlineStr">
        <is>
          <t>Red Clover</t>
        </is>
      </c>
      <c r="Y23" t="inlineStr">
        <is>
          <t>APPLE BLOSSOM</t>
        </is>
      </c>
      <c r="Z23" t="inlineStr">
        <is>
          <t>Love spells, Peace, Contentment, Success, Relaxation, Bath magic</t>
        </is>
      </c>
      <c r="AA23" t="inlineStr">
        <is>
          <t>CHAMOMILE</t>
        </is>
      </c>
      <c r="AB23" t="inlineStr">
        <is>
          <t>Fortune, Justice, Love, Meditation, Money, Prosperity, Purification, Removing curses, Removing hexes, Serenity, Calm, Sleep</t>
        </is>
      </c>
      <c r="AC23" t="inlineStr">
        <is>
          <t>Cinnamon</t>
        </is>
      </c>
      <c r="AG23" t="inlineStr">
        <is>
          <t>Aventurine</t>
        </is>
      </c>
      <c r="AH23" t="inlineStr">
        <is>
          <t>Creativity, motivation, inner peace, business success, intellect, perception, soothing emotions, heartache, clarity, imagination, independence, Happiness, sexuality, Strength, Prosperity, romance.</t>
        </is>
      </c>
      <c r="AI23" t="inlineStr">
        <is>
          <t>Carnelian</t>
        </is>
      </c>
      <c r="AJ23" t="inlineStr">
        <is>
          <t>Happiness, Protection, energy, easing depression, promoting self-confidence, Peace, concentration, focus, Attraction, sexuality, Love, Healing, courage.</t>
        </is>
      </c>
      <c r="AK23" t="inlineStr">
        <is>
          <t>Chrysocolla</t>
        </is>
      </c>
      <c r="AL23" t="inlineStr">
        <is>
          <t>Clarity, Peace, patience, Love, wisdom, Negating dreams, Harmony, Prosperity, growth, hope, intimacy, Divination, tolerance, sleep, creativity, self-awareness.</t>
        </is>
      </c>
      <c r="AM23" t="inlineStr">
        <is>
          <t>Amazonite</t>
        </is>
      </c>
      <c r="AN23" t="inlineStr">
        <is>
          <t>Gambling, Prosperity</t>
        </is>
      </c>
      <c r="AO23" t="inlineStr">
        <is>
          <t>Emerald</t>
        </is>
      </c>
      <c r="AP23" t="inlineStr">
        <is>
          <t>Psychic awareness, meditation, Divination, Peace, sleep, Healing, Love, friendship, protection from evil, business success, mem, Clairvoyance, recognition, faith, Fertility, serenity, underst, Attracting good spirits, balance. Represents Time, the astral planes</t>
        </is>
      </c>
      <c r="BA23" t="inlineStr">
        <is>
          <t>INGWAZ</t>
        </is>
      </c>
      <c r="BB23" t="inlineStr">
        <is>
          <t>Completion ceremonies, sacred union rituals, fertility rites, peaceful resolution work, inner fire cultivation.</t>
        </is>
      </c>
      <c r="BC23" s="42" t="inlineStr">
        <is>
          <t>The seed in the dark earth, all potential held quietly in a single point. Fertility and peace both carried in its stillness. Harmony and completion found in its depth. Love and unity drawn in. Where the working is about what is being prepared and cannot yet be rushed.</t>
        </is>
      </c>
    </row>
    <row r="24" ht="409.5" customHeight="1" s="56">
      <c r="A24" t="inlineStr">
        <is>
          <t>OTHILA</t>
        </is>
      </c>
      <c r="B24" t="inlineStr">
        <is>
          <t>Odal, Odhal, Odthal, Ogthala, Otael, Othal, Othala, Othalan, Othilia, Utal</t>
        </is>
      </c>
      <c r="C24" t="inlineStr">
        <is>
          <t>O</t>
        </is>
      </c>
      <c r="D24" t="inlineStr">
        <is>
          <t>Oh-thee-law</t>
        </is>
      </c>
      <c r="E24" t="inlineStr">
        <is>
          <t>Family, Heritage, Home blessing, Inheritance, Legacy, Protection, Prosperity, Increasing wealth,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t>
        </is>
      </c>
      <c r="F24" t="inlineStr">
        <is>
          <t>Odin, Home, Heritage</t>
        </is>
      </c>
      <c r="G24" t="inlineStr">
        <is>
          <t>Full Moon</t>
        </is>
      </c>
      <c r="H24" t="inlineStr">
        <is>
          <t>Earth</t>
        </is>
      </c>
      <c r="I24" t="inlineStr">
        <is>
          <t>Male</t>
        </is>
      </c>
      <c r="J24" t="inlineStr">
        <is>
          <t>Monday</t>
        </is>
      </c>
      <c r="K24" t="inlineStr">
        <is>
          <t>Odin</t>
        </is>
      </c>
      <c r="L24" t="inlineStr">
        <is>
          <t>IMBOLC</t>
        </is>
      </c>
      <c r="M24" t="inlineStr">
        <is>
          <t>Othila means the ancestral country or home, property, and fixed wealth or inheritance. This can include your inherited characteristics from past generations that you will also pass on to your children – or it can represent a united family's strength. Othila can be seen as everything that you have accumulated during your lifetime, and can also represent your spiritual home. Acquisition. Benefit through inheritance or birthright. Fair play. Great mental capacity. Adventurous nature. Cultural maturity. Personal skill, adaptability. Love of family, home and homeland, patriotism. The honest and just are destined for great wealth.</t>
        </is>
      </c>
      <c r="N24" t="inlineStr">
        <is>
          <t>Home, heritage, family, inheritance, property, legacy, prosperity.</t>
        </is>
      </c>
      <c r="O24" t="inlineStr">
        <is>
          <t>At this time of re-focusing, fix your goal firmly in your mind and let your thoughts attract the energy you need to reach it. You must concentrate to read all the signs, but don't try to force the issues. Your objective is like a wild bird in the palm of your hand. If you grip too tightly, you risk killing it.</t>
        </is>
      </c>
      <c r="P24" t="inlineStr">
        <is>
          <t>23</t>
        </is>
      </c>
      <c r="Q24" t="inlineStr">
        <is>
          <t>Deep Yellow</t>
        </is>
      </c>
      <c r="R24" t="inlineStr">
        <is>
          <t>Hawthorn (mayflower)</t>
        </is>
      </c>
      <c r="S24" t="inlineStr">
        <is>
          <t>Cedarwood, Blackberry Leaves, Comfrey, Cinnamon, Bay Laurel</t>
        </is>
      </c>
      <c r="T24" t="inlineStr">
        <is>
          <t>Garnet, Bloodstone, Clear Quartz, Amethyst, Apache Tears</t>
        </is>
      </c>
      <c r="U24" t="inlineStr">
        <is>
          <t>Cedarwood</t>
        </is>
      </c>
      <c r="W24" t="inlineStr">
        <is>
          <t>BLACKBERRY LEAVES</t>
        </is>
      </c>
      <c r="X24" t="inlineStr">
        <is>
          <t>Protection, Protective wreaths, Mojo bags, Household protection, Prosperity, Female fertility, Aphrodisiac tea, Abundant harvest, Magical cooking</t>
        </is>
      </c>
      <c r="Y24" t="inlineStr">
        <is>
          <t>COMFREY</t>
        </is>
      </c>
      <c r="Z24" t="inlineStr">
        <is>
          <t>Healing, Travel safety, Money spells, Protection for travellers, Protection against theft, Luggage protection, Faithfulness, Vehicle protection, Casino luck, Borage substitute, Ritual bath, Divination, Concentration, Letting go of relationships</t>
        </is>
      </c>
      <c r="AA24" t="inlineStr">
        <is>
          <t>Cinnamon</t>
        </is>
      </c>
      <c r="AC24" t="inlineStr">
        <is>
          <t>BAY LAUREL</t>
        </is>
      </c>
      <c r="AD24" t="inlineStr">
        <is>
          <t>Clairvoyance, Consecration, Divination, Dreams, Exorcism, Healing, Love, Passion, Protection, Psychic protection, Purification, Wisdom, Wishes, Winter rituals, Yule magic</t>
        </is>
      </c>
      <c r="AG24" t="inlineStr">
        <is>
          <t>Garnet</t>
        </is>
      </c>
      <c r="AH24" t="inlineStr">
        <is>
          <t>Healing, cheery disposition, Confidence, Love, business success, past life regression, consistency of love &amp; friendship, travel protection, Happiness, Peace, Harmony, patience, inspiration, persistence, wisdom, fertility.</t>
        </is>
      </c>
      <c r="AI24" t="inlineStr">
        <is>
          <t>Bloodstone</t>
        </is>
      </c>
      <c r="AJ24" t="inlineStr">
        <is>
          <t>Healing, Prosperity, Confidence, physical strength, stress relief, help in business, legal matters, revitalization, guidance, rain, ganization.</t>
        </is>
      </c>
      <c r="AK24" t="inlineStr">
        <is>
          <t>Clear Quartz</t>
        </is>
      </c>
      <c r="AM24" t="inlineStr">
        <is>
          <t>Amethyst</t>
        </is>
      </c>
      <c r="AN24"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O24" t="inlineStr">
        <is>
          <t>Apache Tears</t>
        </is>
      </c>
      <c r="AP24" t="inlineStr">
        <is>
          <t>Luck, removal of pain</t>
        </is>
      </c>
      <c r="BA24" t="inlineStr">
        <is>
          <t>OTHILA</t>
        </is>
      </c>
      <c r="BB24" t="inlineStr">
        <is>
          <t>Ancestral honouring, home blessing rituals, family protection workings, inheritance and legacy ceremonies.</t>
        </is>
      </c>
      <c r="BC24" s="42" t="inlineStr">
        <is>
          <t>The ancestral oak with roots in the family land, memory and belonging made visible. Family, heritage and home blessing all find it receptive. Inheritance and legacy carried in its depth. Protection and prosperity of the homestead held. The love of place and what endures through generations.</t>
        </is>
      </c>
    </row>
    <row r="25" ht="409.5" customHeight="1" s="56">
      <c r="A25" t="inlineStr">
        <is>
          <t>DAGAZ</t>
        </is>
      </c>
      <c r="B25" t="inlineStr">
        <is>
          <t>Dag, Daeg, Daaz, Dagr, Dagar, Dagur, Dags, Daguz</t>
        </is>
      </c>
      <c r="C25" t="inlineStr">
        <is>
          <t>D</t>
        </is>
      </c>
      <c r="D25" t="inlineStr">
        <is>
          <t>Daw-ghawz</t>
        </is>
      </c>
      <c r="E25" t="inlineStr">
        <is>
          <t>Transformation, Breakthrough, New beginnings, Awakening, Clarity, Illumination, Success, Clairvoyance, Prosperity, Breaking habits, Breaking bad habits, Ending negative self-talk, Letting go of relationships, Ending guilt, Release, Renewal, New beginning spells, Fresh starts, Change, rebirth, Growth, New ideas, Assisting transformation, Transformation/Evolution, Wisdom, Knowledge, Intelligence, Intuition, Mental clarity, Sharpening the wits, Sharpening the brain, Mental powers, MEM, Memory, Concentration, Focus, Enlightenment, Victory, victory in battle, Conquest, Overcoming opposition, Courtroom success, Legal matters, Justice, Enhancing clairvoyance, Psychic development, Psychic powers, INCREASE PSYCHIC ABILITIES, Psychic awareness, Stimulating psychic senses, Disabling psychic phenomena, Psychic communication, communication and psychic abilities,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F25" t="inlineStr">
        <is>
          <t>Heimdall, Day, Light, Breakthrough</t>
        </is>
      </c>
      <c r="G25" t="inlineStr">
        <is>
          <t>Full Moon</t>
        </is>
      </c>
      <c r="H25" t="inlineStr">
        <is>
          <t>Fire and Air</t>
        </is>
      </c>
      <c r="I25" t="inlineStr">
        <is>
          <t>Male</t>
        </is>
      </c>
      <c r="J25" t="inlineStr">
        <is>
          <t>Sunday</t>
        </is>
      </c>
      <c r="K25" t="inlineStr">
        <is>
          <t>Heimdall</t>
        </is>
      </c>
      <c r="L25" t="inlineStr">
        <is>
          <t>Summer and Winter solstice</t>
        </is>
      </c>
      <c r="M25" t="inlineStr">
        <is>
          <t>Dagaz means day, and in the Nordic lands of long nights and winters, the day is strongly associated with light and life. Dagaz is the essence of natural daylight, the new light of dawn, and the strength of the sun. Spiritually, it is the divine light, the high point of the natural cycle of darkness-light-darkness. It signifies brightness, growth, progress, development, and sometimes fundamental change. A breakthrough. A new dawn or a major change of direction. Achievement and prosperity, a successful conclusion to a passage. Darkness is behind you because a new day has begun.</t>
        </is>
      </c>
      <c r="N25" t="inlineStr">
        <is>
          <t>Day, light, dawn, breakthrough, transformation, growth, progress.</t>
        </is>
      </c>
      <c r="O25" t="inlineStr">
        <is>
          <t>The divine light is guiding you towards your goal. Remain true, and good fortune will be with you. You are well protected by the power of the light. It will give you clear vision to avoid dangers, but don't be blinded by your ego. Remain humble and thankful for all the good things that come to you.</t>
        </is>
      </c>
      <c r="P25" t="inlineStr">
        <is>
          <t>24</t>
        </is>
      </c>
      <c r="Q25" t="inlineStr">
        <is>
          <t>Light Blue</t>
        </is>
      </c>
      <c r="R25" t="inlineStr">
        <is>
          <t>Spruce</t>
        </is>
      </c>
      <c r="S25" t="inlineStr">
        <is>
          <t>Cinnamon, Camph, Chamomile, Bay Laurel, Anise</t>
        </is>
      </c>
      <c r="T25" t="inlineStr">
        <is>
          <t>Citrine, Ametrine, Clear Quartz, Flu, ite, Carnelian</t>
        </is>
      </c>
      <c r="U25" t="inlineStr">
        <is>
          <t>Cinnamon</t>
        </is>
      </c>
      <c r="W25" t="inlineStr">
        <is>
          <t>Camph</t>
        </is>
      </c>
      <c r="Y25" t="inlineStr">
        <is>
          <t>CHAMOMILE</t>
        </is>
      </c>
      <c r="Z25" t="inlineStr">
        <is>
          <t>Fortune, Justice, Love, Meditation, Money, Prosperity, Purification, Removing curses, Removing hexes, Serenity, Calm, Sleep</t>
        </is>
      </c>
      <c r="AA25" t="inlineStr">
        <is>
          <t>BAY LAUREL</t>
        </is>
      </c>
      <c r="AB25" t="inlineStr">
        <is>
          <t>Clairvoyance, Consecration, Divination, Dreams, Exorcism, Healing, Love, Passion, Protection, Psychic protection, Purification, Wisdom, Wishes, Winter rituals, Yule magic</t>
        </is>
      </c>
      <c r="AC25" t="inlineStr">
        <is>
          <t>ANISE</t>
        </is>
      </c>
      <c r="AD25" t="inlineStr">
        <is>
          <t>Contacting other planes, Divination, Love, Passion, Preventing nightmares, Protection, Psychic development, Psychic protection, Purification, Clairvoyance, Cleansing, Consecration, Fertility, Gain, Good luck, Happiness, Money, Weddings</t>
        </is>
      </c>
      <c r="AG25" t="inlineStr">
        <is>
          <t>Citrine</t>
        </is>
      </c>
      <c r="AH25"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I25" t="inlineStr">
        <is>
          <t>Ametrine</t>
        </is>
      </c>
      <c r="AJ25" t="inlineStr">
        <is>
          <t>Astral travel, magickal power, meditation, removing negativity.</t>
        </is>
      </c>
      <c r="AK25" t="inlineStr">
        <is>
          <t>Clear Quartz</t>
        </is>
      </c>
      <c r="AM25" t="inlineStr">
        <is>
          <t>Flu</t>
        </is>
      </c>
      <c r="AO25" t="inlineStr">
        <is>
          <t>ite</t>
        </is>
      </c>
      <c r="AQ25" t="inlineStr">
        <is>
          <t>Carnelian</t>
        </is>
      </c>
      <c r="AR25" t="inlineStr">
        <is>
          <t>Happiness, Protection, energy, easing depression, promoting self-confidence, Peace, concentration, focus, Attraction, sexuality, Love, Healing, courage.</t>
        </is>
      </c>
      <c r="AS25" t="inlineStr">
        <is>
          <t>Lemon</t>
        </is>
      </c>
      <c r="AT25" t="inlineStr">
        <is>
          <t>Purification, Love, FRIENDSHIP</t>
        </is>
      </c>
      <c r="AU25" t="inlineStr">
        <is>
          <t>Melissa</t>
        </is>
      </c>
      <c r="AV25" t="inlineStr">
        <is>
          <t>Love, Healing, Prosperity</t>
        </is>
      </c>
      <c r="BA25" t="inlineStr">
        <is>
          <t>DAGAZ</t>
        </is>
      </c>
      <c r="BB25" t="inlineStr">
        <is>
          <t>Dawn rituals, breakthrough ceremonies, threshold magic, awakening workings, transformation at turning points.</t>
        </is>
      </c>
      <c r="BC25" s="42" t="inlineStr">
        <is>
          <t>The moment of dawn when night becomes day without negotiation. Transformation and breakthrough carried in its threshold energy. New beginnings and awakening both find it receptive. Clarity and illumination at the turning point. Success and prosperity called in where everything changes at once.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C106"/>
  <sheetViews>
    <sheetView workbookViewId="0">
      <selection activeCell="A1" sqref="A1"/>
    </sheetView>
  </sheetViews>
  <sheetFormatPr baseColWidth="8" defaultRowHeight="15"/>
  <sheetData>
    <row r="1">
      <c r="A1" t="inlineStr">
        <is>
          <t>Name</t>
        </is>
      </c>
      <c r="B1" t="inlineStr">
        <is>
          <t>Type</t>
        </is>
      </c>
      <c r="C1" t="inlineStr">
        <is>
          <t>Polarity</t>
        </is>
      </c>
      <c r="D1" t="inlineStr">
        <is>
          <t>Element</t>
        </is>
      </c>
      <c r="E1" t="inlineStr">
        <is>
          <t>Planet</t>
        </is>
      </c>
      <c r="F1" t="inlineStr">
        <is>
          <t>Sacred Day</t>
        </is>
      </c>
      <c r="G1" t="inlineStr">
        <is>
          <t>Season</t>
        </is>
      </c>
      <c r="H1" t="inlineStr">
        <is>
          <t>Magical Uses</t>
        </is>
      </c>
      <c r="I1" t="inlineStr">
        <is>
          <t>Associated Herbs</t>
        </is>
      </c>
      <c r="J1" t="inlineStr">
        <is>
          <t>Description</t>
        </is>
      </c>
      <c r="K1" t="inlineStr">
        <is>
          <t>Famous Magic</t>
        </is>
      </c>
      <c r="L1" t="inlineStr">
        <is>
          <t>Greenman Energy</t>
        </is>
      </c>
      <c r="M1" t="inlineStr">
        <is>
          <t>Herb 1 Name</t>
        </is>
      </c>
      <c r="N1" t="inlineStr">
        <is>
          <t>Herb 1 Uses</t>
        </is>
      </c>
      <c r="O1" t="inlineStr">
        <is>
          <t>Herb 2 Name</t>
        </is>
      </c>
      <c r="P1" t="inlineStr">
        <is>
          <t>Herb 2 Uses</t>
        </is>
      </c>
      <c r="Q1" t="inlineStr">
        <is>
          <t>Herb 3 Name</t>
        </is>
      </c>
      <c r="R1" t="inlineStr">
        <is>
          <t>Herb 3 Uses</t>
        </is>
      </c>
      <c r="S1" t="inlineStr">
        <is>
          <t>Herb 4 Name</t>
        </is>
      </c>
      <c r="T1" t="inlineStr">
        <is>
          <t>Herb 4 Uses</t>
        </is>
      </c>
      <c r="U1" t="inlineStr">
        <is>
          <t>Herb 5 Name</t>
        </is>
      </c>
      <c r="V1" t="inlineStr">
        <is>
          <t>Herb 5 Uses</t>
        </is>
      </c>
      <c r="W1" t="inlineStr">
        <is>
          <t>Herb 6 Name</t>
        </is>
      </c>
      <c r="X1" t="inlineStr">
        <is>
          <t>Herb 6 Uses</t>
        </is>
      </c>
      <c r="Y1" t="inlineStr">
        <is>
          <t>Crystal 1 Name</t>
        </is>
      </c>
      <c r="Z1" t="inlineStr">
        <is>
          <t>Crystal 1 Powers</t>
        </is>
      </c>
      <c r="AA1" t="inlineStr">
        <is>
          <t>Crystal 2 Name</t>
        </is>
      </c>
      <c r="AB1" t="inlineStr">
        <is>
          <t>Crystal 2 Powers</t>
        </is>
      </c>
      <c r="AC1" t="inlineStr">
        <is>
          <t>Crystal 3 Name</t>
        </is>
      </c>
      <c r="AD1" t="inlineStr">
        <is>
          <t>Crystal 3 Powers</t>
        </is>
      </c>
      <c r="AE1" t="inlineStr">
        <is>
          <t>Crystal 4 Name</t>
        </is>
      </c>
      <c r="AF1" t="inlineStr">
        <is>
          <t>Crystal 4 Powers</t>
        </is>
      </c>
      <c r="AG1" t="inlineStr">
        <is>
          <t>Oil 1 Name</t>
        </is>
      </c>
      <c r="AH1" t="inlineStr">
        <is>
          <t>Oil 1 Uses</t>
        </is>
      </c>
      <c r="AI1" t="inlineStr">
        <is>
          <t>Oil 2 Name</t>
        </is>
      </c>
      <c r="AJ1" t="inlineStr">
        <is>
          <t>Oil 2 Uses</t>
        </is>
      </c>
      <c r="AK1" t="inlineStr">
        <is>
          <t>Oil 3 Name</t>
        </is>
      </c>
      <c r="AL1" t="inlineStr">
        <is>
          <t>Oil 3 Uses</t>
        </is>
      </c>
      <c r="AM1" t="inlineStr">
        <is>
          <t>Oil 4 Name</t>
        </is>
      </c>
      <c r="AN1" t="inlineStr">
        <is>
          <t>Oil 4 Uses</t>
        </is>
      </c>
      <c r="AO1" t="inlineStr">
        <is>
          <t>Rune 1 Name</t>
        </is>
      </c>
      <c r="AP1" t="inlineStr">
        <is>
          <t>Rune 1 Letter</t>
        </is>
      </c>
      <c r="AQ1" t="inlineStr">
        <is>
          <t>Rune 1 Uses</t>
        </is>
      </c>
      <c r="AR1" t="inlineStr">
        <is>
          <t>Rune 2 Name</t>
        </is>
      </c>
      <c r="AS1" t="inlineStr">
        <is>
          <t>Rune 2 Letter</t>
        </is>
      </c>
      <c r="AT1" t="inlineStr">
        <is>
          <t>Rune 2 Uses</t>
        </is>
      </c>
      <c r="AU1" t="inlineStr">
        <is>
          <t>Rune 3 Name</t>
        </is>
      </c>
      <c r="AV1" t="inlineStr">
        <is>
          <t>Rune 3 Letter</t>
        </is>
      </c>
      <c r="AW1" t="inlineStr">
        <is>
          <t>Rune 3 Uses</t>
        </is>
      </c>
      <c r="AX1" t="inlineStr">
        <is>
          <t>Rune 4 Name</t>
        </is>
      </c>
      <c r="AY1" t="inlineStr">
        <is>
          <t>Rune 4 Letter</t>
        </is>
      </c>
      <c r="AZ1" t="inlineStr">
        <is>
          <t>Rune 4 Uses</t>
        </is>
      </c>
      <c r="BA1" t="inlineStr">
        <is>
          <t>Associated Crystals</t>
        </is>
      </c>
      <c r="BB1" t="inlineStr">
        <is>
          <t>Associated Oils</t>
        </is>
      </c>
    </row>
    <row r="2">
      <c r="A2" t="inlineStr">
        <is>
          <t>AESCULAPUS</t>
        </is>
      </c>
      <c r="B2" t="inlineStr">
        <is>
          <t>Deity</t>
        </is>
      </c>
      <c r="C2" t="inlineStr">
        <is>
          <t>Masculine</t>
        </is>
      </c>
      <c r="D2" t="inlineStr">
        <is>
          <t>Air/Water</t>
        </is>
      </c>
      <c r="E2" t="inlineStr">
        <is>
          <t>Sun/Mercury</t>
        </is>
      </c>
      <c r="F2" t="inlineStr">
        <is>
          <t>Sunday</t>
        </is>
      </c>
      <c r="G2" t="inlineStr">
        <is>
          <t>All Seasons</t>
        </is>
      </c>
      <c r="H2" t="inlineStr">
        <is>
          <t>New beginnings, Love rituals, Love, Aphrodisiac, Dispelling sickness, Harmony, Attraction, Healing,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t>
        </is>
      </c>
      <c r="I2" t="inlineStr">
        <is>
          <t>Bay Laurel, Yarrow, Mint</t>
        </is>
      </c>
      <c r="J2" t="inlineStr">
        <is>
          <t>Greek goddess of love, beauty, and passion.</t>
        </is>
      </c>
      <c r="K2" t="inlineStr">
        <is>
          <t>Master healer and god of medicine who could resurrect the dead. Trained by the centaur Chiron in herbalism and surgery, and gifted by Athena with a vial of Gorgon blood — the blood from the right side could raise the dead. His Rod of Asclepius, a serpent-entwined staff, remains the universal symbol of medicine. Zeus struck him down with a thunderbolt for disrupting the natural order of life and death, fearing mortals might achieve immortality through his power.</t>
        </is>
      </c>
      <c r="L2" t="inlineStr">
        <is>
          <t>He is found in the green magic of the shedding serpent, winding its way through patches of wild mint, yarrow, and medicinal herbs, representing the shedding of sickness and the earth's endless capacity for renewal.</t>
        </is>
      </c>
      <c r="M2" t="inlineStr">
        <is>
          <t>BAY LAUREL</t>
        </is>
      </c>
      <c r="N2" t="inlineStr">
        <is>
          <t>Clairvoyance, Consecration, Divination, Dreams, Exorcism, Healing, Love, Passion, Protection, Psychic protection, Purification, Wisdom, Wishes, Winter rituals, Yule magic</t>
        </is>
      </c>
      <c r="O2" t="inlineStr">
        <is>
          <t>YARROW</t>
        </is>
      </c>
      <c r="P2" t="inlineStr">
        <is>
          <t>Divination, love spells, contacting a specific person, prophetic dreams, psychic communication, cleansing the aura, divination tea. Used as a charm for pregnant women. Strewn across thresholds to prevent unhelpful spirits from entering. Used in sachets for love, courage, communication and psychic abilities.</t>
        </is>
      </c>
      <c r="BC2" t="inlineStr">
        <is>
          <t>AESCULAPUS</t>
        </is>
      </c>
    </row>
    <row r="3">
      <c r="A3" t="inlineStr">
        <is>
          <t>ALL</t>
        </is>
      </c>
      <c r="B3" t="inlineStr">
        <is>
          <t>Deity</t>
        </is>
      </c>
      <c r="C3" t="inlineStr">
        <is>
          <t>All</t>
        </is>
      </c>
      <c r="D3" t="inlineStr">
        <is>
          <t>All</t>
        </is>
      </c>
      <c r="E3" t="inlineStr">
        <is>
          <t>All</t>
        </is>
      </c>
      <c r="F3" t="inlineStr">
        <is>
          <t>Any</t>
        </is>
      </c>
      <c r="G3" t="inlineStr">
        <is>
          <t>All Seasons</t>
        </is>
      </c>
      <c r="H3" t="inlineStr">
        <is>
          <t>Confidence, Spirit offerings, Mabon/Samhain, Samhain/ancestral altars, Contacting planes, Strength,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Physical Strength, Fortitude, Vitality, Inner power, and strength</t>
        </is>
      </c>
      <c r="I3" t="inlineStr">
        <is>
          <t>All herbs (Universal connection)</t>
        </is>
      </c>
      <c r="J3" t="inlineStr">
        <is>
          <t>Greek god of war and physical valor.</t>
        </is>
      </c>
      <c r="K3" t="inlineStr">
        <is>
          <t>The totality of divine presence and power across all traditions — the web of connection between every deity, spirit, and force. In magic and ritual, calling upon 'All' invokes the complete field of universal energy: every element, every direction, every pantheon simultaneously present. A reminder that all gods and goddesses are facets of a single, infinite creative source.</t>
        </is>
      </c>
      <c r="L3" t="inlineStr">
        <is>
          <t>The collective hum of the ancient forest, where every mycelial thread, rustling leaf, and flowing stream connects into a single, breathing organism.</t>
        </is>
      </c>
      <c r="M3" t="inlineStr">
        <is>
          <t>AGRIMONY</t>
        </is>
      </c>
      <c r="N3" t="inlineStr">
        <is>
          <t>Exploring true feelings, Emotional balance, Protection, Psychic shielding, Reducing negativity, Banishing negative energies, Reversing harmful spells, Protective sachets, Cleansing the aura, Healing magic, Ritual baths, Tool cleansing, Banishing smudge</t>
        </is>
      </c>
      <c r="O3" t="inlineStr">
        <is>
          <t>BLACK TEA</t>
        </is>
      </c>
      <c r="P3" t="inlineStr">
        <is>
          <t>Prosperity, Strength, Fortitude, Good health, Divination, Emotional healing, Calming, Soothing, Reviving, Invigorating</t>
        </is>
      </c>
      <c r="Q3" t="inlineStr">
        <is>
          <t>CAMPHOR SYNTHETIC</t>
        </is>
      </c>
      <c r="R3" t="inlineStr">
        <is>
          <t>Cleansing, Banishing, Warding off advances, Healing, Stimulating psychic senses, Consecration, Purification, Funeral rites, Visionary w, Breaking habits, Removing dark energies, Cleansing tools, Prophetic dreams, Scrying</t>
        </is>
      </c>
      <c r="S3" t="inlineStr">
        <is>
          <t>CARAWAY</t>
        </is>
      </c>
      <c r="T3" t="inlineStr">
        <is>
          <t>Fidelity, Love, Memory, Passion, Preventing theft, Protection, Retention, Sensuality, Consecration, Fertility, Gain, Honesty, Keeping secrets, Peace of mind</t>
        </is>
      </c>
      <c r="U3" t="inlineStr">
        <is>
          <t>CLEAVERS</t>
        </is>
      </c>
      <c r="V3" t="inlineStr">
        <is>
          <t>Spring tonic, Healing, Psychic powers, Spring festivals, Purification rituals, Menarche rituals, Binding spells, Binding rituals</t>
        </is>
      </c>
      <c r="W3" t="inlineStr">
        <is>
          <t>CLOVER RED</t>
        </is>
      </c>
      <c r="X3" t="inlineStr">
        <is>
          <t>Amulets, Driving away negativity, Calmness, Soothing nervousness, Desire, Fidelity, Loyalty, Cleansing baths, Attracting money, Breaking financial stagnation, Love philtres, Fixing spells, Lust</t>
        </is>
      </c>
      <c r="Y3" t="inlineStr">
        <is>
          <t>Aragonite</t>
        </is>
      </c>
      <c r="Z3" t="inlineStr">
        <is>
          <t>Meditation, Harmony, centring, Healing, will power, patience, self assurance.</t>
        </is>
      </c>
      <c r="AA3" t="inlineStr">
        <is>
          <t>Citrine</t>
        </is>
      </c>
      <c r="AB3"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C3" t="inlineStr">
        <is>
          <t>Kyanite</t>
        </is>
      </c>
      <c r="AD3" t="inlineStr">
        <is>
          <t>Creativity, commitment, loyalty, meditation, communication, Cleansing, Negating dreams, Truth</t>
        </is>
      </c>
      <c r="AE3" t="inlineStr">
        <is>
          <t>quartz Rose</t>
        </is>
      </c>
      <c r="AF3" t="inlineStr">
        <is>
          <t>Confidence, Peace, Fertility, creativity, Love, compassion, beauty, Fidelity, Happiness</t>
        </is>
      </c>
      <c r="AG3" t="inlineStr">
        <is>
          <t>Bergamot</t>
        </is>
      </c>
      <c r="AH3" t="inlineStr">
        <is>
          <t>PROSPERITY SPELLS, Prosperity</t>
        </is>
      </c>
      <c r="AI3" t="inlineStr">
        <is>
          <t>Clove Bud</t>
        </is>
      </c>
      <c r="AJ3" t="inlineStr">
        <is>
          <t>Love, Prosperity, Protection, HELP ATTRACT OPPOSITE SEX, Purification</t>
        </is>
      </c>
      <c r="AK3" t="inlineStr">
        <is>
          <t>Melissa</t>
        </is>
      </c>
      <c r="AL3" t="inlineStr">
        <is>
          <t>Love, Healing, Prosperity</t>
        </is>
      </c>
      <c r="AM3" t="inlineStr">
        <is>
          <t>Tea Tree</t>
        </is>
      </c>
      <c r="AN3" t="inlineStr">
        <is>
          <t>Strength</t>
        </is>
      </c>
      <c r="AO3" t="inlineStr">
        <is>
          <t>KAUNO</t>
        </is>
      </c>
      <c r="AP3" t="inlineStr">
        <is>
          <t>K/C</t>
        </is>
      </c>
      <c r="AQ3" t="inlineStr">
        <is>
          <t>Fire magick, Enlightenment, Illumination, Clarity, Healing, Dispelling sickness, Inspiration</t>
        </is>
      </c>
      <c r="AR3" t="inlineStr">
        <is>
          <t>HAGALAZ</t>
        </is>
      </c>
      <c r="AS3" t="inlineStr">
        <is>
          <t>H</t>
        </is>
      </c>
      <c r="AT3" t="inlineStr">
        <is>
          <t>Protection, Banishing, Warding, Exorcism, Strength, Challenges, Disruption</t>
        </is>
      </c>
      <c r="AU3" t="inlineStr">
        <is>
          <t>ALGIZ</t>
        </is>
      </c>
      <c r="AV3" t="inlineStr">
        <is>
          <t>Z/S</t>
        </is>
      </c>
      <c r="AW3" t="inlineStr">
        <is>
          <t>Protection, Warding, Protection (hexes/evil), Banishing, Alertness, Strength, Opp, tunity</t>
        </is>
      </c>
      <c r="AX3" t="inlineStr">
        <is>
          <t>MANNAZ</t>
        </is>
      </c>
      <c r="AY3" t="inlineStr">
        <is>
          <t>M</t>
        </is>
      </c>
      <c r="AZ3" t="inlineStr">
        <is>
          <t>Self-w, Breaking habits, Wisdom, Intelligence, Communication, Humanity, Truth, Clarity of thought</t>
        </is>
      </c>
      <c r="BA3" t="inlineStr">
        <is>
          <t>Aragonite, Citrine, Kyanite, quartz Rose, Tourmalinee Black, Turquoise, Emerald</t>
        </is>
      </c>
      <c r="BB3" t="inlineStr">
        <is>
          <t>Bergamot, Tea Tree</t>
        </is>
      </c>
      <c r="BC3" t="inlineStr">
        <is>
          <t>ALL</t>
        </is>
      </c>
    </row>
    <row r="4">
      <c r="A4" t="inlineStr">
        <is>
          <t>ALL GODDESSES</t>
        </is>
      </c>
      <c r="B4" t="inlineStr">
        <is>
          <t>Deity</t>
        </is>
      </c>
      <c r="C4" t="inlineStr">
        <is>
          <t>Feminine</t>
        </is>
      </c>
      <c r="D4" t="inlineStr">
        <is>
          <t>All</t>
        </is>
      </c>
      <c r="E4" t="inlineStr">
        <is>
          <t>Moon/Venus</t>
        </is>
      </c>
      <c r="F4" t="inlineStr">
        <is>
          <t>Any</t>
        </is>
      </c>
      <c r="G4" t="inlineStr">
        <is>
          <t>All Seasons</t>
        </is>
      </c>
      <c r="H4" t="inlineStr">
        <is>
          <t>Divination, Fruitfulness, Love, Increasing wealth, Attraction, Love spells, Prophetic dreams, Sun God offerings, Luck, Love rituals, Aphrodisiac, Prosperity, New beginnings, Confidence, Star magick, Strength, Fertility, Harmony, Happiness, Clairvoyance, Enhancing divination, Divinatory incense, Foretelling the future, Future divination, Scrying, Dowsing, Prophecy,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Attracting a mate, Attracting a soulmate, Conjuring a lover, HELP ATTRACT OPPOSITE SEX, Finding future love, Invoking dreams, Dream work, Dreams, Visions, Seeing the unseen, Seeing manifestations, Truth, Honesty, Removing deception, Subconscious work, Digging into the subconscious, Uprooting what is hidden, Treasure seeking, Lost object finding,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t>
        </is>
      </c>
      <c r="I4" t="inlineStr">
        <is>
          <t>Rose, Mugw, Amulets/talismans, Willow</t>
        </is>
      </c>
      <c r="J4" t="inlineStr">
        <is>
          <t>Greek goddess of the hunt, wilderness, and moon.</t>
        </is>
      </c>
      <c r="K4" t="inlineStr">
        <is>
          <t>The collective magical force of every goddess across every culture and age — from the primordial earth mothers to the celestial queens of the stars. Their combined power governs birth, death, rebirth, fertility, magic, wisdom, war, love, and sovereignty. Together they represent the full spectrum of feminine divine power: creating, nurturing, protecting, transforming, and destroying in an eternal cycle.</t>
        </is>
      </c>
      <c r="L4" t="inlineStr">
        <is>
          <t>The fertile soil itself, holding the seeds of all wildflowers in a dormant, protective embrace before coaxing them to burst into bloom under the spring sun.</t>
        </is>
      </c>
      <c r="BC4" t="inlineStr">
        <is>
          <t>ALL GODDESSES</t>
        </is>
      </c>
    </row>
    <row r="5">
      <c r="A5" t="inlineStr">
        <is>
          <t>ALL LUNAR GODDESSES</t>
        </is>
      </c>
      <c r="B5" t="inlineStr">
        <is>
          <t>Deity</t>
        </is>
      </c>
      <c r="C5" t="inlineStr">
        <is>
          <t>Feminine</t>
        </is>
      </c>
      <c r="D5" t="inlineStr">
        <is>
          <t>Water</t>
        </is>
      </c>
      <c r="E5" t="inlineStr">
        <is>
          <t>Moon</t>
        </is>
      </c>
      <c r="F5" t="inlineStr">
        <is>
          <t>Monday</t>
        </is>
      </c>
      <c r="G5" t="inlineStr">
        <is>
          <t>All Seasons</t>
        </is>
      </c>
      <c r="H5" t="inlineStr">
        <is>
          <t>Divination, New beginnings, Fruitfulness, Confidence, Prophetic dreams, Sun God offerings, Luck, Happiness, Star magick, Increasing wealth, Strength,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I5" t="inlineStr">
        <is>
          <t>Jasmine, Moonflower, Willow</t>
        </is>
      </c>
      <c r="J5" t="inlineStr">
        <is>
          <t>Ancient Semitic goddess of fertility and war.</t>
        </is>
      </c>
      <c r="K5" t="inlineStr">
        <is>
          <t>The united magical power of every moon deity — Selene, Artemis, Hecate, Arianrhod, Chang'e, Tsukuyomi and all others. They govern the tides, the menstrual cycle, dreams, illusions, the psychic arts, and the mysteries of the night. Their triple-goddess aspect (waxing, full, waning) embodies the maiden, mother, and crone, weaving together the entire arc of feminine experience and transformative magic.</t>
        </is>
      </c>
      <c r="L5" t="inlineStr">
        <is>
          <t>The night-blooming jasmine and moonflowers that open their pale petals to the silver light, drawing down the evening dew to nourish the nocturnal earth.</t>
        </is>
      </c>
      <c r="M5" t="inlineStr">
        <is>
          <t>JASMINE</t>
        </is>
      </c>
      <c r="N5" t="inlineStr">
        <is>
          <t>Snakebite magic, Divination, Charging crystals, Spiritual love, Attracting a soulmate, Wealth, Money, Sleep, Prophetic dreams, New ideas</t>
        </is>
      </c>
      <c r="O5" t="inlineStr">
        <is>
          <t>WILLOW BARK</t>
        </is>
      </c>
      <c r="P5" t="inlineStr">
        <is>
          <t>Protection, healing, luck, and hex-breaking. Place wintergreen in the home to attract good fortune and protect against ill-wishing. Used in healing rituals, particularly for long-standing conditions. The refreshing scent is used to clear stale, negative energy from a space. Add to lucky sachets and charm bags for persistent good fortune.</t>
        </is>
      </c>
      <c r="BC5" t="inlineStr">
        <is>
          <t>ALL LUNAR GODDESSES</t>
        </is>
      </c>
    </row>
    <row r="6">
      <c r="A6" t="inlineStr">
        <is>
          <t>ALLAT</t>
        </is>
      </c>
      <c r="B6" t="inlineStr">
        <is>
          <t>Deity</t>
        </is>
      </c>
      <c r="C6" t="inlineStr">
        <is>
          <t>Feminine</t>
        </is>
      </c>
      <c r="D6" t="inlineStr">
        <is>
          <t>Earth</t>
        </is>
      </c>
      <c r="E6" t="inlineStr">
        <is>
          <t>Venus</t>
        </is>
      </c>
      <c r="F6" t="inlineStr">
        <is>
          <t>Friday</t>
        </is>
      </c>
      <c r="G6" t="inlineStr">
        <is>
          <t>Spring/Summer</t>
        </is>
      </c>
      <c r="H6"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6" t="inlineStr">
        <is>
          <t>Date Palm, Cedar</t>
        </is>
      </c>
      <c r="J6" t="inlineStr">
        <is>
          <t>Phrygian god of vegetation, consort of Cybele.</t>
        </is>
      </c>
      <c r="K6" t="inlineStr">
        <is>
          <t>One of the three great pre-Islamic Arabian goddesses — daughters of Allah — alongside Al-Uzza and Manat. She was the goddess of fertility, agriculture, and the earth, her sacred stone at Ta'if a cube of white granite venerated across Arabia. Associated with Athena in the Hellenistic period, she wielded the power of rain, crops, and the enduring covenant between the divine and the land. Her name means 'The Goddess' — the primordial feminine divine of the desert world.</t>
        </is>
      </c>
      <c r="L6" t="inlineStr">
        <is>
          <t>The profound magic of the desert oasis, where deep underground springs miraculously push through the arid sands to sustain the deep roots of ancient date palms.</t>
        </is>
      </c>
      <c r="BC6" t="inlineStr">
        <is>
          <t>ALLAT</t>
        </is>
      </c>
    </row>
    <row r="7">
      <c r="A7" t="inlineStr">
        <is>
          <t>AMATERASU</t>
        </is>
      </c>
      <c r="B7" t="inlineStr">
        <is>
          <t>Deity</t>
        </is>
      </c>
      <c r="C7" t="inlineStr">
        <is>
          <t>Feminine</t>
        </is>
      </c>
      <c r="D7" t="inlineStr">
        <is>
          <t>Fire</t>
        </is>
      </c>
      <c r="E7" t="inlineStr">
        <is>
          <t>Sun</t>
        </is>
      </c>
      <c r="F7" t="inlineStr">
        <is>
          <t>Sunday</t>
        </is>
      </c>
      <c r="G7" t="inlineStr">
        <is>
          <t>Summer/Spring</t>
        </is>
      </c>
      <c r="H7" t="inlineStr">
        <is>
          <t>Fruitfulness, Confidence, Sun God offerings, Luck, Spirit offerings, Mabon/Samhain, Samhain/ancestral altars, Happiness, Increasing wealth, Dispelling sickness, Contacting planes, Strength, Prosperity, Fertility, Healing,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Joy, Joyous celebrations, Contentment,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Healing magic, Healing spells, Healing sachets, Healing incenses, Healing mixtures, Healing rituals, Healing incense, Healing vibrations, healing after surgery, Aiding recovery, Aiding the ill, Improving health, Speeding recovery, Good health, health</t>
        </is>
      </c>
      <c r="I7" t="inlineStr">
        <is>
          <t>Cinnamon, Eucalyptus, Lemongrass, Rosemary, Goldenrod, Jasmine</t>
        </is>
      </c>
      <c r="J7" t="inlineStr">
        <is>
          <t>Greek/Roman god of medicine and healing.</t>
        </is>
      </c>
      <c r="K7" t="inlineStr">
        <is>
          <t>Japanese goddess of the sun and ruler of the High Plain of Heaven. Her most famous magical act was withdrawing into the Ama-no-Iwato cave in grief and rage after Susanoo's destructive rampage, plunging the world into darkness and causing crops to fail. The 800 gods tricked her out with laughter, music, and a sacred mirror. Her mirror, Yata no Kagami, became one of Japan's three Imperial Treasures and is said to embody her spirit even now.</t>
        </is>
      </c>
      <c r="L7" t="inlineStr">
        <is>
          <t>The first golden ray of dawn breaking through the thick forest canopy, warming the frost-covered moss and gently awakening the morning birds to sing.</t>
        </is>
      </c>
      <c r="M7" t="inlineStr">
        <is>
          <t>LEMONGRASS</t>
        </is>
      </c>
      <c r="N7" t="inlineStr">
        <is>
          <t>Offerings to forest spirits, Offerings to gods, Warding off illness, Warding off hexes, Smudging, Pre-ritual cleansing</t>
        </is>
      </c>
      <c r="O7" t="inlineStr">
        <is>
          <t>ROSEMARY</t>
        </is>
      </c>
      <c r="P7" t="inlineStr">
        <is>
          <t>Cleansing, Consecration, Exorcism, Healing, Sleep, Peace of mind, Confidence, Courage, Good luck, Grieving, Happiness, Knowledge, Love, Memory, Passion, Preventing theft, Protection, Psychic development, Psychic protection, Purification, Release, Water rites, Sea rituals, Weddings, Blessings, Dreams, Endings, Energy, Elves, Fidelity, Honesty, Inspiration, Invocation, Longevity, Meditation, New moon, Preventing nightmares, Strength, Transformation, Wisdom</t>
        </is>
      </c>
      <c r="Q7" t="inlineStr">
        <is>
          <t>GOLDENROD</t>
        </is>
      </c>
      <c r="R7" t="inlineStr">
        <is>
          <t>Love rituals, Finding future love, Love sealing, Prophecy, Divination, Dowsing, Treasure seeking, Lost object finding, Inner attunement, Foretelling the future, Future rituals, Daily sachets</t>
        </is>
      </c>
      <c r="S7" t="inlineStr">
        <is>
          <t>JASMINE</t>
        </is>
      </c>
      <c r="T7" t="inlineStr">
        <is>
          <t>Snakebite magic, Divination, Charging crystals, Spiritual love, Attracting a soulmate, Wealth, Money, Sleep, Prophetic dreams, New ideas</t>
        </is>
      </c>
      <c r="U7" t="inlineStr">
        <is>
          <t>LEMON VERBENA</t>
        </is>
      </c>
      <c r="V7" t="inlineStr">
        <is>
          <t>Breaking bad habits, Purifying body and mind, Cleansing space, Removing negative energy, Inner child connection, Creativity, Earth festivals, Love philtres, Sacred union rites, Astral travel, Prophetic dreams</t>
        </is>
      </c>
      <c r="Y7" t="inlineStr">
        <is>
          <t>Aragonite</t>
        </is>
      </c>
      <c r="Z7" t="inlineStr">
        <is>
          <t>Meditation, Harmony, centring, Healing, will power, patience, self assurance.</t>
        </is>
      </c>
      <c r="AG7" t="inlineStr">
        <is>
          <t>Lemon Grass</t>
        </is>
      </c>
      <c r="AH7" t="inlineStr">
        <is>
          <t>Divination, REPELS, Love</t>
        </is>
      </c>
      <c r="BA7" t="inlineStr">
        <is>
          <t>Aragonite</t>
        </is>
      </c>
      <c r="BB7" t="inlineStr">
        <is>
          <t>Lemon Grass</t>
        </is>
      </c>
      <c r="BC7" t="inlineStr">
        <is>
          <t>AMATERASU</t>
        </is>
      </c>
    </row>
    <row r="8">
      <c r="A8" t="inlineStr">
        <is>
          <t>AMBERELLA</t>
        </is>
      </c>
      <c r="B8" t="inlineStr">
        <is>
          <t>Deity</t>
        </is>
      </c>
      <c r="C8" t="inlineStr">
        <is>
          <t>Feminine</t>
        </is>
      </c>
      <c r="D8" t="inlineStr">
        <is>
          <t>Earth/Fire</t>
        </is>
      </c>
      <c r="E8" t="inlineStr">
        <is>
          <t>Sun</t>
        </is>
      </c>
      <c r="F8" t="inlineStr">
        <is>
          <t>Sunday</t>
        </is>
      </c>
      <c r="G8" t="inlineStr">
        <is>
          <t>All Seasons</t>
        </is>
      </c>
      <c r="H8" t="inlineStr">
        <is>
          <t>Protection (hexes/evil), Love, Attraction, Healing, Love spells, Sun God offerings, Luck, Love rituals, Aphrodisiac, Dispelling sickness, New beginnings, Confidence, Mabon/Samhain, Samhain/ancestral altars, Contacting planes, Strength, Protection, Spirit offerings, Banishing, Warding, Harmony, Happiness,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Physical Strength, Fortitude, Vitality, Inner power, and strength,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Joy, Joyous celebrations, Contentment</t>
        </is>
      </c>
      <c r="I8" t="inlineStr">
        <is>
          <t>Amber (Resin), Frankincense</t>
        </is>
      </c>
      <c r="J8" t="inlineStr">
        <is>
          <t>Arabian goddess associated with the earth and sky.</t>
        </is>
      </c>
      <c r="K8" t="inlineStr">
        <is>
          <t>A Baltic and Latvian folkloric spirit of amber, the golden fossilised resin of ancient forests. In legend, Amberella was a maiden stolen by the Prince of the Sea and imprisoned in a palace of amber beneath the waves. In sorrow and longing for her family, she casts lumps of amber onto the shoreline — each piece carrying her love and tears. Amber is sacred as a magical talisman of protection, healing, and the preserved light of the ancient sun.</t>
        </is>
      </c>
      <c r="L8" t="inlineStr">
        <is>
          <t>The fossilized resin of ancient pine trees, trapping the golden sunlight of millennia past and glowing with warm, protective earth energy that washes onto the shores.</t>
        </is>
      </c>
      <c r="M8" t="inlineStr">
        <is>
          <t>FRANKINCENSE</t>
        </is>
      </c>
      <c r="N8" t="inlineStr">
        <is>
          <t>Offerings to Sun Gods, Fumigation, Removing negativity, Exorcism, Incense blends, Smudging, Raising energy, Ritual offerings</t>
        </is>
      </c>
      <c r="BC8" t="inlineStr">
        <is>
          <t>AMBERELLA</t>
        </is>
      </c>
    </row>
    <row r="9">
      <c r="A9" t="inlineStr">
        <is>
          <t>APHRODITE</t>
        </is>
      </c>
      <c r="B9" t="inlineStr">
        <is>
          <t>Deity</t>
        </is>
      </c>
      <c r="C9" t="inlineStr">
        <is>
          <t>Feminine</t>
        </is>
      </c>
      <c r="D9" t="inlineStr">
        <is>
          <t>Water</t>
        </is>
      </c>
      <c r="E9" t="inlineStr">
        <is>
          <t>Venus</t>
        </is>
      </c>
      <c r="F9" t="inlineStr">
        <is>
          <t>Friday</t>
        </is>
      </c>
      <c r="G9" t="inlineStr">
        <is>
          <t>Spring</t>
        </is>
      </c>
      <c r="H9" t="inlineStr">
        <is>
          <t>Confidence, Sun God offerings, Luck, Love rituals, Love, Aphrodisiac, Strength, Happiness, Attraction, Love spells,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Physical Strength, Fortitude, Vitality, Inner power, and strength, Joy, Joyous celebrations, Contentment, Attracting a mate, Attracting a soulmate, Conjuring a lover, HELP ATTRACT OPPOSITE SEX, Finding future love</t>
        </is>
      </c>
      <c r="I9" t="inlineStr">
        <is>
          <t>Rose, Apple Blossom, Myrtle, Vervain</t>
        </is>
      </c>
      <c r="J9" t="inlineStr">
        <is>
          <t>Japanese sun goddess and ruler of the heavens.</t>
        </is>
      </c>
      <c r="K9" t="inlineStr">
        <is>
          <t>Born from the sea-foam where the castrated Ouranos fell, Aphrodite embodied the irresistible magic of love, beauty, and desire. Her golden girdle (the Kestos Himas) compelled any who saw the wearer to fall irresistibly in love. She manipulated gods and mortals alike, igniting the Trojan War when she bribed Paris with Helen. Her sacred birds — the dove and the sparrow — carried her magic across the world, and her sacred myrtle and roses bloomed wherever she walked.</t>
        </is>
      </c>
      <c r="L9" t="inlineStr">
        <is>
          <t>The sweet, intoxicating scent of wild myrtle and blooming red roses that spring up wherever the salty sea-foam washes over the coastal rocks.</t>
        </is>
      </c>
      <c r="M9" t="inlineStr">
        <is>
          <t>APPLE BLOSSOM</t>
        </is>
      </c>
      <c r="N9" t="inlineStr">
        <is>
          <t>Love spells, Peace, Contentment, Success, Relaxation, Bath magic</t>
        </is>
      </c>
      <c r="O9" t="inlineStr">
        <is>
          <t>VERVAIN</t>
        </is>
      </c>
      <c r="P9" t="inlineStr">
        <is>
          <t>Protection, Defending against spells, Warding off witches, Exorcising evil entities, Ju-ju / gris-gris protection, Protection for infants, Protection from negativity</t>
        </is>
      </c>
      <c r="Q9" t="inlineStr">
        <is>
          <t>APPLEWOOD CHIPS</t>
        </is>
      </c>
      <c r="R9" t="inlineStr">
        <is>
          <t>Wand making, Love spells, Mabon rituals, Samhain rituals, Honouring the dead, Ancestral altars, Spirit offerings</t>
        </is>
      </c>
      <c r="S9" t="inlineStr">
        <is>
          <t>BENZOIN</t>
        </is>
      </c>
      <c r="T9" t="inlineStr">
        <is>
          <t>Purification, Sanctifying an area, Attracting business, Incense base, Substitute for storax, Focus, Concentration</t>
        </is>
      </c>
      <c r="U9" t="inlineStr">
        <is>
          <t>BLACKBERRY LEAVES</t>
        </is>
      </c>
      <c r="V9" t="inlineStr">
        <is>
          <t>Protection, Protective wreaths, Mojo bags, Household protection, Prosperity, Female fertility, Aphrodisiac tea, Abundant harvest, Magical cooking</t>
        </is>
      </c>
      <c r="W9" t="inlineStr">
        <is>
          <t>CINNAMON STICKS</t>
        </is>
      </c>
      <c r="X9" t="inlineStr">
        <is>
          <t>Clairvoyance, Consecration, Divination, Energy, Good luck, Love, Money, Passion, Peace, Prosperity, Protection, Psychic development, Success, Communication, Happiness, Harmony, Healing, Inspiration, Knowledge, Meditation, Purification, Spirituality, Tranquillity, Wisdom</t>
        </is>
      </c>
      <c r="Y9" t="inlineStr">
        <is>
          <t>Chrysocolla</t>
        </is>
      </c>
      <c r="Z9" t="inlineStr">
        <is>
          <t>Clarity, Peace, patience, Love, wisdom, Negating dreams, Harmony, Prosperity, growth, hope, intimacy, Divination, tolerance, sleep, creativity, self-awareness.</t>
        </is>
      </c>
      <c r="AA9" t="inlineStr">
        <is>
          <t>chrysophase</t>
        </is>
      </c>
      <c r="AB9" t="inlineStr">
        <is>
          <t>Happiness, lick, Prosperity, Friendship, Protection, Healing</t>
        </is>
      </c>
      <c r="AC9" t="inlineStr">
        <is>
          <t>Copper flakes</t>
        </is>
      </c>
      <c r="AD9" t="inlineStr">
        <is>
          <t>Love, Peace, friendships</t>
        </is>
      </c>
      <c r="AE9" t="inlineStr">
        <is>
          <t>Emerald</t>
        </is>
      </c>
      <c r="AF9" t="inlineStr">
        <is>
          <t>Psychic awareness, meditation, Divination, Peace, sleep, Healing, Love, friendship, protection from evil, business success, mem, Clairvoyance, recognition, faith, Fertility, serenity, underst, Attracting good spirits, balance. Represents Time, the astral planes</t>
        </is>
      </c>
      <c r="AG9" t="inlineStr">
        <is>
          <t>Apple</t>
        </is>
      </c>
      <c r="AH9" t="inlineStr">
        <is>
          <t>Love, Happiness, WISDOM IN MAGICK</t>
        </is>
      </c>
      <c r="AI9" t="inlineStr">
        <is>
          <t>Frankincense</t>
        </is>
      </c>
      <c r="AJ9" t="inlineStr">
        <is>
          <t>Luck, Protection, SPIRITUALITY, PROTECT AGAINST NEGATIVITY, EXC, Exorcism</t>
        </is>
      </c>
      <c r="AK9" t="inlineStr">
        <is>
          <t>Geranium</t>
        </is>
      </c>
      <c r="AL9" t="inlineStr">
        <is>
          <t>Love, Fertility, Healing, Protection</t>
        </is>
      </c>
      <c r="AM9" t="inlineStr">
        <is>
          <t>Honeysuckle</t>
        </is>
      </c>
      <c r="AN9" t="inlineStr">
        <is>
          <t>INCREASE PSYCHIC ABILITIES, INCREASE MONEY, Protection</t>
        </is>
      </c>
      <c r="BA9" t="inlineStr">
        <is>
          <t>Chrysocolla, chrysophase, Copper flakes, Emerald, Fuchsite, Goldstone, Jade (jadeite), Lapis Lazuli, Lodestone, Malachite, Moonstone, Peridot, Seraphinite, Unakite</t>
        </is>
      </c>
      <c r="BB9" t="inlineStr">
        <is>
          <t>Apple, Frankincense, Geranium, Honeysuckle, Marjoram, Neroli, Rosemary, Vanilla, Ylang Ylang</t>
        </is>
      </c>
      <c r="BC9" t="inlineStr">
        <is>
          <t>APHRODITE</t>
        </is>
      </c>
    </row>
    <row r="10">
      <c r="A10" t="inlineStr">
        <is>
          <t>ARADIA</t>
        </is>
      </c>
      <c r="B10" t="inlineStr">
        <is>
          <t>Deity</t>
        </is>
      </c>
      <c r="C10" t="inlineStr">
        <is>
          <t>Feminine</t>
        </is>
      </c>
      <c r="D10" t="inlineStr">
        <is>
          <t>Air/Earth</t>
        </is>
      </c>
      <c r="E10" t="inlineStr">
        <is>
          <t>Moon</t>
        </is>
      </c>
      <c r="F10" t="inlineStr">
        <is>
          <t>Monday</t>
        </is>
      </c>
      <c r="G10" t="inlineStr">
        <is>
          <t>All Seasons</t>
        </is>
      </c>
      <c r="H10" t="inlineStr">
        <is>
          <t>Divination, New beginnings, Fruitfulness, Prophetic dreams, Sun God offerings, Luck, Happiness, Love rituals, Star magick, Love, Aphrodisiac, Increasing wealth, Harmony, Prosperity, Clairvoyance, Attraction, Fertility, Love spells,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Aphrodisiac tea, Sensuality, Lust, Lust/Sex, Passionate love-making, LOVING &amp; LUSTFUL ENERGIES, SEX MAGIC, RAISE SEXUAL ENERGY, Sexual energy,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10" t="inlineStr">
        <is>
          <t>Violet, Verbena, Rue</t>
        </is>
      </c>
      <c r="J10" t="inlineStr">
        <is>
          <t>Nymph of amber, associated with light and sun.</t>
        </is>
      </c>
      <c r="K10" t="inlineStr">
        <is>
          <t>Described in Charles Leland's 1899 'Aradia, or the Gospel of the Witches' as the daughter of Diana and Lucifer, sent to earth to teach the oppressed the arts of witchcraft. She taught the poor to blight crops, make men mad, kill tyrants, and win forbidden love. She is the Queen of Witches in the Italian stregheria tradition, presiding over moonlit sabbats, herb magic, and the sacred charge to resist all those who would enslave and dominate.</t>
        </is>
      </c>
      <c r="L10" t="inlineStr">
        <is>
          <t>The quiet, rebellious magic of the hedgerows, where wild fennel, vervain, and rue are gathered by moonlight to empower those who live on the edges of the wild.</t>
        </is>
      </c>
      <c r="M10" t="inlineStr">
        <is>
          <t>VIOLET</t>
        </is>
      </c>
      <c r="N10" t="inlineStr">
        <is>
          <t>Love (with lavender), Good luck, Prophetic dreams, Divination, Prosperity, Protection, Faithfulness, Love, Wishes, Peace, Healing, Abs, bing evil spells, bing ill will</t>
        </is>
      </c>
      <c r="O10" t="inlineStr">
        <is>
          <t>RUE</t>
        </is>
      </c>
      <c r="P10"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Q10" t="inlineStr">
        <is>
          <t>LEMON VERBENA</t>
        </is>
      </c>
      <c r="R10" t="inlineStr">
        <is>
          <t>Breaking bad habits, Purifying body and mind, Cleansing space, Removing negative energy, Inner child connection, Creativity, Earth festivals, Love philtres, Sacred union rites, Astral travel, Prophetic dreams</t>
        </is>
      </c>
      <c r="S10" t="inlineStr">
        <is>
          <t>VERVAIN</t>
        </is>
      </c>
      <c r="T10" t="inlineStr">
        <is>
          <t>Protection, Defending against spells, Warding off witches, Exorcising evil entities, Ju-ju / gris-gris protection, Protection for infants, Protection from negativity</t>
        </is>
      </c>
      <c r="BC10" t="inlineStr">
        <is>
          <t>ARADIA</t>
        </is>
      </c>
    </row>
    <row r="11">
      <c r="A11" t="inlineStr">
        <is>
          <t>ARES</t>
        </is>
      </c>
      <c r="B11" t="inlineStr">
        <is>
          <t>Deity</t>
        </is>
      </c>
      <c r="C11" t="inlineStr">
        <is>
          <t>Masculine</t>
        </is>
      </c>
      <c r="D11" t="inlineStr">
        <is>
          <t>Fire</t>
        </is>
      </c>
      <c r="E11" t="inlineStr">
        <is>
          <t>Mars</t>
        </is>
      </c>
      <c r="F11" t="inlineStr">
        <is>
          <t>Tuesday</t>
        </is>
      </c>
      <c r="G11" t="inlineStr">
        <is>
          <t>Summer</t>
        </is>
      </c>
      <c r="H11" t="inlineStr">
        <is>
          <t>Divination, Prophetic dreams, Confidence, Star magick, Strength, Clairvoyance,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I11" t="inlineStr">
        <is>
          <t>Garlic, Ginger, Nettle</t>
        </is>
      </c>
      <c r="J11" t="inlineStr">
        <is>
          <t>Italian folklore witch/goddess of the moon.</t>
        </is>
      </c>
      <c r="K11" t="inlineStr">
        <is>
          <t>God of war whose magic lay not in spells but in the blood-frenzy called menos — divine battle rage that made warriors unstoppable. He could inflame entire armies with panic and bloodlust or withdraw it, leaving men trembling. Accompanied by his twin sons Deimos (Fear) and Phobos (Terror), his power transformed ordinary men into killing forces beyond reason. Even his war-wound, inflicted by Diomedes guided by Athena, simply angered him into louder, more terrifying battle cries.</t>
        </is>
      </c>
      <c r="L11" t="inlineStr">
        <is>
          <t>The harsh but entirely necessary wildfire that clears the choking underbrush, creating the intense heat needed for the seeds of lodgepole pines to finally burst open and sprout.</t>
        </is>
      </c>
      <c r="M11" t="inlineStr">
        <is>
          <t>NETTLE</t>
        </is>
      </c>
      <c r="N11" t="inlineStr">
        <is>
          <t>Protection, healing, lust, courage, and exorcism. Stuff a poppet with nettles to break curses and return them to the sender. Throw into a fire to avert danger. Carry in a charm bag for courage and to ward off fear. Sprinkle around the home to drive out negative presences. Use in healing spells for building strength and vitality.</t>
        </is>
      </c>
      <c r="O11" t="inlineStr">
        <is>
          <t>GARLIC POWDER</t>
        </is>
      </c>
      <c r="P11" t="inlineStr">
        <is>
          <t>Exorcism, Magic, Passion, Protection, Spell-breaking, Strength, Clairvoyance, Success, Commanding, Confidence, Consecration, Courage, Divination, Healing, Longevity, Money, Overcoming opposition, Purification, Preventing nightmares, Stopping gossip, Fair weather</t>
        </is>
      </c>
      <c r="Q11" t="inlineStr">
        <is>
          <t>GINGER ROOT</t>
        </is>
      </c>
      <c r="R11" t="inlineStr">
        <is>
          <t>Love, Passion, Psychic protection, Cursing, Health, Psychic development, Sensuality, Success</t>
        </is>
      </c>
      <c r="S11" t="inlineStr">
        <is>
          <t>NUTMEG POWDER</t>
        </is>
      </c>
      <c r="T11" t="inlineStr">
        <is>
          <t>Enhancing clairvoyance, Enhancing divination, Drawing money, Invoking dreams, Aiding fertility, Aiding gain, Love, Meditation, Passion, Prosperity</t>
        </is>
      </c>
      <c r="U11" t="inlineStr">
        <is>
          <t>BLACK SALT</t>
        </is>
      </c>
      <c r="V11" t="inlineStr">
        <is>
          <t>Protection, Banishing, Purification, Warding, Removing hexes and curses, Absorbing negativity, Exorcism, Spirit work, Ancestor rituals, Binding, Samhain rituals</t>
        </is>
      </c>
      <c r="Y11" t="inlineStr">
        <is>
          <t>Bloodstone</t>
        </is>
      </c>
      <c r="Z11" t="inlineStr">
        <is>
          <t>Healing, Prosperity, Confidence, physical strength, stress relief, help in business, legal matters, revitalization, guidance, rain, ganization.</t>
        </is>
      </c>
      <c r="AA11" t="inlineStr">
        <is>
          <t>Pyrite (Fool's Gold)</t>
        </is>
      </c>
      <c r="AB11" t="inlineStr">
        <is>
          <t>Logic, clarity, mem, Clairvoyance, Prosperity, will power, grounding, Harmony, Strength</t>
        </is>
      </c>
      <c r="AC11" t="inlineStr">
        <is>
          <t>Red Jasper</t>
        </is>
      </c>
      <c r="AD11" t="inlineStr">
        <is>
          <t>Beauty, grace, increasing mental processes, Luck, easing pain of childbirth, Anti-theft, ming barrier against dangerous whims &amp; desires.</t>
        </is>
      </c>
      <c r="AE11" t="inlineStr">
        <is>
          <t>Rhodocrosite</t>
        </is>
      </c>
      <c r="AF11" t="inlineStr">
        <is>
          <t>Balancing, Healing, beauty, intelligence, divine love, energy, Peace, loneliness, comf, Amulets/talismans, meeting potential, Confidence, Contacting planes, compassion, friendship. Increases self confidence, self reliance, independence, the ability to provide f, yourself.</t>
        </is>
      </c>
      <c r="AG11" t="inlineStr">
        <is>
          <t>Ginger</t>
        </is>
      </c>
      <c r="AH11" t="inlineStr">
        <is>
          <t>Prosperity, Healing, Love, Strength</t>
        </is>
      </c>
      <c r="BA11" t="inlineStr">
        <is>
          <t>Bloodstone, Pyrite (Fool's Gold), Red Jasper, Rhodocrosite, Rhodonite, Ruby, Yellow Aventurine</t>
        </is>
      </c>
      <c r="BB11" t="inlineStr">
        <is>
          <t>Ginger</t>
        </is>
      </c>
      <c r="BC11" t="inlineStr">
        <is>
          <t>ARES</t>
        </is>
      </c>
    </row>
    <row r="12">
      <c r="A12" t="inlineStr">
        <is>
          <t>ARIANRHOD</t>
        </is>
      </c>
      <c r="B12" t="inlineStr">
        <is>
          <t>Deity</t>
        </is>
      </c>
      <c r="C12" t="inlineStr">
        <is>
          <t>Feminine</t>
        </is>
      </c>
      <c r="D12" t="inlineStr">
        <is>
          <t>Air/Water</t>
        </is>
      </c>
      <c r="E12" t="inlineStr">
        <is>
          <t>Moon</t>
        </is>
      </c>
      <c r="F12" t="inlineStr">
        <is>
          <t>Monday</t>
        </is>
      </c>
      <c r="G12" t="inlineStr">
        <is>
          <t>Winter</t>
        </is>
      </c>
      <c r="H12" t="inlineStr">
        <is>
          <t>Divination, New beginnings, Fruitfulness, Prophetic dreams, Star magick, Increasing wealth,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clairvoyance, Psychic development, Psychic powers, INCREASE PSYCHIC ABILITIES, Psychic awareness, Stimulating psychic senses, Disabling psychic phenomena, Psychic communication, communication and psychic abilities</t>
        </is>
      </c>
      <c r="I12" t="inlineStr">
        <is>
          <t>Eucalyptus, Sea Holly, Dusty Miller, Jasmine</t>
        </is>
      </c>
      <c r="J12" t="inlineStr">
        <is>
          <t>Welsh goddess of the moon, fertility, and fate.</t>
        </is>
      </c>
      <c r="K12" t="inlineStr">
        <is>
          <t>Welsh goddess of the Silver Wheel — the corona borealis — who presided over fate, reincarnation, and the turning of cosmic time. Her castle Caer Arianrhod sits at the spinning star-fortress above Wales. She laid three powerful curses on her son Lleu: that he would have no name, no weapons, and no human wife. Each curse was defeated only by her brother Gwydion's trickery. She had power over destiny itself, shape-shifted into eagle and crow, and entered men's dreams.</t>
        </is>
      </c>
      <c r="L12" t="inlineStr">
        <is>
          <t>The silver birch trees swaying under a starry sky, their white bark glowing like the brilliant spiral of stars she weaves into the northern winds.</t>
        </is>
      </c>
      <c r="M12" t="inlineStr">
        <is>
          <t>JASMINE</t>
        </is>
      </c>
      <c r="N12" t="inlineStr">
        <is>
          <t>Snakebite magic, Divination, Charging crystals, Spiritual love, Attracting a soulmate, Wealth, Money, Sleep, Prophetic dreams, New ideas</t>
        </is>
      </c>
      <c r="BC12" t="inlineStr">
        <is>
          <t>ARIANRHOD</t>
        </is>
      </c>
    </row>
    <row r="13">
      <c r="A13" t="inlineStr">
        <is>
          <t>ARTEMIS</t>
        </is>
      </c>
      <c r="B13" t="inlineStr">
        <is>
          <t>Deity</t>
        </is>
      </c>
      <c r="C13" t="inlineStr">
        <is>
          <t>Feminine</t>
        </is>
      </c>
      <c r="D13" t="inlineStr">
        <is>
          <t>Earth/Water</t>
        </is>
      </c>
      <c r="E13" t="inlineStr">
        <is>
          <t>Moon</t>
        </is>
      </c>
      <c r="F13" t="inlineStr">
        <is>
          <t>Monday</t>
        </is>
      </c>
      <c r="G13" t="inlineStr">
        <is>
          <t>Autumn/Winter</t>
        </is>
      </c>
      <c r="H13" t="inlineStr">
        <is>
          <t>New beginnings, Protection, Protection (hexes/evil), Spirit offerings, Mabon/Samhain, Samhain/ancestral altars, Banishing, Warding, Contacting planes,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I13" t="inlineStr">
        <is>
          <t>Clover, Sweet Myrrh, Willow Bark, Increasing wealth, mwood</t>
        </is>
      </c>
      <c r="J13" t="inlineStr">
        <is>
          <t>Canaanite storm god and lord of the heavens.</t>
        </is>
      </c>
      <c r="K13" t="inlineStr">
        <is>
          <t>Virgin goddess of the hunt and the wild who wielded silver arrows that could cause sudden death or swift, painless release. She brought sudden death to women as her brother Apollo brought death to men. She turned the hunter Actaeon into a stag for accidentally seeing her bathe, and he was devoured by his own hounds. She protected and fiercely avenged her virginity, sent the Calydonian Boar as punishment when King Oeneus neglected her, and could also heal the wounds of wild animals.</t>
        </is>
      </c>
      <c r="L13" t="inlineStr">
        <is>
          <t>The untamed, trackless wilderness where red deer graze freely among the damp ferns, guarded fiercely by the spirit of the deep woods.</t>
        </is>
      </c>
      <c r="M13" t="inlineStr">
        <is>
          <t>CLOVER</t>
        </is>
      </c>
      <c r="N13" t="inlineStr">
        <is>
          <t>Fidelity, Love, Money, Protection, Blessing domestic animals, Financial arrangements, Removing negative spirits, Ritual baths, Prosperity, Floor washes, Shamanic work, Otherworld travel, Out-of-body protection, Walking between worlds, Protective charm</t>
        </is>
      </c>
      <c r="O13" t="inlineStr">
        <is>
          <t>SWEET MYRRH</t>
        </is>
      </c>
      <c r="P13" t="inlineStr">
        <is>
          <t>Purification, Lifting vibrations, Contemplation, Meditation, Peace, Increasing power of incense, Healing incenses, Healing sachets, Consecration, Blessing objects, Protection, Guarding against evil, Underst, Bolstering spells, row</t>
        </is>
      </c>
      <c r="Q13" t="inlineStr">
        <is>
          <t>WILLOW BARK</t>
        </is>
      </c>
      <c r="R13" t="inlineStr">
        <is>
          <t>Protection, healing, luck, and hex-breaking. Place wintergreen in the home to attract good fortune and protect against ill-wishing. Used in healing rituals, particularly for long-standing conditions. The refreshing scent is used to clear stale, negative energy from a space. Add to lucky sachets and charm bags for persistent good fortune.</t>
        </is>
      </c>
      <c r="S13" t="inlineStr">
        <is>
          <t>CEDARWOOD (HIMALAYAN)</t>
        </is>
      </c>
      <c r="T13" t="inlineStr">
        <is>
          <t>Cleansing atmospheres, Creating sacred spaces, Longevity, Protection, Preservation, Summoning spirits, Invocations, Propriety, Long life, Growth, Dedicating sacred spaces, Solar spells, Strengthening focus, Illumination</t>
        </is>
      </c>
      <c r="U13" t="inlineStr">
        <is>
          <t>CLOVER RED</t>
        </is>
      </c>
      <c r="V13" t="inlineStr">
        <is>
          <t>Amulets, Driving away negativity, Calmness, Soothing nervousness, Desire, Fidelity, Loyalty, Cleansing baths, Attracting money, Breaking financial stagnation, Love philtres, Fixing spells, Lust</t>
        </is>
      </c>
      <c r="W13" t="inlineStr">
        <is>
          <t>WHEAT GRAINS</t>
        </is>
      </c>
      <c r="X13" t="inlineStr">
        <is>
          <t>Moon magic, love, healing, protection, and grief work. Carry willow bark to ease the pain of grief and unrequited love. Use in moon rituals and Esbat workings. The bark is used in wand-making for lunar and healing wands. Add to healing sachets and protective bags. Use in spells for acceptance and letting go.</t>
        </is>
      </c>
      <c r="Y13" t="inlineStr">
        <is>
          <t>Aquamarine</t>
        </is>
      </c>
      <c r="Z13" t="inlineStr">
        <is>
          <t>Psychism, Peace, Confidence, Purification</t>
        </is>
      </c>
      <c r="AA13" t="inlineStr">
        <is>
          <t>Calcite</t>
        </is>
      </c>
      <c r="AB13" t="inlineStr">
        <is>
          <t>Luck, Prosperity, problem resolution, gambling, Healing, creativity, business success, attracting love.</t>
        </is>
      </c>
      <c r="AC13" t="inlineStr">
        <is>
          <t>Howlite</t>
        </is>
      </c>
      <c r="AD13" t="inlineStr">
        <is>
          <t>Stress relief, anxiety, Peace, tension, artistic expression, creativity, eliminating selfishness, purity, spirituality  Patience, Peace &amp; Insomnia.</t>
        </is>
      </c>
      <c r="AE13" t="inlineStr">
        <is>
          <t>Jet</t>
        </is>
      </c>
      <c r="AF13" t="inlineStr">
        <is>
          <t>Purification, psychic protection, virility, control, Luck, Healing, Divination, protection from illness &amp; violence, guarding against nightmares.</t>
        </is>
      </c>
      <c r="AG13" t="inlineStr">
        <is>
          <t>Cedarwood</t>
        </is>
      </c>
      <c r="AH13" t="inlineStr">
        <is>
          <t>Purification, Protection, RID OF BAD DREAMS, Prosperity</t>
        </is>
      </c>
      <c r="AI13" t="inlineStr">
        <is>
          <t>Fir Needle</t>
        </is>
      </c>
      <c r="AJ13" t="inlineStr">
        <is>
          <t>Purification, Cleansing, Protection, Healing</t>
        </is>
      </c>
      <c r="AK13" t="inlineStr">
        <is>
          <t>Melissa</t>
        </is>
      </c>
      <c r="AL13" t="inlineStr">
        <is>
          <t>Love, Healing, Prosperity</t>
        </is>
      </c>
      <c r="BA13" t="inlineStr">
        <is>
          <t>Aquamarine, Calcite, Howlite, Jet, quartz rutilated, quartz smokey, quartz snow</t>
        </is>
      </c>
      <c r="BB13" t="inlineStr">
        <is>
          <t>Cedarwood, Fir Needle, Melissa</t>
        </is>
      </c>
      <c r="BC13" t="inlineStr">
        <is>
          <t>ARTEMIS</t>
        </is>
      </c>
    </row>
    <row r="14">
      <c r="A14" t="inlineStr">
        <is>
          <t>ASTARTE</t>
        </is>
      </c>
      <c r="B14" t="inlineStr">
        <is>
          <t>Deity</t>
        </is>
      </c>
      <c r="C14" t="inlineStr">
        <is>
          <t>Feminine</t>
        </is>
      </c>
      <c r="D14" t="inlineStr">
        <is>
          <t>Earth/Water</t>
        </is>
      </c>
      <c r="E14" t="inlineStr">
        <is>
          <t>Venus/Moon</t>
        </is>
      </c>
      <c r="F14" t="inlineStr">
        <is>
          <t>Friday</t>
        </is>
      </c>
      <c r="G14" t="inlineStr">
        <is>
          <t>Spring</t>
        </is>
      </c>
      <c r="H14" t="inlineStr">
        <is>
          <t>New beginnings, Fruitfulness, Confidence, Love rituals, Love, Aphrodisiac, Dispelling sickness, Increasing wealth, Strength, Harmony, Prosperity, Attraction, Fertility, Healing,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t>
        </is>
      </c>
      <c r="I14" t="inlineStr">
        <is>
          <t>Rose, Frankincense, Myrrh</t>
        </is>
      </c>
      <c r="J14" t="inlineStr">
        <is>
          <t>Celtic goddess of hearth, poetry, and healing.</t>
        </is>
      </c>
      <c r="K14" t="inlineStr">
        <is>
          <t>The great goddess of the ancient Semitic world — queen of heaven, goddess of war, love, and fertility. She was worshipped across Canaan, Phoenicia, Egypt, and Mesopotamia, identified with Venus the evening star. She wore a crown of horns and drove a chariot pulled by lions. Her cult involved sacred sexual rites, war dances, and offerings of incense. The Egyptians credited her with power over the sea itself, and she was invoked to protect ships and sailors from storms.</t>
        </is>
      </c>
      <c r="L14" t="inlineStr">
        <is>
          <t>The swelling buds of the pomegranate tree, bursting with vibrant red blossoms that promise fertility and the unbroken cycle of returning life.</t>
        </is>
      </c>
      <c r="M14" t="inlineStr">
        <is>
          <t>FRANKINCENSE</t>
        </is>
      </c>
      <c r="N14" t="inlineStr">
        <is>
          <t>Offerings to Sun Gods, Fumigation, Removing negativity, Exorcism, Incense blends, Smudging, Raising energy, Ritual offerings</t>
        </is>
      </c>
      <c r="AG14" t="inlineStr">
        <is>
          <t>Pine</t>
        </is>
      </c>
      <c r="AH14" t="inlineStr">
        <is>
          <t>PROSPERITY SPELLS, Prosperity</t>
        </is>
      </c>
      <c r="BB14" t="inlineStr">
        <is>
          <t>Pine</t>
        </is>
      </c>
      <c r="BC14" t="inlineStr">
        <is>
          <t>ASTARTE</t>
        </is>
      </c>
    </row>
    <row r="15">
      <c r="A15" t="inlineStr">
        <is>
          <t>ATTIS</t>
        </is>
      </c>
      <c r="B15" t="inlineStr">
        <is>
          <t>Deity</t>
        </is>
      </c>
      <c r="C15" t="inlineStr">
        <is>
          <t>Masculine</t>
        </is>
      </c>
      <c r="D15" t="inlineStr">
        <is>
          <t>Earth</t>
        </is>
      </c>
      <c r="E15" t="inlineStr">
        <is>
          <t>Sun</t>
        </is>
      </c>
      <c r="F15" t="inlineStr">
        <is>
          <t>Sunday</t>
        </is>
      </c>
      <c r="G15" t="inlineStr">
        <is>
          <t>Spring</t>
        </is>
      </c>
      <c r="H15" t="inlineStr">
        <is>
          <t>New beginnings, Fruitfulness, Love rituals, Love, Aphrodisiac, Increasing wealth, Harmony, Prosperity, Attraction, Fertility,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Attracting a mate, Attracting a soulmate, Conjuring a lover, HELP ATTRACT OPPOSITE SEX, Finding future love</t>
        </is>
      </c>
      <c r="I15" t="inlineStr">
        <is>
          <t>Pine Nut</t>
        </is>
      </c>
      <c r="J15" t="inlineStr">
        <is>
          <t>Roman god of wine, fertility, and ecstasy.</t>
        </is>
      </c>
      <c r="K15" t="inlineStr">
        <is>
          <t>Phrygian god of vegetation who embodied the great cycle of death and resurrection. Son of Nana, who conceived him miraculously from a pomegranate, he was loved by Cybele but in a frenzy of divine madness self-castrated beneath a pine tree and died — only to be reborn, like the crops of spring. His priests, the Galli, performed ritual self-castration to embody his sacrifice. His resurrection was celebrated each spring in Rome as part of the Megalesia, with orgiastic rites, music, and ecstatic dancing.</t>
        </is>
      </c>
      <c r="L15" t="inlineStr">
        <is>
          <t>The bleeding, golden sap of the pine tree, representing the sacrifice of the seed that must die in the freezing winter soil to be reborn as spring's verdant growth.</t>
        </is>
      </c>
      <c r="M15" t="inlineStr">
        <is>
          <t>PINE NUT</t>
        </is>
      </c>
      <c r="N15" t="inlineStr">
        <is>
          <t>Strength, Life, Imm, tality, Rejuvenation, Prosperity, Purifying ritual areas, Purifying new homes, Staying the course, Warding off evil influences, Increasing fertility, Vig, ous old age, Cleansing negativity, Warding off illness, Protection, Purification, Divination, Keeping sickness away, Aiding the ill, Ensuring joy in the home, Banishing negative energies, Exorcism, cising evil entities, Attracting money, Breaking hexes, Returning hexes, Purifying the home, Fertility charms, Cleansing baths, Sanctifying outdo, ritual areas, Protection mixtures, Money mixtures, Healing mixtures</t>
        </is>
      </c>
      <c r="AG15" t="inlineStr">
        <is>
          <t>Pine</t>
        </is>
      </c>
      <c r="AH15" t="inlineStr">
        <is>
          <t>PROSPERITY SPELLS, Prosperity</t>
        </is>
      </c>
      <c r="BB15" t="inlineStr">
        <is>
          <t>Pine</t>
        </is>
      </c>
      <c r="BC15" t="inlineStr">
        <is>
          <t>ATTIS</t>
        </is>
      </c>
    </row>
    <row r="16">
      <c r="A16" t="inlineStr">
        <is>
          <t>BAAL</t>
        </is>
      </c>
      <c r="B16" t="inlineStr">
        <is>
          <t>Deity</t>
        </is>
      </c>
      <c r="C16" t="inlineStr">
        <is>
          <t>Masculine</t>
        </is>
      </c>
      <c r="D16" t="inlineStr">
        <is>
          <t>Fire/Water</t>
        </is>
      </c>
      <c r="E16" t="inlineStr">
        <is>
          <t>Jupiter</t>
        </is>
      </c>
      <c r="F16" t="inlineStr">
        <is>
          <t>Thursday</t>
        </is>
      </c>
      <c r="G16" t="inlineStr">
        <is>
          <t>Spring/Summer</t>
        </is>
      </c>
      <c r="H16" t="inlineStr">
        <is>
          <t>New beginnings, Fruitfulness, Sun God offerings, Luck, Happiness,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16" t="inlineStr">
        <is>
          <t>Cedar</t>
        </is>
      </c>
      <c r="J16" t="inlineStr">
        <is>
          <t>Norse god of light and purity.</t>
        </is>
      </c>
      <c r="K16" t="inlineStr">
        <is>
          <t>The great storm god of Canaan and Ugarit, lord of rain, thunder, and the fertile earth. His most famous magical feat was the construction of his palace in the clouds, won through battle with Yam (Sea). He also defeated Mot (Death) himself — though he had to be swallowed and spend time in the underworld first, marking the dry season. When Baal rises, the rains return and crops grow. His voice was the thunder; his lightning bolt was his spear. Farmers prayed to him for life-giving storms.</t>
        </is>
      </c>
      <c r="L16" t="inlineStr">
        <is>
          <t>The rolling, dark thunderclouds that bring heavy, life-giving rain to parched agricultural fields, ensuring the barley and wheat grow tall before the harvest.</t>
        </is>
      </c>
      <c r="AG16" t="inlineStr">
        <is>
          <t>Frankincense</t>
        </is>
      </c>
      <c r="AH16" t="inlineStr">
        <is>
          <t>Luck, Protection, SPIRITUALITY, PROTECT AGAINST NEGATIVITY, EXC, Exorcism</t>
        </is>
      </c>
      <c r="BB16" t="inlineStr">
        <is>
          <t>Frankincense</t>
        </is>
      </c>
      <c r="BC16" t="inlineStr">
        <is>
          <t>BAAL</t>
        </is>
      </c>
    </row>
    <row r="17">
      <c r="A17" t="inlineStr">
        <is>
          <t>BACCHUS</t>
        </is>
      </c>
      <c r="B17" t="inlineStr">
        <is>
          <t>Deity/Group</t>
        </is>
      </c>
      <c r="C17" t="inlineStr">
        <is>
          <t>Masculine</t>
        </is>
      </c>
      <c r="D17" t="inlineStr">
        <is>
          <t>Water/Earth</t>
        </is>
      </c>
      <c r="E17" t="inlineStr">
        <is>
          <t>Jupiter</t>
        </is>
      </c>
      <c r="F17" t="inlineStr">
        <is>
          <t>Thursday</t>
        </is>
      </c>
      <c r="G17" t="inlineStr">
        <is>
          <t>Autumn</t>
        </is>
      </c>
      <c r="H17" t="inlineStr">
        <is>
          <t>New beginnings, Sun God offerings, Luck, Harmony, Happiness,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17" t="inlineStr">
        <is>
          <t>Ivy, Grapevine</t>
        </is>
      </c>
      <c r="J17" t="inlineStr">
        <is>
          <t>Divine duo: Norse god of light and Egyptian goddess of music.</t>
        </is>
      </c>
      <c r="K17" t="inlineStr">
        <is>
          <t>Roman god of wine, ecstasy, and liberating madness, whose magic unmade the boundaries of self. His thiasos — the wild procession of Maenads, Satyrs, and Bacchants — swept through the world transforming everything in its path. He could drive mortals to divine ecstasy or murderous frenzy. He turned the pirates who kidnapped him into dolphins, vines erupted from the ship's oars, and lions and panthers appeared on deck. His wine was a gateway between the mortal and the divine.</t>
        </is>
      </c>
      <c r="L17" t="inlineStr">
        <is>
          <t>The wild, twisting vines of the grape, their roots digging aggressively deep into limestone soil to produce the intoxicating, sweet nectar of the earth's joy.</t>
        </is>
      </c>
      <c r="BC17" t="inlineStr">
        <is>
          <t>BACCHUS</t>
        </is>
      </c>
    </row>
    <row r="18">
      <c r="A18" t="inlineStr">
        <is>
          <t>BALDOR</t>
        </is>
      </c>
      <c r="B18" t="inlineStr">
        <is>
          <t>Spiritual Figure</t>
        </is>
      </c>
      <c r="C18" t="inlineStr">
        <is>
          <t>Masculine</t>
        </is>
      </c>
      <c r="D18" t="inlineStr">
        <is>
          <t>Fire/Air</t>
        </is>
      </c>
      <c r="E18" t="inlineStr">
        <is>
          <t>Sun</t>
        </is>
      </c>
      <c r="F18" t="inlineStr">
        <is>
          <t>Sunday</t>
        </is>
      </c>
      <c r="G18" t="inlineStr">
        <is>
          <t>Summer</t>
        </is>
      </c>
      <c r="H18" t="inlineStr">
        <is>
          <t>Sun God offerings, Luck, Protection, Protection (hexes/evil), Banishing, Warding, Happiness,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Joy, Joyous celebrations, Contentment</t>
        </is>
      </c>
      <c r="I18" t="inlineStr">
        <is>
          <t>Mayweed (Baldr's Brow)</t>
        </is>
      </c>
      <c r="J18" t="inlineStr">
        <is>
          <t>Italian folklore figure associated with the Epiphany.</t>
        </is>
      </c>
      <c r="K18" t="inlineStr">
        <is>
          <t>A lesser-known figure, likely a variant of Baldur, the Norse god of light and purity. His name may derive from a tradition of solar or clearing light magic. His magic was one of protection and illumination — the power that keeps the darkness at bay through the long northern winters.</t>
        </is>
      </c>
      <c r="L18" t="inlineStr">
        <is>
          <t>The delicate, white chamomile and mistletoe growing in the sunlit clearings, embodying pure, unblemished light untainted by the winter's shadow.</t>
        </is>
      </c>
      <c r="BC18" t="inlineStr">
        <is>
          <t>BALDOR</t>
        </is>
      </c>
    </row>
    <row r="19">
      <c r="A19" t="inlineStr">
        <is>
          <t>BALDUR &amp; HATHOR</t>
        </is>
      </c>
      <c r="B19" t="inlineStr">
        <is>
          <t>Deity</t>
        </is>
      </c>
      <c r="C19" t="inlineStr">
        <is>
          <t>Both</t>
        </is>
      </c>
      <c r="D19" t="inlineStr">
        <is>
          <t>Fire/Earth</t>
        </is>
      </c>
      <c r="E19" t="inlineStr">
        <is>
          <t>Sun/Venus</t>
        </is>
      </c>
      <c r="F19" t="inlineStr">
        <is>
          <t>Sunday</t>
        </is>
      </c>
      <c r="G19" t="inlineStr">
        <is>
          <t>Spring/Summer</t>
        </is>
      </c>
      <c r="H19" t="inlineStr">
        <is>
          <t>New beginnings, Fruitfulness, Confidence, Sun God offerings, Luck, Happiness, Love rituals, Love, Aphrodisiac, Increasing wealth, Strength, Harmony, Prosperity, Attraction, Fertility,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Aphrodisiac tea, Sensuality, Lust, Lust/Sex, Passionate love-making, LOVING &amp; LUSTFUL ENERGIES, SEX MAGIC, RAISE SEXUAL ENERGY, Sexual energy, Physical Strength, Fortitude, Vitality, Inner power, and strength, Attracting a mate, Attracting a soulmate, Conjuring a lover, HELP ATTRACT OPPOSITE SEX, Finding future love</t>
        </is>
      </c>
      <c r="I19" t="inlineStr">
        <is>
          <t>Mayweed, Rose</t>
        </is>
      </c>
      <c r="J19" t="inlineStr">
        <is>
          <t>Roman goddess of fertility and women's health.</t>
        </is>
      </c>
      <c r="K19" t="inlineStr">
        <is>
          <t>A rare pairing of Norse and Egyptian divine energies. Baldur — Norse god of light and purity — was made invulnerable by his mother Frigg, who extracted oaths from every thing in creation not to harm him. Only mistletoe was overlooked; Loki used it to orchestrate his death, the first sign of Ragnarök. Hathor — Egyptian goddess of love, music, and cosmic power — was the divine mirror and the seven-fold prophetess who attended every birth. Together they represent the magic of radiant, nurturing light: Baldur's solar purity illuminating the world from above, and Hathor's warm, sustaining love rising from the earth and the river to meet it.</t>
        </is>
      </c>
      <c r="L19" t="inlineStr">
        <is>
          <t>The perfect synergy of the bright sun warming the northern pines while the nurturing magic of the southern, reed-lined riverbanks brings life to the desert dust.</t>
        </is>
      </c>
      <c r="BC19" t="inlineStr">
        <is>
          <t>BALDUR &amp; HATHOR</t>
        </is>
      </c>
    </row>
    <row r="20">
      <c r="A20" t="inlineStr">
        <is>
          <t>BEFANA</t>
        </is>
      </c>
      <c r="B20" t="inlineStr">
        <is>
          <t>Spiritual Figure</t>
        </is>
      </c>
      <c r="C20" t="inlineStr">
        <is>
          <t>Feminine</t>
        </is>
      </c>
      <c r="D20" t="inlineStr">
        <is>
          <t>Earth/Air</t>
        </is>
      </c>
      <c r="E20" t="inlineStr">
        <is>
          <t>Saturn</t>
        </is>
      </c>
      <c r="F20" t="inlineStr">
        <is>
          <t>Saturday</t>
        </is>
      </c>
      <c r="G20" t="inlineStr">
        <is>
          <t>Winter</t>
        </is>
      </c>
      <c r="H20" t="inlineStr">
        <is>
          <t>Divination, New beginnings, Prophetic dreams, Sun God offerings, Luck, Spirit offerings, Mabon/Samhain, Samhain/ancestral altars, Star magick, Contacting planes, Harmony, Happiness, Clairvoyance,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Joy, Joyous celebrations, Contentment, Enhancing clairvoyance, Psychic development, Psychic powers, INCREASE PSYCHIC ABILITIES, Psychic awareness, Stimulating psychic senses, Disabling psychic phenomena, Psychic communication, communication and psychic abilities</t>
        </is>
      </c>
      <c r="I20" t="inlineStr">
        <is>
          <t>Citrus, Dried Fruits, Nuts</t>
        </is>
      </c>
      <c r="J20" t="inlineStr">
        <is>
          <t>Spiritual teacher, symbol of enlightenment.</t>
        </is>
      </c>
      <c r="K20" t="inlineStr">
        <is>
          <t>The Italian folkloric witch-goddess who flies on her broomstick on the night of January 5th to fill children's stockings with gifts or coal. She was invited by the Three Magi to join them on the journey to visit the Christ child, but was too busy sweeping — her eternal regret drives her to visit every child in the world seeking the holy infant. She has knowledge of herbs and the domestic arts, and her sweeping is said to clear the old year's troubles away to make room for the new.</t>
        </is>
      </c>
      <c r="L20" t="inlineStr">
        <is>
          <t>The scent of dried soot and winter herbs, as bundles of twigs and sweet oranges are carried across the dormant, frost-bitten countryside in the dead of winter.</t>
        </is>
      </c>
      <c r="BC20" t="inlineStr">
        <is>
          <t>BEFANA</t>
        </is>
      </c>
    </row>
    <row r="21">
      <c r="A21" t="inlineStr">
        <is>
          <t>BONA DEA</t>
        </is>
      </c>
      <c r="B21" t="inlineStr">
        <is>
          <t>Deity</t>
        </is>
      </c>
      <c r="C21" t="inlineStr">
        <is>
          <t>Feminine</t>
        </is>
      </c>
      <c r="D21" t="inlineStr">
        <is>
          <t>Earth</t>
        </is>
      </c>
      <c r="E21" t="inlineStr">
        <is>
          <t>Venus/Earth</t>
        </is>
      </c>
      <c r="F21" t="inlineStr">
        <is>
          <t>Friday</t>
        </is>
      </c>
      <c r="G21" t="inlineStr">
        <is>
          <t>Spring</t>
        </is>
      </c>
      <c r="H21" t="inlineStr">
        <is>
          <t>New beginnings, Fruitfulness, Love rituals, Love, Aphrodisiac, Dispelling sickness, Increasing wealth, Harmony, Prosperity, Attraction, Fertility, Healing,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t>
        </is>
      </c>
      <c r="I21" t="inlineStr">
        <is>
          <t>Myrtle</t>
        </is>
      </c>
      <c r="J21" t="inlineStr">
        <is>
          <t>Roman god of erotic love and desire.</t>
        </is>
      </c>
      <c r="K21" t="inlineStr">
        <is>
          <t>Roman goddess of fertility, healing, and women's mysteries, whose rites were so sacred that no man was permitted to be present — even the image of a man was covered during her ceremonies. Her secret December rites were presided over by the Vestal Virgins and the wife of the senior magistrate. She possessed a vast knowledge of herbs and healing plants, her temple held a pharmacy of sacred medicines, and snakes lived among her offerings. The politician Clodius was prosecuted for disguising himself as a woman to spy on her rites.</t>
        </is>
      </c>
      <c r="L21" t="inlineStr">
        <is>
          <t>The secret, walled garden of medicinal herbs—sweet basil, thyme, and pennyroyal—tended in silence to heal ailments of the body and the earth.</t>
        </is>
      </c>
      <c r="BC21" t="inlineStr">
        <is>
          <t>BONA DEA</t>
        </is>
      </c>
    </row>
    <row r="22">
      <c r="A22" t="inlineStr">
        <is>
          <t>BRIGID</t>
        </is>
      </c>
      <c r="B22" t="inlineStr">
        <is>
          <t>Deity</t>
        </is>
      </c>
      <c r="C22" t="inlineStr">
        <is>
          <t>Feminine</t>
        </is>
      </c>
      <c r="D22" t="inlineStr">
        <is>
          <t>Fire/Water</t>
        </is>
      </c>
      <c r="E22" t="inlineStr">
        <is>
          <t>Sun</t>
        </is>
      </c>
      <c r="F22" t="inlineStr">
        <is>
          <t>Wednesday</t>
        </is>
      </c>
      <c r="G22" t="inlineStr">
        <is>
          <t>Spring/Imbolc</t>
        </is>
      </c>
      <c r="H22" t="inlineStr">
        <is>
          <t>Dispelling sickness, New beginnings, Harmony, Healing,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t>
        </is>
      </c>
      <c r="I22" t="inlineStr">
        <is>
          <t>Blackberry, Dill, Pine Nut</t>
        </is>
      </c>
      <c r="J22" t="inlineStr">
        <is>
          <t>Anatolian mother goddess of nature and mountains.</t>
        </is>
      </c>
      <c r="K22" t="inlineStr">
        <is>
          <t>Celtic goddess of the sacred flame, healing wells, poetry, and smith-craft whose fire burns eternally at Kildare. She embodied the triple arts of healing (herb lore and the healing well), poetry (the art of prophecy and bardcraft), and smithing (the magical transformation of metal). Her sacred flame at Kildare was tended by 19 priestesses and was never allowed to extinguish — it burned for over a thousand years until Henry VIII suppressed the monasteries. She could be in three places simultaneously as her triple aspect.</t>
        </is>
      </c>
      <c r="L22" t="inlineStr">
        <is>
          <t>The very first green shoots of snowdrops pushing through the freezing February snow, protected by the sacred flame and the quiet murmur of holy healing wells.</t>
        </is>
      </c>
      <c r="M22" t="inlineStr">
        <is>
          <t>DILL</t>
        </is>
      </c>
      <c r="N22" t="inlineStr">
        <is>
          <t>Love, Protection, Psychic protection, Blessings, Confidence, Determination, Negating dreams, Fertility, Prosperity, Harmony, Keeping secrets, Peace, Preventing theft, Retention, Rest, Sleep, Tranquillity</t>
        </is>
      </c>
      <c r="O22" t="inlineStr">
        <is>
          <t>PINE NUT</t>
        </is>
      </c>
      <c r="P22" t="inlineStr">
        <is>
          <t>Strength, Life, Imm, tality, Rejuvenation, Prosperity, Purifying ritual areas, Purifying new homes, Staying the course, Warding off evil influences, Increasing fertility, Vig, ous old age, Cleansing negativity, Warding off illness, Protection, Purification, Divination, Keeping sickness away, Aiding the ill, Ensuring joy in the home, Banishing negative energies, Exorcism, cising evil entities, Attracting money, Breaking hexes, Returning hexes, Purifying the home, Fertility charms, Cleansing baths, Sanctifying outdo, ritual areas, Protection mixtures, Money mixtures, Healing mixtures</t>
        </is>
      </c>
      <c r="Q22" t="inlineStr">
        <is>
          <t>BLACK TEA</t>
        </is>
      </c>
      <c r="R22" t="inlineStr">
        <is>
          <t>Prosperity, Strength, Fortitude, Good health, Divination, Emotional healing, Calming, Soothing, Reviving, Invigorating</t>
        </is>
      </c>
      <c r="S22" t="inlineStr">
        <is>
          <t>BLACKBERRY LEAVES</t>
        </is>
      </c>
      <c r="T22" t="inlineStr">
        <is>
          <t>Protection, Protective wreaths, Mojo bags, Household protection, Prosperity, Female fertility, Aphrodisiac tea, Abundant harvest, Magical cooking</t>
        </is>
      </c>
      <c r="AG22" t="inlineStr">
        <is>
          <t>Pine</t>
        </is>
      </c>
      <c r="AH22" t="inlineStr">
        <is>
          <t>PROSPERITY SPELLS, Prosperity</t>
        </is>
      </c>
      <c r="BB22" t="inlineStr">
        <is>
          <t>Pine</t>
        </is>
      </c>
      <c r="BC22" t="inlineStr">
        <is>
          <t>BRIGID</t>
        </is>
      </c>
    </row>
    <row r="23">
      <c r="A23" t="inlineStr">
        <is>
          <t>BUDDHA</t>
        </is>
      </c>
      <c r="B23" t="inlineStr">
        <is>
          <t>Deity</t>
        </is>
      </c>
      <c r="C23" t="inlineStr">
        <is>
          <t>Masculine</t>
        </is>
      </c>
      <c r="D23" t="inlineStr">
        <is>
          <t>Air/Earth</t>
        </is>
      </c>
      <c r="E23" t="inlineStr">
        <is>
          <t>Mercury</t>
        </is>
      </c>
      <c r="F23" t="inlineStr">
        <is>
          <t>Wednesday</t>
        </is>
      </c>
      <c r="G23" t="inlineStr">
        <is>
          <t>All Seasons</t>
        </is>
      </c>
      <c r="H23" t="inlineStr">
        <is>
          <t>New beginnings, Confidence, Spirit offerings, Mabon/Samhain, Samhain/ancestral altars, Contacting planes, Strength,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Physical Strength, Fortitude, Vitality, Inner power, and strength</t>
        </is>
      </c>
      <c r="I23" t="inlineStr">
        <is>
          <t>Lotus, Amulets/talismans, alwood</t>
        </is>
      </c>
      <c r="J23" t="inlineStr">
        <is>
          <t>Variant of Cybele (Mother Goddess).</t>
        </is>
      </c>
      <c r="K23" t="inlineStr">
        <is>
          <t>The Awakened One whose magic was the siddhi — extraordinary powers that arose as a side effect of deep meditation. These included the ability to fly, walk on water, divide into multiple bodies, know others' thoughts, see past and future lives, and hear sounds at any distance. However, the Buddha consistently warned that attachment to these powers was a spiritual trap. His greatest magic was the transmission of dharma — the path to liberation from suffering — a feat that countless beings across 2,500 years have found transformative.</t>
        </is>
      </c>
      <c r="L23" t="inlineStr">
        <is>
          <t>The deep, grounding roots of the ancient Bodhi tree, offering a sprawling canopy of shade where the mind can settle and become as still as a forest pond.</t>
        </is>
      </c>
      <c r="BC23" t="inlineStr">
        <is>
          <t>BUDDHA</t>
        </is>
      </c>
    </row>
    <row r="24">
      <c r="A24" t="inlineStr">
        <is>
          <t>CEBELE</t>
        </is>
      </c>
      <c r="B24" t="inlineStr">
        <is>
          <t>Deity</t>
        </is>
      </c>
      <c r="C24" t="inlineStr">
        <is>
          <t>Feminine</t>
        </is>
      </c>
      <c r="D24" t="inlineStr">
        <is>
          <t>Earth</t>
        </is>
      </c>
      <c r="E24" t="inlineStr">
        <is>
          <t>Saturn</t>
        </is>
      </c>
      <c r="F24" t="inlineStr">
        <is>
          <t>Saturday</t>
        </is>
      </c>
      <c r="G24" t="inlineStr">
        <is>
          <t>Spring/Summer</t>
        </is>
      </c>
      <c r="H24" t="inlineStr">
        <is>
          <t>New beginnings, Love rituals, Love, Aphrodisiac,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Attracting a mate, Attracting a soulmate, Conjuring a lover, HELP ATTRACT OPPOSITE SEX, Finding future love</t>
        </is>
      </c>
      <c r="I24" t="inlineStr">
        <is>
          <t>Lemon Balm, Oak</t>
        </is>
      </c>
      <c r="J24" t="inlineStr">
        <is>
          <t>Roman goddess of agriculture and motherly love.</t>
        </is>
      </c>
      <c r="K24" t="inlineStr">
        <is>
          <t>An ancient variant of Cybele, the Phrygian Great Mother. Her magic was the raw, ecstatic power of the mountain wilderness — the untamed force of the deep earth that civilisation cannot contain. Her priests entered states of divine frenzy through drumming, wild dancing, and self-wounding, becoming vessels for her power. Lions were sacred to her as manifestations of her untameable nature. Her rites were considered so dangerously powerful that Rome initially tried to suppress them before eventually adopting her as a state goddess.</t>
        </is>
      </c>
      <c r="L24" t="inlineStr">
        <is>
          <t>The raw, untamed caves and high mountain peaks where wild lions roam and the loose rocks vibrate with the heavy, pulsing drumbeat of the deep earth.</t>
        </is>
      </c>
      <c r="M24" t="inlineStr">
        <is>
          <t>LEMON BALM</t>
        </is>
      </c>
      <c r="N24" t="inlineStr">
        <is>
          <t>Not specified</t>
        </is>
      </c>
      <c r="BC24" t="inlineStr">
        <is>
          <t>CEBELE</t>
        </is>
      </c>
    </row>
    <row r="25">
      <c r="A25" t="inlineStr">
        <is>
          <t>CERES</t>
        </is>
      </c>
      <c r="B25" t="inlineStr">
        <is>
          <t>Deity</t>
        </is>
      </c>
      <c r="C25" t="inlineStr">
        <is>
          <t>Feminine</t>
        </is>
      </c>
      <c r="D25" t="inlineStr">
        <is>
          <t>Earth</t>
        </is>
      </c>
      <c r="E25" t="inlineStr">
        <is>
          <t>Mercury/Moon</t>
        </is>
      </c>
      <c r="F25" t="inlineStr">
        <is>
          <t>Wednesday</t>
        </is>
      </c>
      <c r="G25" t="inlineStr">
        <is>
          <t>Summer/Autumn</t>
        </is>
      </c>
      <c r="H25"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25" t="inlineStr">
        <is>
          <t>Bay Laurel, Lemon Balm</t>
        </is>
      </c>
      <c r="J25" t="inlineStr">
        <is>
          <t>Welsh goddess of transformation and magic.</t>
        </is>
      </c>
      <c r="K25" t="inlineStr">
        <is>
          <t>Roman goddess of grain, harvest, and the sacred law of agriculture. Her most famous magical act was withdrawing her gifts from the earth when her daughter Proserpina was taken to the Underworld — creating the first winter. The earth became barren until Jupiter negotiated Proserpina's partial return. Her Eleusinian Mysteries (adapted from the Greek Demeter) were among the most powerful initiatory rites of the ancient world, promising initiates secret knowledge about life after death, experienced through ritual fasting, sacred drama, and a luminous vision.</t>
        </is>
      </c>
      <c r="L25" t="inlineStr">
        <is>
          <t>The golden fields of ripe wheat rippling in the late summer wind, representing the heavy, bountiful magic of the harvest gathered before the coming frost.</t>
        </is>
      </c>
      <c r="M25" t="inlineStr">
        <is>
          <t>BAY LAUREL</t>
        </is>
      </c>
      <c r="N25" t="inlineStr">
        <is>
          <t>Clairvoyance, Consecration, Divination, Dreams, Exorcism, Healing, Love, Passion, Protection, Psychic protection, Purification, Wisdom, Wishes, Winter rituals, Yule magic</t>
        </is>
      </c>
      <c r="O25" t="inlineStr">
        <is>
          <t>LEMON BALM</t>
        </is>
      </c>
      <c r="P25" t="inlineStr">
        <is>
          <t>Not specified</t>
        </is>
      </c>
      <c r="Q25" t="inlineStr">
        <is>
          <t>LEMON VERBENA</t>
        </is>
      </c>
      <c r="R25" t="inlineStr">
        <is>
          <t>Breaking bad habits, Purifying body and mind, Cleansing space, Removing negative energy, Inner child connection, Creativity, Earth festivals, Love philtres, Sacred union rites, Astral travel, Prophetic dreams</t>
        </is>
      </c>
      <c r="S25" t="inlineStr">
        <is>
          <t>VIOLET</t>
        </is>
      </c>
      <c r="T25" t="inlineStr">
        <is>
          <t>Love (with lavender), Good luck, Prophetic dreams, Divination, Prosperity, Protection, Faithfulness, Love, Wishes, Peace, Healing, Abs, bing evil spells, bing ill will</t>
        </is>
      </c>
      <c r="U25" t="inlineStr">
        <is>
          <t>WHEAT GRAINS</t>
        </is>
      </c>
      <c r="V25" t="inlineStr">
        <is>
          <t>Moon magic, love, healing, protection, and grief work. Carry willow bark to ease the pain of grief and unrequited love. Use in moon rituals and Esbat workings. The bark is used in wand-making for lunar and healing wands. Add to healing sachets and protective bags. Use in spells for acceptance and letting go.</t>
        </is>
      </c>
      <c r="Y25" t="inlineStr">
        <is>
          <t>Labradorite</t>
        </is>
      </c>
      <c r="Z25" t="inlineStr">
        <is>
          <t>Earth magick, faith, patience, imagination, introspection, Strength, sleep, Protection, stress relief, Peace, Divination, strengthening convictions, Confidence, facilitating transf, mation</t>
        </is>
      </c>
      <c r="AA25" t="inlineStr">
        <is>
          <t>Petrified Wood</t>
        </is>
      </c>
      <c r="AB25" t="inlineStr">
        <is>
          <t>Protection, longevity, past-life recall.</t>
        </is>
      </c>
      <c r="AC25" t="inlineStr">
        <is>
          <t>Tanzanite</t>
        </is>
      </c>
      <c r="AD25" t="inlineStr">
        <is>
          <t>Meditation, Clairvoyance, spirituality, Protection, wisdom, communication with spirit &amp; animal guides.</t>
        </is>
      </c>
      <c r="BA25" t="inlineStr">
        <is>
          <t>Labradorite, Petrified Wood, Tanzanite</t>
        </is>
      </c>
      <c r="BC25" t="inlineStr">
        <is>
          <t>CERES</t>
        </is>
      </c>
    </row>
    <row r="26">
      <c r="A26" t="inlineStr">
        <is>
          <t>CERRIDWEN</t>
        </is>
      </c>
      <c r="B26" t="inlineStr">
        <is>
          <t>Deity</t>
        </is>
      </c>
      <c r="C26" t="inlineStr">
        <is>
          <t>Feminine</t>
        </is>
      </c>
      <c r="D26" t="inlineStr">
        <is>
          <t>Water/Earth</t>
        </is>
      </c>
      <c r="E26" t="inlineStr">
        <is>
          <t>Moon</t>
        </is>
      </c>
      <c r="F26" t="inlineStr">
        <is>
          <t>Monday</t>
        </is>
      </c>
      <c r="G26" t="inlineStr">
        <is>
          <t>Autumn/Winter</t>
        </is>
      </c>
      <c r="H26"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26" t="inlineStr">
        <is>
          <t>Bay Laurel, Nutmeg, Violet</t>
        </is>
      </c>
      <c r="J26" t="inlineStr">
        <is>
          <t>Greek titan of time and the harvest.</t>
        </is>
      </c>
      <c r="K26" t="inlineStr">
        <is>
          <t>Welsh goddess of the cauldron of transformation and the granter of poetic inspiration (Awen). She brewed a year-and-a-day potion in her great cauldron intended to grant her ugly son Morfran all the knowledge in the world. The servant boy Gwion Bach accidentally received the three drops and gained infinite wisdom. She pursued him as they both shapeshifted through hare, fish, otter, bird, and hawk — until she swallowed him as a grain of wheat and gave birth to him as Taliesin, the greatest bard of Wales.</t>
        </is>
      </c>
      <c r="L26" t="inlineStr">
        <is>
          <t>The bubbling cauldron of transformation simmering with dark forest roots, acorns, and the magic of the turning seasons from autumn decay to winter rest.</t>
        </is>
      </c>
      <c r="M26" t="inlineStr">
        <is>
          <t>BAY LAUREL</t>
        </is>
      </c>
      <c r="N26" t="inlineStr">
        <is>
          <t>Clairvoyance, Consecration, Divination, Dreams, Exorcism, Healing, Love, Passion, Protection, Psychic protection, Purification, Wisdom, Wishes, Winter rituals, Yule magic</t>
        </is>
      </c>
      <c r="O26" t="inlineStr">
        <is>
          <t>VIOLET</t>
        </is>
      </c>
      <c r="P26" t="inlineStr">
        <is>
          <t>Love (with lavender), Good luck, Prophetic dreams, Divination, Prosperity, Protection, Faithfulness, Love, Wishes, Peace, Healing, Abs, bing evil spells, bing ill will</t>
        </is>
      </c>
      <c r="Q26" t="inlineStr">
        <is>
          <t>CHAMOMILE</t>
        </is>
      </c>
      <c r="R26" t="inlineStr">
        <is>
          <t>Fortune, Justice, Love, Meditation, Money, Prosperity, Purification, Removing curses, Removing hexes, Serenity, Calm, Sleep</t>
        </is>
      </c>
      <c r="S26" t="inlineStr">
        <is>
          <t>VERVAIN</t>
        </is>
      </c>
      <c r="T26" t="inlineStr">
        <is>
          <t>Protection, Defending against spells, Warding off witches, Exorcising evil entities, Ju-ju / gris-gris protection, Protection for infants, Protection from negativity</t>
        </is>
      </c>
      <c r="BC26" t="inlineStr">
        <is>
          <t>CERRIDWEN</t>
        </is>
      </c>
    </row>
    <row r="27">
      <c r="A27" t="inlineStr">
        <is>
          <t>CRONOS</t>
        </is>
      </c>
      <c r="B27" t="inlineStr">
        <is>
          <t>Deity</t>
        </is>
      </c>
      <c r="C27" t="inlineStr">
        <is>
          <t>Masculine</t>
        </is>
      </c>
      <c r="D27" t="inlineStr">
        <is>
          <t>Earth</t>
        </is>
      </c>
      <c r="E27" t="inlineStr">
        <is>
          <t>Saturn</t>
        </is>
      </c>
      <c r="F27" t="inlineStr">
        <is>
          <t>Saturday</t>
        </is>
      </c>
      <c r="G27" t="inlineStr">
        <is>
          <t>Winter</t>
        </is>
      </c>
      <c r="H27"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27" t="inlineStr">
        <is>
          <t>Barley, Myrrh</t>
        </is>
      </c>
      <c r="J27" t="inlineStr">
        <is>
          <t>Etruscan goddess of fertility and abundance.</t>
        </is>
      </c>
      <c r="K27" t="inlineStr">
        <is>
          <t>Titan god of time and the harvest who swallowed his own children whole to prevent the prophecy that one would overthrow him. He wielded the adamantine sickle that castrated Ouranos, separating Heaven and Earth. His magic was the inexorable turning of time itself — harvest, winter, death — and the paradox that devouring the future only ensures its arrival. When tricked by Zeus into vomiting up the other gods, the cosmic order of Olympus was born from his attempt to prevent it.</t>
        </is>
      </c>
      <c r="L27" t="inlineStr">
        <is>
          <t>The slow, inexorable turning of the agricultural wheel, the sickle cutting down the mature grain so the exhausted soil can finally rest under a blanket of winter snow.</t>
        </is>
      </c>
      <c r="BC27" t="inlineStr">
        <is>
          <t>CRONOS</t>
        </is>
      </c>
    </row>
    <row r="28">
      <c r="A28" t="inlineStr">
        <is>
          <t>CUPID</t>
        </is>
      </c>
      <c r="B28" t="inlineStr">
        <is>
          <t>Deity</t>
        </is>
      </c>
      <c r="C28" t="inlineStr">
        <is>
          <t>Masculine</t>
        </is>
      </c>
      <c r="D28" t="inlineStr">
        <is>
          <t>Air/Fire</t>
        </is>
      </c>
      <c r="E28" t="inlineStr">
        <is>
          <t>Venus</t>
        </is>
      </c>
      <c r="F28" t="inlineStr">
        <is>
          <t>Friday</t>
        </is>
      </c>
      <c r="G28" t="inlineStr">
        <is>
          <t>Spring</t>
        </is>
      </c>
      <c r="H28" t="inlineStr">
        <is>
          <t>New beginnings, Confidence, Sun God offerings, Luck, Love rituals, Love, Aphrodisiac, Strength, Harmony, Happiness,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Physical Strength, Fortitude, Vitality, Inner power, and strength, Joy, Joyous celebrations, Contentment, Attracting a mate, Attracting a soulmate, Conjuring a lover, HELP ATTRACT OPPOSITE SEX, Finding future love</t>
        </is>
      </c>
      <c r="I28" t="inlineStr">
        <is>
          <t>Rose, Apple Blossom</t>
        </is>
      </c>
      <c r="J28" t="inlineStr">
        <is>
          <t>Greek god of wine, ecstasy, and theater.</t>
        </is>
      </c>
      <c r="K28" t="inlineStr">
        <is>
          <t>Roman god of erotic desire whose golden arrows ignited irresistible love, and whose lead arrows caused instant revulsion. He wielded this power over gods and mortals alike, famously striking Apollo with a golden arrow and the nymph Daphne with a lead one, setting the stage for her transformation into a laurel tree. His most beloved myth is the union with Psyche — where love itself had to be concealed to survive, and only after trials, death, and resurrection could it become immortal and conscious.</t>
        </is>
      </c>
      <c r="L28" t="inlineStr">
        <is>
          <t>The sudden blossoming of the heartsease flower (wild pansy), struck by a dart of warm sunlight and blooming vibrantly in the hidden woodland undergrowth.</t>
        </is>
      </c>
      <c r="M28" t="inlineStr">
        <is>
          <t>APPLE BLOSSOM</t>
        </is>
      </c>
      <c r="N28" t="inlineStr">
        <is>
          <t>Love spells, Peace, Contentment, Success, Relaxation, Bath magic</t>
        </is>
      </c>
      <c r="O28" t="inlineStr">
        <is>
          <t>ROSE BUDS PINK</t>
        </is>
      </c>
      <c r="P28" t="inlineStr">
        <is>
          <t>Love, Friendship, Power, Healing, Divination, Romantic love ceremonies</t>
        </is>
      </c>
      <c r="Q28" t="inlineStr">
        <is>
          <t>ROSE BUDS RED</t>
        </is>
      </c>
      <c r="R28" t="inlineStr">
        <is>
          <t>Prophetic dreams, Healing, Health, Calming stress, Calming household upheaval, Love, Luck, Creativity, Balance, Anointing, Divination, Clairvoyance, Protection, Psychic awareness, Conjuring a lover</t>
        </is>
      </c>
      <c r="Y28" t="inlineStr">
        <is>
          <t>Onyx</t>
        </is>
      </c>
      <c r="Z28" t="inlineStr">
        <is>
          <t>Balancing, Protection, faith, grounding spiritual energy to the physical plane, stability, scrying, relaxation.</t>
        </is>
      </c>
      <c r="AA28" t="inlineStr">
        <is>
          <t>Opal pink</t>
        </is>
      </c>
      <c r="AB28" t="inlineStr">
        <is>
          <t>Positive emotions, Happiness, aura cleansing, inner beauty, loyalty, spontaneity, clarity, Healing, Love, eloquence, faithfulness, Confidence, wisdom, beauty.</t>
        </is>
      </c>
      <c r="AG28" t="inlineStr">
        <is>
          <t>Rose</t>
        </is>
      </c>
      <c r="AH28" t="inlineStr">
        <is>
          <t>Peace, Protection, Luck, PROMOTE LOVE &amp; AFFECTION</t>
        </is>
      </c>
      <c r="BA28" t="inlineStr">
        <is>
          <t>Onyx, Opal pink</t>
        </is>
      </c>
      <c r="BB28" t="inlineStr">
        <is>
          <t>Rose</t>
        </is>
      </c>
      <c r="BC28" t="inlineStr">
        <is>
          <t>CUPID</t>
        </is>
      </c>
    </row>
    <row r="29">
      <c r="A29" t="inlineStr">
        <is>
          <t>CUPRA</t>
        </is>
      </c>
      <c r="B29" t="inlineStr">
        <is>
          <t>Deity</t>
        </is>
      </c>
      <c r="C29" t="inlineStr">
        <is>
          <t>Feminine</t>
        </is>
      </c>
      <c r="D29" t="inlineStr">
        <is>
          <t>Earth</t>
        </is>
      </c>
      <c r="E29" t="inlineStr">
        <is>
          <t>Venus</t>
        </is>
      </c>
      <c r="F29" t="inlineStr">
        <is>
          <t>Friday</t>
        </is>
      </c>
      <c r="G29" t="inlineStr">
        <is>
          <t>Spring/Summer</t>
        </is>
      </c>
      <c r="H29" t="inlineStr">
        <is>
          <t>Divination, New beginnings, Fruitfulness, Confidence, Prophetic dreams, Protection, Protection (hexes/evil), Star magick, Banishing, Increasing wealth, Warding, Strength,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Invoking dreams, Dream work, Dreams, Visions, Seeing the unseen, Seeing manifestations, Truth, Honesty, Removing deception, Subconscious work, Digging into the subconscious, Uprooting what is hidden, Treasure seeking, Lost object finding,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I29" t="inlineStr">
        <is>
          <t>Myrtle</t>
        </is>
      </c>
      <c r="J29" t="inlineStr">
        <is>
          <t>Roman goddess of the moon and hunt.</t>
        </is>
      </c>
      <c r="K29" t="inlineStr">
        <is>
          <t>Etruscan mother goddess of supreme fertility and sovereignty, one of the nine divine powers who could hurl thunderbolts. She was the Etruscan equivalent of Juno, wielding power over the sky as well as the earth. Her temples were found in every major Etruscan city, and warriors sought her protection before battle. Her sacred city on the Adriatic — Cupra Marittima — preserved her cult so faithfully that Emperor Hadrian rebuilt her temple there in 127 AD, centuries after Rome's conquest of Etruria.</t>
        </is>
      </c>
      <c r="L29" t="inlineStr">
        <is>
          <t>The deep underground springs that bubble up through limestone to carve lush, green valleys, carrying the ancient memory of the earth mother's subterranean waters.</t>
        </is>
      </c>
      <c r="BC29" t="inlineStr">
        <is>
          <t>CUPRA</t>
        </is>
      </c>
    </row>
    <row r="30">
      <c r="A30" t="inlineStr">
        <is>
          <t>CYBELE</t>
        </is>
      </c>
      <c r="B30" t="inlineStr">
        <is>
          <t>Deity</t>
        </is>
      </c>
      <c r="C30" t="inlineStr">
        <is>
          <t>Feminine</t>
        </is>
      </c>
      <c r="D30" t="inlineStr">
        <is>
          <t>Earth</t>
        </is>
      </c>
      <c r="E30" t="inlineStr">
        <is>
          <t>Saturn</t>
        </is>
      </c>
      <c r="F30" t="inlineStr">
        <is>
          <t>Saturday</t>
        </is>
      </c>
      <c r="G30" t="inlineStr">
        <is>
          <t>Spring</t>
        </is>
      </c>
      <c r="H30" t="inlineStr">
        <is>
          <t>New beginnings, Confidence, Love rituals, Love, Aphrodisiac, Strength,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Physical Strength, Fortitude, Vitality, Inner power, and strength, Attracting a mate, Attracting a soulmate, Conjuring a lover, HELP ATTRACT OPPOSITE SEX, Finding future love</t>
        </is>
      </c>
      <c r="I30" t="inlineStr">
        <is>
          <t>Lemon Balm, Oak</t>
        </is>
      </c>
      <c r="J30" t="inlineStr">
        <is>
          <t>Greek god of desire and passion.</t>
        </is>
      </c>
      <c r="K30" t="inlineStr">
        <is>
          <t>Phrygian Great Mother from whom all other mother goddesses descended. Her ecstatic mysteries involved trance drumming, wild dancing, and castration of her male priests (the Galli), who became her sacred intermediaries. She rode a chariot drawn by lions and commanded the raw, convulsive forces of nature. Brought to Rome in 204 BCE during the Punic Wars, her cult — involving ritual self-wounding and frenzied music — was so powerful it was initially restricted to her Palatine temple, since Romans found it dangerously overwhelming.</t>
        </is>
      </c>
      <c r="L30" t="inlineStr">
        <is>
          <t>The dark, rich loam of the forest floor, buzzing with the life of beetles and the fertile decay that feeds the roots of the oldest, towering pines.</t>
        </is>
      </c>
      <c r="M30" t="inlineStr">
        <is>
          <t>LEMON BALM</t>
        </is>
      </c>
      <c r="N30" t="inlineStr">
        <is>
          <t>Not specified</t>
        </is>
      </c>
      <c r="O30" t="inlineStr">
        <is>
          <t>LEMON VERBENA</t>
        </is>
      </c>
      <c r="P30" t="inlineStr">
        <is>
          <t>Breaking bad habits, Purifying body and mind, Cleansing space, Removing negative energy, Inner child connection, Creativity, Earth festivals, Love philtres, Sacred union rites, Astral travel, Prophetic dreams</t>
        </is>
      </c>
      <c r="Q30" t="inlineStr">
        <is>
          <t>OAKBARK RED</t>
        </is>
      </c>
      <c r="R30" t="inlineStr">
        <is>
          <t>Truth, Steadfast knowledge, Protection, Vitality, Long life, Healing, Grounding, Focus, Observation, Intuition, Bravery, Presence, Leadership skills, Prosperity, Strength, Psychic development, Rest, Sleep</t>
        </is>
      </c>
      <c r="S30" t="inlineStr">
        <is>
          <t>OAKLEAF</t>
        </is>
      </c>
      <c r="T30" t="inlineStr">
        <is>
          <t>Purification, Cleansing body and spirit, Aiding recovery, Protection from evil, Keeping illness away</t>
        </is>
      </c>
      <c r="U30" t="inlineStr">
        <is>
          <t>ST JOHN'S WORT</t>
        </is>
      </c>
      <c r="V30" t="inlineStr">
        <is>
          <t>Protection, divination, happiness, love, health, and strength. Hang above the door on Midsummer to protect the household through the dark half of the year. Burn to banish spirits and negative energies. Carry to detect magical attacks and protect against them. One of the most powerful protective herbs in the European tradition.</t>
        </is>
      </c>
      <c r="AG30" t="inlineStr">
        <is>
          <t>Pine</t>
        </is>
      </c>
      <c r="AH30" t="inlineStr">
        <is>
          <t>PROSPERITY SPELLS, Prosperity</t>
        </is>
      </c>
      <c r="BB30" t="inlineStr">
        <is>
          <t>Pine</t>
        </is>
      </c>
      <c r="BC30" t="inlineStr">
        <is>
          <t>CYBELE</t>
        </is>
      </c>
    </row>
    <row r="31">
      <c r="A31" t="inlineStr">
        <is>
          <t>DIANA</t>
        </is>
      </c>
      <c r="B31" t="inlineStr">
        <is>
          <t>Deity</t>
        </is>
      </c>
      <c r="C31" t="inlineStr">
        <is>
          <t>Feminine</t>
        </is>
      </c>
      <c r="D31" t="inlineStr">
        <is>
          <t>Earth/Water</t>
        </is>
      </c>
      <c r="E31" t="inlineStr">
        <is>
          <t>Moon</t>
        </is>
      </c>
      <c r="F31" t="inlineStr">
        <is>
          <t>Monday</t>
        </is>
      </c>
      <c r="G31" t="inlineStr">
        <is>
          <t>Autumn/Winter</t>
        </is>
      </c>
      <c r="H31" t="inlineStr">
        <is>
          <t>Divination, New beginnings, Prophetic dreams, Protection, Protection (hexes/evil), Spirit offerings, Mabon/Samhain, Samhain/ancestral altars, Star magick, Banishing, Warding, Contacting planes, Harmony, Clairvoyance,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Enhancing clairvoyance, Psychic development, Psychic powers, INCREASE PSYCHIC ABILITIES, Psychic awareness, Stimulating psychic senses, Disabling psychic phenomena, Psychic communication, communication and psychic abilities</t>
        </is>
      </c>
      <c r="I31" t="inlineStr">
        <is>
          <t>Lemon Balm, Rue, Increasing wealth, mwood</t>
        </is>
      </c>
      <c r="J31" t="inlineStr">
        <is>
          <t>One of the Pleiades, daughter of Atlas.</t>
        </is>
      </c>
      <c r="K31" t="inlineStr">
        <is>
          <t>Roman goddess of the hunt, the moon, and the crossroads who protected women in childbirth and held the keys to the Underworld. The sacred grove at Nemi — the Rex Nemorensis or 'King of the Wood' — was her most powerful cult site, where her priest ruled by killing his predecessor in single combat, an unbroken chain of sacred regicide. She could cause sudden death, grant safe childbirth, and walk the triple crossroads at midnight with her torch, hounds, and the spirits of the restless dead.</t>
        </is>
      </c>
      <c r="L31" t="inlineStr">
        <is>
          <t>The dappled shade of the ancient oak grove, where hounds rest quietly and the silent footsteps of the huntress leave absolutely no trace on the green moss.</t>
        </is>
      </c>
      <c r="M31" t="inlineStr">
        <is>
          <t>LEMON BALM</t>
        </is>
      </c>
      <c r="N31" t="inlineStr">
        <is>
          <t>Not specified</t>
        </is>
      </c>
      <c r="O31" t="inlineStr">
        <is>
          <t>RUE</t>
        </is>
      </c>
      <c r="P31"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Q31" t="inlineStr">
        <is>
          <t>LEMON VERBENA</t>
        </is>
      </c>
      <c r="R31" t="inlineStr">
        <is>
          <t>Breaking bad habits, Purifying body and mind, Cleansing space, Removing negative energy, Inner child connection, Creativity, Earth festivals, Love philtres, Sacred union rites, Astral travel, Prophetic dreams</t>
        </is>
      </c>
      <c r="S31" t="inlineStr">
        <is>
          <t>YARROW</t>
        </is>
      </c>
      <c r="T31" t="inlineStr">
        <is>
          <t>Divination, love spells, contacting a specific person, prophetic dreams, psychic communication, cleansing the aura, divination tea. Used as a charm for pregnant women. Strewn across thresholds to prevent unhelpful spirits from entering. Used in sachets for love, courage, communication and psychic abilities.</t>
        </is>
      </c>
      <c r="Y31" t="inlineStr">
        <is>
          <t>Aquamarine</t>
        </is>
      </c>
      <c r="Z31" t="inlineStr">
        <is>
          <t>Psychism, Peace, Confidence, Purification</t>
        </is>
      </c>
      <c r="AA31" t="inlineStr">
        <is>
          <t>Calcite</t>
        </is>
      </c>
      <c r="AB31" t="inlineStr">
        <is>
          <t>Luck, Prosperity, problem resolution, gambling, Healing, creativity, business success, attracting love.</t>
        </is>
      </c>
      <c r="AC31" t="inlineStr">
        <is>
          <t>Howlite</t>
        </is>
      </c>
      <c r="AD31" t="inlineStr">
        <is>
          <t>Stress relief, anxiety, Peace, tension, artistic expression, creativity, eliminating selfishness, purity, spirituality  Patience, Peace &amp; Insomnia.</t>
        </is>
      </c>
      <c r="AE31" t="inlineStr">
        <is>
          <t>Jet</t>
        </is>
      </c>
      <c r="AF31" t="inlineStr">
        <is>
          <t>Purification, psychic protection, virility, control, Luck, Healing, Divination, protection from illness &amp; violence, guarding against nightmares.</t>
        </is>
      </c>
      <c r="AG31" t="inlineStr">
        <is>
          <t>Melissa</t>
        </is>
      </c>
      <c r="AH31" t="inlineStr">
        <is>
          <t>Love, Healing, Prosperity</t>
        </is>
      </c>
      <c r="BA31" t="inlineStr">
        <is>
          <t>Aquamarine, Calcite, Howlite, Jet, quartz rutilated, quartz smokey, quartz snow</t>
        </is>
      </c>
      <c r="BB31" t="inlineStr">
        <is>
          <t>Melissa</t>
        </is>
      </c>
      <c r="BC31" t="inlineStr">
        <is>
          <t>DIANA</t>
        </is>
      </c>
    </row>
    <row r="32">
      <c r="A32" t="inlineStr">
        <is>
          <t>DIONYSUS</t>
        </is>
      </c>
      <c r="B32" t="inlineStr">
        <is>
          <t>Deity</t>
        </is>
      </c>
      <c r="C32" t="inlineStr">
        <is>
          <t>Masculine</t>
        </is>
      </c>
      <c r="D32" t="inlineStr">
        <is>
          <t>Water/Earth</t>
        </is>
      </c>
      <c r="E32" t="inlineStr">
        <is>
          <t>Jupiter</t>
        </is>
      </c>
      <c r="F32" t="inlineStr">
        <is>
          <t>Thursday</t>
        </is>
      </c>
      <c r="G32" t="inlineStr">
        <is>
          <t>Autumn</t>
        </is>
      </c>
      <c r="H32" t="inlineStr">
        <is>
          <t>New beginnings, Sun God offerings, Luck, Dispelling sickness, Harmony, Happiness,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Joy, Joyous celebrations, Contentment, Healing magic, Healing spells, Healing sachets, Healing incenses, Healing mixtures, Healing rituals, Healing incense, Healing vibrations, healing after surgery, Aiding recovery, Aiding the ill, Improving health, Speeding recovery, Good health, health</t>
        </is>
      </c>
      <c r="I32" t="inlineStr">
        <is>
          <t>Grapevine, Ivy</t>
        </is>
      </c>
      <c r="J32" t="inlineStr">
        <is>
          <t>Mythological/symbolic figure related to healing.</t>
        </is>
      </c>
      <c r="K32" t="inlineStr">
        <is>
          <t>Greek god of wine, madness, and ecstasy who twice died and was reborn — first from the womb of his mortal mother consumed by Zeus's lightning, then rescued and sewn into Zeus's thigh. He was torn apart by the Titans as an infant and restored. He drove the women of Thebes to collective madness, causing them to tear apart King Pentheus with their bare hands when he opposed his worship. He turned pirates into dolphins, transformed ships, grew vines from nothing, and could make the impossible suddenly, wildly real.</t>
        </is>
      </c>
      <c r="L32" t="inlineStr">
        <is>
          <t>The sudden, erratic spread of wild ivy overtaking abandoned stone walls, a testament to nature's wild refusal to ever be fully tamed or controlled by stone.</t>
        </is>
      </c>
      <c r="AG32" t="inlineStr">
        <is>
          <t>Pine</t>
        </is>
      </c>
      <c r="AH32" t="inlineStr">
        <is>
          <t>PROSPERITY SPELLS, Prosperity</t>
        </is>
      </c>
      <c r="BB32" t="inlineStr">
        <is>
          <t>Pine</t>
        </is>
      </c>
      <c r="BC32" t="inlineStr">
        <is>
          <t>DIONYSUS</t>
        </is>
      </c>
    </row>
    <row r="33">
      <c r="A33" t="inlineStr">
        <is>
          <t>ELECTRA</t>
        </is>
      </c>
      <c r="B33" t="inlineStr">
        <is>
          <t>Concept</t>
        </is>
      </c>
      <c r="C33" t="inlineStr">
        <is>
          <t>Feminine</t>
        </is>
      </c>
      <c r="D33" t="inlineStr">
        <is>
          <t>Air/Fire</t>
        </is>
      </c>
      <c r="E33" t="inlineStr">
        <is>
          <t>Mercury</t>
        </is>
      </c>
      <c r="F33" t="inlineStr">
        <is>
          <t>Wednesday</t>
        </is>
      </c>
      <c r="G33" t="inlineStr">
        <is>
          <t>Summer</t>
        </is>
      </c>
      <c r="H33" t="inlineStr">
        <is>
          <t>Sun God offerings, Luck, Happiness,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33" t="inlineStr">
        <is>
          <t>Amber</t>
        </is>
      </c>
      <c r="J33" t="inlineStr">
        <is>
          <t>Symbolic representation of the Divine Father.</t>
        </is>
      </c>
      <c r="K33" t="inlineStr">
        <is>
          <t>One of the Pleiades, daughter of Atlas and Pleione, whose magical significance lies in her connection to electricity, storms, and the luminous power of the star cluster. She was mother of Dardanus, founder of Troy, and her grief at Troy's fall was said to cause her star to fade or wander from the cluster — becoming a comet of mourning. In esoteric traditions she represents the charge of lightning in the air before a storm and the raw, crackling magic of elemental electricity.</t>
        </is>
      </c>
      <c r="L33" t="inlineStr">
        <is>
          <t>The crackling ozone in the air just before a massive thunderstorm strikes the sea, charging the coastal air with raw, elemental magic and static electricity.</t>
        </is>
      </c>
      <c r="BC33" t="inlineStr">
        <is>
          <t>ELECTRA</t>
        </is>
      </c>
    </row>
    <row r="34">
      <c r="A34" t="inlineStr">
        <is>
          <t>EREYR</t>
        </is>
      </c>
      <c r="B34" t="inlineStr">
        <is>
          <t>Deity</t>
        </is>
      </c>
      <c r="C34" t="inlineStr">
        <is>
          <t>Masculine</t>
        </is>
      </c>
      <c r="D34" t="inlineStr">
        <is>
          <t>Air/Earth</t>
        </is>
      </c>
      <c r="E34" t="inlineStr">
        <is>
          <t>Jupiter</t>
        </is>
      </c>
      <c r="F34" t="inlineStr">
        <is>
          <t>Thursday</t>
        </is>
      </c>
      <c r="G34" t="inlineStr">
        <is>
          <t>All Seasons</t>
        </is>
      </c>
      <c r="H34" t="inlineStr">
        <is>
          <t>New beginnings, Spirit offerings, Mabon/Samhain, Samhain/ancestral altars, Contacting planes,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t>
        </is>
      </c>
      <c r="I34" t="inlineStr">
        <is>
          <t>Willow</t>
        </is>
      </c>
      <c r="J34" t="inlineStr">
        <is>
          <t>Celtic deity of the hunt and wild things.</t>
        </is>
      </c>
      <c r="K34" t="inlineStr">
        <is>
          <t>An eagle-deity figure from Celtic tradition associated with high places, the overview of the cosmos, and keen visionary sight. Eagle deities across many traditions serve as messengers between heaven and earth, capable of carrying prayers to the gods and returning with divine vision. The eagle's eye represents the ability to see what is hidden — the magical art of far-seeing and true prophecy. As a guardian of high sacred places, Ereyr held the land's boundaries against spiritual intrusion.</t>
        </is>
      </c>
      <c r="L34" t="inlineStr">
        <is>
          <t>The shadow of the great eagle soaring over the high, rocky crags, guarding the hidden, resilient alpine flora that blooms only at dizzying heights.</t>
        </is>
      </c>
      <c r="BC34" t="inlineStr">
        <is>
          <t>EREYR</t>
        </is>
      </c>
    </row>
    <row r="35">
      <c r="A35" t="inlineStr">
        <is>
          <t>EROS</t>
        </is>
      </c>
      <c r="B35" t="inlineStr">
        <is>
          <t>Deity</t>
        </is>
      </c>
      <c r="C35" t="inlineStr">
        <is>
          <t>Masculine</t>
        </is>
      </c>
      <c r="D35" t="inlineStr">
        <is>
          <t>Fire/Air</t>
        </is>
      </c>
      <c r="E35" t="inlineStr">
        <is>
          <t>Venus</t>
        </is>
      </c>
      <c r="F35" t="inlineStr">
        <is>
          <t>Friday</t>
        </is>
      </c>
      <c r="G35" t="inlineStr">
        <is>
          <t>Spring</t>
        </is>
      </c>
      <c r="H35" t="inlineStr">
        <is>
          <t>Fruitfulness, Love rituals, Love, Aphrodisiac, Increasing wealth, Prosperity, Attraction, Fertility, Love spells,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Attracting a mate, Attracting a soulmate, Conjuring a lover, HELP ATTRACT OPPOSITE SEX, Finding future love</t>
        </is>
      </c>
      <c r="I35" t="inlineStr">
        <is>
          <t>Rose, Yarrow</t>
        </is>
      </c>
      <c r="J35" t="inlineStr">
        <is>
          <t>Celtic goddess of fertility and magic.</t>
        </is>
      </c>
      <c r="K35" t="inlineStr">
        <is>
          <t>The primordial Greek god of love and creative desire — in his oldest form not a cherub but one of the first forces of creation, born from Chaos alongside Gaia and Tartarus. His arrows animated the world, drawing things together in creative union. Without Eros, nothing would mate, reproduce, or grow. In his later Olympian form as son of Aphrodite, he became the mischievous archer whose golden arrows caused irresistible love and whose lead arrows caused violent aversion — making him perhaps the most powerful force in the cosmos.</t>
        </is>
      </c>
      <c r="L35" t="inlineStr">
        <is>
          <t>The symbiotic, delicate dance of the bee and the blooming orchid, drawn together by an irresistible, natural magnetism that ensures the forest's ongoing propagation.</t>
        </is>
      </c>
      <c r="M35" t="inlineStr">
        <is>
          <t>YARROW</t>
        </is>
      </c>
      <c r="N35" t="inlineStr">
        <is>
          <t>Divination, love spells, contacting a specific person, prophetic dreams, psychic communication, cleansing the aura, divination tea. Used as a charm for pregnant women. Strewn across thresholds to prevent unhelpful spirits from entering. Used in sachets for love, courage, communication and psychic abilities.</t>
        </is>
      </c>
      <c r="O35" t="inlineStr">
        <is>
          <t>ROSE BUDS PINK</t>
        </is>
      </c>
      <c r="P35" t="inlineStr">
        <is>
          <t>Love, Friendship, Power, Healing, Divination, Romantic love ceremonies</t>
        </is>
      </c>
      <c r="Q35" t="inlineStr">
        <is>
          <t>ROSE BUDS RED</t>
        </is>
      </c>
      <c r="R35" t="inlineStr">
        <is>
          <t>Prophetic dreams, Healing, Health, Calming stress, Calming household upheaval, Love, Luck, Creativity, Balance, Anointing, Divination, Clairvoyance, Protection, Psychic awareness, Conjuring a lover</t>
        </is>
      </c>
      <c r="S35" t="inlineStr">
        <is>
          <t>ROSE HIP</t>
        </is>
      </c>
      <c r="T35" t="inlineStr">
        <is>
          <t>Honouring Venus, Harmony, Peace, Calming energies, Love, Soul mates, Companionship, Incense, Sachets, Charm bags, Love-attracting rituals, Cleansing before ritual, Stress relief</t>
        </is>
      </c>
      <c r="AG35" t="inlineStr">
        <is>
          <t>Rose</t>
        </is>
      </c>
      <c r="AH35" t="inlineStr">
        <is>
          <t>Peace, Protection, Luck, PROMOTE LOVE &amp; AFFECTION</t>
        </is>
      </c>
      <c r="AO35" t="inlineStr">
        <is>
          <t>GEBO</t>
        </is>
      </c>
      <c r="AP35" t="inlineStr">
        <is>
          <t>G</t>
        </is>
      </c>
      <c r="AQ35" t="inlineStr">
        <is>
          <t>Love spells, Love rituals, Love, Gift-giving, Anti-theft, giveness, Attraction, Peace</t>
        </is>
      </c>
      <c r="BB35" t="inlineStr">
        <is>
          <t>Rose</t>
        </is>
      </c>
      <c r="BC35" t="inlineStr">
        <is>
          <t>EROS</t>
        </is>
      </c>
    </row>
    <row r="36">
      <c r="A36" t="inlineStr">
        <is>
          <t>FATHER GOD</t>
        </is>
      </c>
      <c r="B36" t="inlineStr">
        <is>
          <t>Deity</t>
        </is>
      </c>
      <c r="C36" t="inlineStr">
        <is>
          <t>Masculine</t>
        </is>
      </c>
      <c r="D36" t="inlineStr">
        <is>
          <t>Fire/Air</t>
        </is>
      </c>
      <c r="E36" t="inlineStr">
        <is>
          <t>Sun</t>
        </is>
      </c>
      <c r="F36" t="inlineStr">
        <is>
          <t>Sunday</t>
        </is>
      </c>
      <c r="G36" t="inlineStr">
        <is>
          <t>Summer</t>
        </is>
      </c>
      <c r="H36" t="inlineStr">
        <is>
          <t>New beginnings, Sun God offerings, Luck, Harmony, Happiness,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36" t="inlineStr">
        <is>
          <t>Oak (Ac, n)</t>
        </is>
      </c>
      <c r="J36" t="inlineStr">
        <is>
          <t>Greek primordial goddess, the personification of Earth.</t>
        </is>
      </c>
      <c r="K36" t="inlineStr">
        <is>
          <t>The archetypal masculine divine principle — sky father, protector, law-giver, and source of sacred authority. Found across cultures as Zeus, Jupiter, Odin, Osiris, Brahma — the divine Father holds the structure of the cosmos in place, establishes sacred law, and provides the protective canopy beneath which all life can grow. His magic is the magic of boundaries, oaths, lightning, and the sovereign word whose utterance makes things real.</t>
        </is>
      </c>
      <c r="L36" t="inlineStr">
        <is>
          <t>The sturdy, ancient trunks of the old-growth forest, providing the massive structural canopy that protects the tender, growing understory below.</t>
        </is>
      </c>
      <c r="M36" t="inlineStr">
        <is>
          <t>ACORN</t>
        </is>
      </c>
      <c r="N36" t="inlineStr">
        <is>
          <t>New beginning spells, Sabbat rituals, Invocation of the Lord, Transformation/Evolution, Physical Strength, Will Power, Lust/Sex, Leadership, Wealth/Prosperity, Courage, Good luck, Protection, Wisdom, Personal power</t>
        </is>
      </c>
      <c r="BC36" t="inlineStr">
        <is>
          <t>FATHER GOD</t>
        </is>
      </c>
    </row>
    <row r="37">
      <c r="A37" t="inlineStr">
        <is>
          <t>FILDIAS</t>
        </is>
      </c>
      <c r="B37" t="inlineStr">
        <is>
          <t>Concept</t>
        </is>
      </c>
      <c r="C37" t="inlineStr">
        <is>
          <t>Feminine</t>
        </is>
      </c>
      <c r="D37" t="inlineStr">
        <is>
          <t>Earth</t>
        </is>
      </c>
      <c r="E37" t="inlineStr">
        <is>
          <t>Moon</t>
        </is>
      </c>
      <c r="F37" t="inlineStr">
        <is>
          <t>Monday</t>
        </is>
      </c>
      <c r="G37" t="inlineStr">
        <is>
          <t>Summer</t>
        </is>
      </c>
      <c r="H37"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37" t="inlineStr">
        <is>
          <t>Hazel</t>
        </is>
      </c>
      <c r="J37" t="inlineStr">
        <is>
          <t>Conceptual representation of divine polarity.</t>
        </is>
      </c>
      <c r="K37" t="inlineStr">
        <is>
          <t>Irish goddess of wild cattle and the abundance of the land, whose magic was expressed through her miraculous cow — so productive that its milk could feed an entire army at once. As a figure of the Tuatha Dé Danaan, she embodied the sovereignty of the earth's fertility. Fildias represents the primal magic of animal husbandry, the covenant between humans and the animals that sustain them, and the goddess-given abundance of the natural world.</t>
        </is>
      </c>
      <c r="L37" t="inlineStr">
        <is>
          <t>The wild cattle grazing on the lush, emerald grasses of the misty moors, deeply connected to the milk, sustenance, and sheer bounty of the land.</t>
        </is>
      </c>
      <c r="M37" t="inlineStr">
        <is>
          <t>WITCH HAZEL LEAVES</t>
        </is>
      </c>
      <c r="N37" t="inlineStr">
        <is>
          <t>Purification, Protection, Banishing, Consecration</t>
        </is>
      </c>
      <c r="BC37" t="inlineStr">
        <is>
          <t>FILDIAS</t>
        </is>
      </c>
    </row>
    <row r="38">
      <c r="A38" t="inlineStr">
        <is>
          <t>FLIDAIS</t>
        </is>
      </c>
      <c r="B38" t="inlineStr">
        <is>
          <t>Deity</t>
        </is>
      </c>
      <c r="C38" t="inlineStr">
        <is>
          <t>Feminine</t>
        </is>
      </c>
      <c r="D38" t="inlineStr">
        <is>
          <t>Earth</t>
        </is>
      </c>
      <c r="E38" t="inlineStr">
        <is>
          <t>Moon</t>
        </is>
      </c>
      <c r="F38" t="inlineStr">
        <is>
          <t>Monday</t>
        </is>
      </c>
      <c r="G38" t="inlineStr">
        <is>
          <t>Autumn</t>
        </is>
      </c>
      <c r="H38" t="inlineStr">
        <is>
          <t>New beginnings, Protection, Protection (hexes/evil), Spirit offerings, Mabon/Samhain, Samhain/ancestral altars, Banishing, Dispelling sickness, Warding, Contacting planes, Harmony,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t>
        </is>
      </c>
      <c r="I38" t="inlineStr">
        <is>
          <t>Happiness</t>
        </is>
      </c>
      <c r="J38" t="inlineStr">
        <is>
          <t>Hindu goddess associated with snakes and protection.</t>
        </is>
      </c>
      <c r="K38" t="inlineStr">
        <is>
          <t>Celtic goddess of the forest, wildlife, and shape-shifting who commanded the deer as her cattle and milked them in the wild. A member of the Tuatha Dé Danaan, she possessed a magical cloak of transformation and could traverse the boundary between the mortal world and the Otherworld at will. Her magical cow, the Maol Flidais, produced enough milk to feed 300 men each evening. She was worshipped as Lady of the Forest, protector of wild creatures, and a healing goddess capable of crossing realms.</t>
        </is>
      </c>
      <c r="L38" t="inlineStr">
        <is>
          <t>The magical herds of red deer moving like quiet spirits through the thickets, their coats blending perfectly with the russet and gold colors of the autumn woods.</t>
        </is>
      </c>
      <c r="BC38" t="inlineStr">
        <is>
          <t>FLIDAIS</t>
        </is>
      </c>
    </row>
    <row r="39">
      <c r="A39" t="inlineStr">
        <is>
          <t>GAIA</t>
        </is>
      </c>
      <c r="B39" t="inlineStr">
        <is>
          <t>Deity</t>
        </is>
      </c>
      <c r="C39" t="inlineStr">
        <is>
          <t>Feminine</t>
        </is>
      </c>
      <c r="D39" t="inlineStr">
        <is>
          <t>Earth</t>
        </is>
      </c>
      <c r="E39" t="inlineStr">
        <is>
          <t>Earth</t>
        </is>
      </c>
      <c r="F39" t="inlineStr">
        <is>
          <t>Saturday</t>
        </is>
      </c>
      <c r="G39" t="inlineStr">
        <is>
          <t>All Seasons</t>
        </is>
      </c>
      <c r="H39" t="inlineStr">
        <is>
          <t>New beginnings, Harmony, Fertility, Healing, Prosperity, Strength, Purification, Samhain/ancestral altars,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Physical Strength, Fortitude, Vitality, Inner power, and strength,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39" t="inlineStr">
        <is>
          <t>Mugw, Amulets/talismans, Oak, Moss</t>
        </is>
      </c>
      <c r="J39" t="inlineStr">
        <is>
          <t>Egyptian goddess of music, joy, and motherhood.</t>
        </is>
      </c>
      <c r="K39" t="inlineStr">
        <is>
          <t>The primordial earth goddess from whom all things arose. She produced the mountains, seas, and sky from herself, then mated with Ouranos (Sky) to produce the Titans, Cyclopes, and Hecatoncheires. When Ouranos imprisoned her children in her body, she forged the adamantine sickle and persuaded Cronos to use it against his father. She prophesied that Zeus too would be overthrown — a prophecy Zeus never fully escaped. She was the original oracle of Delphi before Apollo took it, and her power is the breath and tremor of the living earth itself.</t>
        </is>
      </c>
      <c r="L39" t="inlineStr">
        <is>
          <t>The beating, molten heart of the planet itself, breathing out towering mountain ranges and crying the winding rivers that carve life into every valley.</t>
        </is>
      </c>
      <c r="M39" t="inlineStr">
        <is>
          <t>OAKBARK RED</t>
        </is>
      </c>
      <c r="N39" t="inlineStr">
        <is>
          <t>Truth, Steadfast knowledge, Protection, Vitality, Long life, Healing, Grounding, Focus, Observation, Intuition, Bravery, Presence, Leadership skills, Prosperity, Strength, Psychic development, Rest, Sleep</t>
        </is>
      </c>
      <c r="O39" t="inlineStr">
        <is>
          <t>OAKLEAF</t>
        </is>
      </c>
      <c r="P39" t="inlineStr">
        <is>
          <t>Purification, Cleansing body and spirit, Aiding recovery, Protection from evil, Keeping illness away</t>
        </is>
      </c>
      <c r="Y39" t="inlineStr">
        <is>
          <t>Labradorite</t>
        </is>
      </c>
      <c r="Z39" t="inlineStr">
        <is>
          <t>Earth magick, faith, patience, imagination, introspection, Strength, sleep, Protection, stress relief, Peace, Divination, strengthening convictions, Confidence, facilitating transf, mation</t>
        </is>
      </c>
      <c r="AA39" t="inlineStr">
        <is>
          <t>Petrified Wood</t>
        </is>
      </c>
      <c r="AB39" t="inlineStr">
        <is>
          <t>Protection, longevity, past-life recall.</t>
        </is>
      </c>
      <c r="AC39" t="inlineStr">
        <is>
          <t>Tanzanite</t>
        </is>
      </c>
      <c r="AD39" t="inlineStr">
        <is>
          <t>Meditation, Clairvoyance, spirituality, Protection, wisdom, communication with spirit &amp; animal guides.</t>
        </is>
      </c>
      <c r="BA39" t="inlineStr">
        <is>
          <t>Labradorite, Petrified Wood, Tanzanite</t>
        </is>
      </c>
      <c r="BC39" t="inlineStr">
        <is>
          <t>GAIA</t>
        </is>
      </c>
    </row>
    <row r="40">
      <c r="A40" t="inlineStr">
        <is>
          <t>GOD AND GODDESS IN BALANCE</t>
        </is>
      </c>
      <c r="B40" t="inlineStr">
        <is>
          <t>Deity</t>
        </is>
      </c>
      <c r="C40" t="inlineStr">
        <is>
          <t>Both</t>
        </is>
      </c>
      <c r="D40" t="inlineStr">
        <is>
          <t>All</t>
        </is>
      </c>
      <c r="E40" t="inlineStr">
        <is>
          <t>Sun/Moon</t>
        </is>
      </c>
      <c r="F40" t="inlineStr">
        <is>
          <t>Wednesday</t>
        </is>
      </c>
      <c r="G40" t="inlineStr">
        <is>
          <t>Equinoxes</t>
        </is>
      </c>
      <c r="H40" t="inlineStr">
        <is>
          <t>Divination, Fruitfulness, Prophetic dreams, Sun God offerings, Luck, Happiness, Star magick, Increasing wealth, Prosperity, Clairvoyance, Fertility, Enhancing divination, Divinatory incense, Foretelling the future, Future divination, Scrying, Dowsing, Prophecy,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Enhancing clairvoyance, Psychic development, Psychic powers, INCREASE PSYCHIC ABILITIES, Psychic awareness, Stimulating psychic senses, Disabling psychic phenomena, Psychic communication, communication and psychic abilities</t>
        </is>
      </c>
      <c r="I40" t="inlineStr">
        <is>
          <t>Apple, Rose</t>
        </is>
      </c>
      <c r="J40" t="inlineStr">
        <is>
          <t>Greek goddess of witchcraft, magic, and crossroads.</t>
        </is>
      </c>
      <c r="K40" t="inlineStr">
        <is>
          <t>The sacred union of masculine and feminine divine forces — the hieros gamos — found at the heart of nearly every ancient religion. When the God and Goddess stand in perfect balance, the seasons flow harmoniously, crops grow, animals breed, and human society finds its right order. This polarity generates the creative tension from which all life emerges. The equinoxes are their sacred meetings: points of perfect balance between light and dark, action and rest, seed and soil.</t>
        </is>
      </c>
      <c r="L40" t="inlineStr">
        <is>
          <t>The perfect, crisp moment of the equinox, where day and night are equal, and the falling golden leaves feed the soil for the sleeping seeds of spring.</t>
        </is>
      </c>
      <c r="BC40" t="inlineStr">
        <is>
          <t>GOD AND GODDESS IN BALANCE</t>
        </is>
      </c>
    </row>
    <row r="41">
      <c r="A41" t="inlineStr">
        <is>
          <t>GREAT GODDESS. MANASA</t>
        </is>
      </c>
      <c r="B41" t="inlineStr">
        <is>
          <t>Deity</t>
        </is>
      </c>
      <c r="C41" t="inlineStr">
        <is>
          <t>Feminine</t>
        </is>
      </c>
      <c r="D41" t="inlineStr">
        <is>
          <t>Water/Earth</t>
        </is>
      </c>
      <c r="E41" t="inlineStr">
        <is>
          <t>Moon</t>
        </is>
      </c>
      <c r="F41" t="inlineStr">
        <is>
          <t>Monday</t>
        </is>
      </c>
      <c r="G41" t="inlineStr">
        <is>
          <t>Summer</t>
        </is>
      </c>
      <c r="H41" t="inlineStr">
        <is>
          <t>New beginnings, Fruitfulness, Anti-theft, Fortune,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Preventing theft, Protection against theft, Spell-breaking, Reversing harmful spells, Breaking spells, Hex breaking, Removing hexes, Removing curses, Removing jinxes, Removing bad luck, Breaking hexes, Returning hexes, hex-breaking, Removing hexes and curses, Removing a jinx, Luck, Good luck, Good luck in family matters, Casino luck, WISHES, Wish magick,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41" t="inlineStr">
        <is>
          <t>Lotus, Neem</t>
        </is>
      </c>
      <c r="J41" t="inlineStr">
        <is>
          <t>Norse goddess of the underworld.</t>
        </is>
      </c>
      <c r="K41" t="inlineStr">
        <is>
          <t>Manasa is the Hindu serpent goddess, daughter of Shiva, whose magic is the sovereign power over all snakes and the antidote to their venom. She was instrumental in spreading snake worship across Bengal. In her most famous myth, she relentlessly tested the merchant Chand Sadagar — destroying his wealth and killing his sons — until he was broken into devotion. She controls both the poison and the cure, grants fertility to women, and protects against snakebite. Her power over life and death through venom makes her one of the most formidable goddesses in the Bengali tradition.</t>
        </is>
      </c>
      <c r="L41" t="inlineStr">
        <is>
          <t>The serpent winding through the thick, green jungle undergrowth, protecting the hidden medicinal roots and holding the dual secrets of venom and cure.</t>
        </is>
      </c>
      <c r="BC41" t="inlineStr">
        <is>
          <t>GREAT GODDESS. MANASA</t>
        </is>
      </c>
    </row>
    <row r="42">
      <c r="A42" t="inlineStr">
        <is>
          <t>HATHOR</t>
        </is>
      </c>
      <c r="B42" t="inlineStr">
        <is>
          <t>Deity</t>
        </is>
      </c>
      <c r="C42" t="inlineStr">
        <is>
          <t>Feminine</t>
        </is>
      </c>
      <c r="D42" t="inlineStr">
        <is>
          <t>Earth/Water</t>
        </is>
      </c>
      <c r="E42" t="inlineStr">
        <is>
          <t>Venus</t>
        </is>
      </c>
      <c r="F42" t="inlineStr">
        <is>
          <t>Friday</t>
        </is>
      </c>
      <c r="G42" t="inlineStr">
        <is>
          <t>All Seasons</t>
        </is>
      </c>
      <c r="H42" t="inlineStr">
        <is>
          <t>New beginnings, Spirit offerings, Mabon/Samhain, Samhain/ancestral altars, Love rituals, Love, Aphrodisiac, Contacting planes,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Attracting a mate, Attracting a soulmate, Conjuring a lover, HELP ATTRACT OPPOSITE SEX, Finding future love</t>
        </is>
      </c>
      <c r="I42" t="inlineStr">
        <is>
          <t>Sycam, Amulets/talismans, Rose, Myrrh</t>
        </is>
      </c>
      <c r="J42" t="inlineStr">
        <is>
          <t>Greek goddess of health and cleanliness.</t>
        </is>
      </c>
      <c r="K42" t="inlineStr">
        <is>
          <t>Egyptian goddess of love, music, beauty, and cosmic power, whose magical force was so immense that Ra sent her as Sekhmet to destroy humanity when they rebelled. She was turned back only when beer dyed red with ochre was poured across the fields — she drank it thinking it was blood and became too drunk to continue the slaughter. She was the divine mirror, the seven Hathors who attended every birth and prophesied its fate, and the lady of the sycamore who offered food and water to the souls of the dead.</t>
        </is>
      </c>
      <c r="L42" t="inlineStr">
        <is>
          <t>The magnificent sycamore tree rising stubbornly from the hot desert sands, offering sweet figs, cool shade, and life-giving sap to weary travelers.</t>
        </is>
      </c>
      <c r="M42" t="inlineStr">
        <is>
          <t>ROSE BUDS PINK</t>
        </is>
      </c>
      <c r="N42" t="inlineStr">
        <is>
          <t>Love, Friendship, Power, Healing, Divination, Romantic love ceremonies</t>
        </is>
      </c>
      <c r="O42" t="inlineStr">
        <is>
          <t>ROSE BUDS RED</t>
        </is>
      </c>
      <c r="P42" t="inlineStr">
        <is>
          <t>Prophetic dreams, Healing, Health, Calming stress, Calming household upheaval, Love, Luck, Creativity, Balance, Anointing, Divination, Clairvoyance, Protection, Psychic awareness, Conjuring a lover</t>
        </is>
      </c>
      <c r="Y42" t="inlineStr">
        <is>
          <t>Chrysocolla</t>
        </is>
      </c>
      <c r="Z42" t="inlineStr">
        <is>
          <t>Clarity, Peace, patience, Love, wisdom, Negating dreams, Harmony, Prosperity, growth, hope, intimacy, Divination, tolerance, sleep, creativity, self-awareness.</t>
        </is>
      </c>
      <c r="AA42" t="inlineStr">
        <is>
          <t>chrysophase</t>
        </is>
      </c>
      <c r="AB42" t="inlineStr">
        <is>
          <t>Happiness, lick, Prosperity, Friendship, Protection, Healing</t>
        </is>
      </c>
      <c r="AC42" t="inlineStr">
        <is>
          <t>Copper flakes</t>
        </is>
      </c>
      <c r="AD42" t="inlineStr">
        <is>
          <t>Love, Peace, friendships</t>
        </is>
      </c>
      <c r="AE42" t="inlineStr">
        <is>
          <t>Emerald</t>
        </is>
      </c>
      <c r="AF42" t="inlineStr">
        <is>
          <t>Psychic awareness, meditation, Divination, Peace, sleep, Healing, Love, friendship, protection from evil, business success, mem, Clairvoyance, recognition, faith, Fertility, serenity, underst, Attracting good spirits, balance. Represents Time, the astral planes</t>
        </is>
      </c>
      <c r="AG42" t="inlineStr">
        <is>
          <t>Neroli</t>
        </is>
      </c>
      <c r="AH42" t="inlineStr">
        <is>
          <t>Prosperity</t>
        </is>
      </c>
      <c r="AI42" t="inlineStr">
        <is>
          <t>Rose</t>
        </is>
      </c>
      <c r="AJ42" t="inlineStr">
        <is>
          <t>Peace, Protection, Luck, PROMOTE LOVE &amp; AFFECTION</t>
        </is>
      </c>
      <c r="BA42" t="inlineStr">
        <is>
          <t>Chrysocolla, chrysophase, Copper flakes, Emerald, Fuchsite, Goldstone, Jade (jadeite), Lapis Lazuli, Lodestone, Malachite, Peridot, Seraphinite, Unakite</t>
        </is>
      </c>
      <c r="BB42" t="inlineStr">
        <is>
          <t>Neroli, Rose</t>
        </is>
      </c>
      <c r="BC42" t="inlineStr">
        <is>
          <t>HATHOR</t>
        </is>
      </c>
    </row>
    <row r="43">
      <c r="A43" t="inlineStr">
        <is>
          <t>HECATE</t>
        </is>
      </c>
      <c r="B43" t="inlineStr">
        <is>
          <t>Deity</t>
        </is>
      </c>
      <c r="C43" t="inlineStr">
        <is>
          <t>Feminine</t>
        </is>
      </c>
      <c r="D43" t="inlineStr">
        <is>
          <t>Water/Earth</t>
        </is>
      </c>
      <c r="E43" t="inlineStr">
        <is>
          <t>Moon</t>
        </is>
      </c>
      <c r="F43" t="inlineStr">
        <is>
          <t>Saturday</t>
        </is>
      </c>
      <c r="G43" t="inlineStr">
        <is>
          <t>Autumn/Winter</t>
        </is>
      </c>
      <c r="H43" t="inlineStr">
        <is>
          <t>Divination, Protection (hexes/evil), Love, Attraction, Healing, Love spells, Prophetic dreams, Love rituals, Aphrodisiac, Dispelling sickness, New beginnings, Mabon/Samhain, Samhain/ancestral altars, Star magick, Contacting planes, Protection, Spirit offerings, Banishing, Warding, Harmony, Clairvoyance, Enhancing divination, Divinatory incense, Foretelling the future, Future divination, Scrying, Dowsing, Prophecy,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 Invoking dreams, Dream work, Dreams, Visions, Seeing the unseen, Seeing manifestations, Truth, Honesty, Removing deception, Subconscious work, Digging into the subconscious, Uprooting what is hidden, Treasure seeking, Lost object finding, Aphrodisiac tea, Sensuality, Lust, Lust/Sex, Passionate love-making, LOVING &amp; LUSTFUL ENERGIES, SEX MAGIC, RAISE SEXUAL ENERGY, Sexual energy, Breaking habits, Breaking bad habits, Ending negative self-talk, Letting go of relationships, Ending guilt, Release, Renewal, New beginning spells, Fresh starts, Transformation, Change, rebirth, Breakthrough, Awakening, Growth, New ideas, Assisting transformation, Transformation/Evolution,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Enhancing clairvoyance, Psychic development, Psychic powers, INCREASE PSYCHIC ABILITIES, Psychic awareness, Stimulating psychic senses, Disabling psychic phenomena, Psychic communication, communication and psychic abilities</t>
        </is>
      </c>
      <c r="I43" t="inlineStr">
        <is>
          <t>Increasing wealth, mwood, Mugw, Amulets/talismans, Willow</t>
        </is>
      </c>
      <c r="J43" t="inlineStr">
        <is>
          <t>Egyptian goddess of magic, motherhood, and healing.</t>
        </is>
      </c>
      <c r="K43" t="inlineStr">
        <is>
          <t>Goddess of magic, crossroads, ghosts, and the Underworld — the only Titan whom Zeus permitted to retain power after the Olympian victory. She holds the keys to Hades, accompanies Persephone between worlds, and stands at the triple crossroads at midnight with her torches, hounds, and a retinue of restless spirits. Her magic encompasses necromancy, herb lore (especially poisonous plants), sorcery, and the binding of spells. She was the supreme goddess of witchcraft and magic in the ancient world, invoked by Jason's Medea for her most powerful rites.</t>
        </is>
      </c>
      <c r="L43" t="inlineStr">
        <is>
          <t>The dark, toxic beauty of belladonna, mugwort, and yew trees growing quietly at the crossroads under a starless, moonless night sky.</t>
        </is>
      </c>
      <c r="M43" t="inlineStr">
        <is>
          <t>BENZOIN</t>
        </is>
      </c>
      <c r="N43" t="inlineStr">
        <is>
          <t>Purification, Sanctifying an area, Attracting business, Incense base, Substitute for storax, Focus, Concentration</t>
        </is>
      </c>
      <c r="O43" t="inlineStr">
        <is>
          <t>GARLIC POWDER</t>
        </is>
      </c>
      <c r="P43" t="inlineStr">
        <is>
          <t>Exorcism, Magic, Passion, Protection, Spell-breaking, Strength, Clairvoyance, Success, Commanding, Confidence, Consecration, Courage, Divination, Healing, Longevity, Money, Overcoming opposition, Purification, Preventing nightmares, Stopping gossip, Fair weather</t>
        </is>
      </c>
      <c r="Q43" t="inlineStr">
        <is>
          <t>LAVENDER FLOWERS</t>
        </is>
      </c>
      <c r="R43" t="inlineStr">
        <is>
          <t>Clairvoyance, Cleansing, Consecration, Happiness, Healing, Love, Midsummer magic, Money, Passion, Peace, Peace of mind, Protection, Psychic protection, Purification, Tranquillity, Blessings, Chastity, Divination, Dreams, Energy, Gentleness, Good luck, Grieving, Harmony, Keeping secrets, Magic, Meditation, Memory, Psychic development, Retention, Ritual, Sleep, Stability, Virility, Weddings</t>
        </is>
      </c>
      <c r="S43" t="inlineStr">
        <is>
          <t>OAK MOSS</t>
        </is>
      </c>
      <c r="T43" t="inlineStr">
        <is>
          <t>Money, luck, strength, and Druidic ritual work. Place in money sachets and wallets to attract and retain wealth. Used in spells for business success and financial stability. Add to incense for connection to ancient forest magic and the Green Man. Excellent for grounding spells and earth magic rituals.</t>
        </is>
      </c>
      <c r="U43" t="inlineStr">
        <is>
          <t>PENNYROYAL</t>
        </is>
      </c>
      <c r="V43"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t>
        </is>
      </c>
      <c r="W43" t="inlineStr">
        <is>
          <t>PEPPERMINT</t>
        </is>
      </c>
      <c r="X43" t="inlineStr">
        <is>
          <t>Cleansing, Consecration, Dreams, Happiness, Healing, Love, Money, Passion, Prosperity, Protection, Psychic development, Purification, Release, Renewal, Rest, Sleep, Animals, Divination, Endings, Energy, Exorcism, Good luck, Grieving, Spirit offering, Success, Transformation, Prophetic dreams, Relieving headaches, Preventing illness, Calling good spirits, Healing spells, Cleansing the home, Cleansing ritual areas</t>
        </is>
      </c>
      <c r="Y43" t="inlineStr">
        <is>
          <t>Apache Tears</t>
        </is>
      </c>
      <c r="Z43" t="inlineStr">
        <is>
          <t>Luck, removal of pain</t>
        </is>
      </c>
      <c r="AA43" t="inlineStr">
        <is>
          <t>Hematite</t>
        </is>
      </c>
      <c r="AB43" t="inlineStr">
        <is>
          <t>Concentration, mem, Clairvoyance, banishing negativity, clarity, Confidence, stress relief, energy, Healing, Divination, grounding, centering, scrying, reliability, legal matters.</t>
        </is>
      </c>
      <c r="AC43" t="inlineStr">
        <is>
          <t>Obsidian</t>
        </is>
      </c>
      <c r="AD43" t="inlineStr">
        <is>
          <t>Grounding, centering, Divination, increasing spirituality, Healing, Cleansing, clarity, Luck, manifestation, transf, mation, inner growth.</t>
        </is>
      </c>
      <c r="AE43" t="inlineStr">
        <is>
          <t>Serpentine</t>
        </is>
      </c>
      <c r="AF43" t="inlineStr">
        <is>
          <t>Cleansing, visualization, meditation, attracting love, drawing money, Prosperity, psychic power, matters involving the elderly, longevity.</t>
        </is>
      </c>
      <c r="AG43" t="inlineStr">
        <is>
          <t>Lavender</t>
        </is>
      </c>
      <c r="AH43" t="inlineStr">
        <is>
          <t>MEM, Clairvoyance, PEACE &amp; HAPPINESS, Purification, Happiness</t>
        </is>
      </c>
      <c r="AI43" t="inlineStr">
        <is>
          <t>Peppermint</t>
        </is>
      </c>
      <c r="AJ43" t="inlineStr">
        <is>
          <t>Purification, PSYCHIC POWERS, Healing</t>
        </is>
      </c>
      <c r="AK43" t="inlineStr">
        <is>
          <t>Patchouli</t>
        </is>
      </c>
      <c r="AL43" t="inlineStr">
        <is>
          <t>Fertility, Love, Prosperity, RAISE SEXUAL ENERGY</t>
        </is>
      </c>
      <c r="BA43" t="inlineStr">
        <is>
          <t>Apache Tears, Hematite, Obsidian, Serpentine</t>
        </is>
      </c>
      <c r="BB43" t="inlineStr">
        <is>
          <t>Lavender, Peppermint, Patchouli</t>
        </is>
      </c>
      <c r="BC43" t="inlineStr">
        <is>
          <t>HECATE</t>
        </is>
      </c>
    </row>
    <row r="44">
      <c r="A44" t="inlineStr">
        <is>
          <t>HEL</t>
        </is>
      </c>
      <c r="B44" t="inlineStr">
        <is>
          <t>Deity</t>
        </is>
      </c>
      <c r="C44" t="inlineStr">
        <is>
          <t>Feminine</t>
        </is>
      </c>
      <c r="D44" t="inlineStr">
        <is>
          <t>Earth</t>
        </is>
      </c>
      <c r="E44" t="inlineStr">
        <is>
          <t>Saturn</t>
        </is>
      </c>
      <c r="F44" t="inlineStr">
        <is>
          <t>Saturday</t>
        </is>
      </c>
      <c r="G44" t="inlineStr">
        <is>
          <t>Winter</t>
        </is>
      </c>
      <c r="H44" t="inlineStr">
        <is>
          <t>New beginnings, Harmony, Samhain/ancestral altars, Contacting planes, Otherworld travel, Banishing, Spirit offerings,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I44" t="inlineStr">
        <is>
          <t>Yew, Elder</t>
        </is>
      </c>
      <c r="J44" t="inlineStr">
        <is>
          <t>Roman king of gods, associated with power.</t>
        </is>
      </c>
      <c r="K44" t="inlineStr">
        <is>
          <t>Norse ruler of the realm of the dead — Helheim — who received all who died of illness, old age, or accident (those not taken by Odin's Valkyries). Half her body was the colour of living flesh, half was the blue-black of decay — making her a walking embodiment of the boundary between life and death. When Baldur was slain, the gods sent Hermóðr to plead with her; Hel agreed to release Baldur only if all things in the world would weep for him — and when one giantess refused, Baldur remained in her realm until Ragnarök.</t>
        </is>
      </c>
      <c r="L44" t="inlineStr">
        <is>
          <t>The hidden world of roots, mycelium, and hibernating creatures, where the decay of autumn becomes the vital, resting compost of the underworld.</t>
        </is>
      </c>
      <c r="M44" t="inlineStr">
        <is>
          <t>CHRYSANTHEMUM</t>
        </is>
      </c>
      <c r="N44" t="inlineStr">
        <is>
          <t>House blessing</t>
        </is>
      </c>
      <c r="O44" t="inlineStr">
        <is>
          <t>CINNAMON STICKS</t>
        </is>
      </c>
      <c r="P44" t="inlineStr">
        <is>
          <t>Clairvoyance, Consecration, Divination, Energy, Good luck, Love, Money, Passion, Peace, Prosperity, Protection, Psychic development, Success, Communication, Happiness, Harmony, Healing, Inspiration, Knowledge, Meditation, Purification, Spirituality, Tranquillity, Wisdom</t>
        </is>
      </c>
      <c r="Q44" t="inlineStr">
        <is>
          <t>EYEBRIGHT</t>
        </is>
      </c>
      <c r="R44" t="inlineStr">
        <is>
          <t>Prophetic dreams, Seeing the unseen, Clarity, Removing deception, Rising above difficulty, Thanksgiving rituals, Joyous celebrations, Offerings of thanksgiving</t>
        </is>
      </c>
      <c r="S44" t="inlineStr">
        <is>
          <t>OAKBARK RED</t>
        </is>
      </c>
      <c r="T44" t="inlineStr">
        <is>
          <t>Truth, Steadfast knowledge, Protection, Vitality, Long life, Healing, Grounding, Focus, Observation, Intuition, Bravery, Presence, Leadership skills, Prosperity, Strength, Psychic development, Rest, Sleep</t>
        </is>
      </c>
      <c r="U44" t="inlineStr">
        <is>
          <t>OAKLEAF</t>
        </is>
      </c>
      <c r="V44" t="inlineStr">
        <is>
          <t>Purification, Cleansing body and spirit, Aiding recovery, Protection from evil, Keeping illness away</t>
        </is>
      </c>
      <c r="W44" t="inlineStr">
        <is>
          <t>WINTERGREEN</t>
        </is>
      </c>
      <c r="X44" t="inlineStr">
        <is>
          <t>Protection, healing, and dowsing/divination. Witch hazel branches are the traditional wood for dowsing rods used to find water and lost objects. Used to protect against hexes and curses. Add to healing sachets for skin-related complaints. The bark is used in wand-making for dowsing wands. Carry to mend a broken heart.</t>
        </is>
      </c>
      <c r="BC44" t="inlineStr">
        <is>
          <t>HEL</t>
        </is>
      </c>
    </row>
    <row r="45">
      <c r="A45" t="inlineStr">
        <is>
          <t>HYGIA</t>
        </is>
      </c>
      <c r="B45" t="inlineStr">
        <is>
          <t>Deity</t>
        </is>
      </c>
      <c r="C45" t="inlineStr">
        <is>
          <t>Feminine</t>
        </is>
      </c>
      <c r="D45" t="inlineStr">
        <is>
          <t>Water</t>
        </is>
      </c>
      <c r="E45" t="inlineStr">
        <is>
          <t>Mercury</t>
        </is>
      </c>
      <c r="F45" t="inlineStr">
        <is>
          <t>Wednesday</t>
        </is>
      </c>
      <c r="G45" t="inlineStr">
        <is>
          <t>All Seasons</t>
        </is>
      </c>
      <c r="H45" t="inlineStr">
        <is>
          <t>Dispelling sickness, Healing, Purification, Cleansing, Strength, Protection,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Protective charm, Protective charms, Protective wreaths, Protective incense, PROTECT AGAINST NEGATIVITY, Protection from negativity, Circle protection</t>
        </is>
      </c>
      <c r="I45" t="inlineStr">
        <is>
          <t>Yarrow, Mint</t>
        </is>
      </c>
      <c r="J45" t="inlineStr">
        <is>
          <t>Roman goddess of the beginnings of the year.</t>
        </is>
      </c>
      <c r="K45" t="inlineStr">
        <is>
          <t>Greek and Roman goddess of health, cleanliness, and prevention of disease, whose magic was the sacred discipline of pure water, correct diet, and ritual hygiene. Daughter of Asclepius, she appears in temple art feeding a great serpent from a bowl — the Hygieia bowl that became the symbol of pharmacy worldwide. Her name gave us the word 'hygiene'. Her power was not the healing of illness but its prevention through living in right relationship with the body and its natural environment.</t>
        </is>
      </c>
      <c r="L45" t="inlineStr">
        <is>
          <t>The clear, unpolluted mountain stream filtering through rocks and sand, carrying the pure, restorative magic of clean water to the thirsty valleys below.</t>
        </is>
      </c>
      <c r="M45" t="inlineStr">
        <is>
          <t>YARROW</t>
        </is>
      </c>
      <c r="N45" t="inlineStr">
        <is>
          <t>Divination, love spells, contacting a specific person, prophetic dreams, psychic communication, cleansing the aura, divination tea. Used as a charm for pregnant women. Strewn across thresholds to prevent unhelpful spirits from entering. Used in sachets for love, courage, communication and psychic abilities.</t>
        </is>
      </c>
      <c r="BC45" t="inlineStr">
        <is>
          <t>HYGIA</t>
        </is>
      </c>
    </row>
    <row r="46">
      <c r="A46" t="inlineStr">
        <is>
          <t>ISIS</t>
        </is>
      </c>
      <c r="B46" t="inlineStr">
        <is>
          <t>Deity</t>
        </is>
      </c>
      <c r="C46" t="inlineStr">
        <is>
          <t>Feminine</t>
        </is>
      </c>
      <c r="D46" t="inlineStr">
        <is>
          <t>Water/Earth</t>
        </is>
      </c>
      <c r="E46" t="inlineStr">
        <is>
          <t>Moon</t>
        </is>
      </c>
      <c r="F46" t="inlineStr">
        <is>
          <t>Monday</t>
        </is>
      </c>
      <c r="G46" t="inlineStr">
        <is>
          <t>All Seasons</t>
        </is>
      </c>
      <c r="H46" t="inlineStr">
        <is>
          <t>New beginnings, Fruitfulness, Protection, Protection (hexes/evil), Spirit offerings, Mabon/Samhain, Samhain/ancestral altars, Banishing, Increasing wealth, Dispelling sickness, Warding, Contacting planes, Harmony, Prosperity, Fertility,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Healing magic, Healing spells, Healing sachets, Healing incenses, Healing mixtures, Healing rituals, Healing incense, Healing vibrations, healing after surgery, Aiding recovery, Aiding the ill, Improving health, Speeding recovery, Good health, health</t>
        </is>
      </c>
      <c r="I46" t="inlineStr">
        <is>
          <t>Rose, Myrrh, Lotus</t>
        </is>
      </c>
      <c r="J46" t="inlineStr">
        <is>
          <t>Roman goddess of springs and wells.</t>
        </is>
      </c>
      <c r="K46" t="inlineStr">
        <is>
          <t>The greatest magician of the Egyptian pantheon, whose power surpassed even that of Ra. She tricked Ra into revealing his secret name — the source of all his power — by fashioning a serpent from his own saliva mixed with earth, which bit him, and then offering her healing only in exchange for his true name. She resurrected Osiris from scattered pieces, fashioned a golden phallus to conceive Horus, and shielded her child from Set's agents using protective magic and medicinal herbs. Her wings could generate the breath of life itself.</t>
        </is>
      </c>
      <c r="L46" t="inlineStr">
        <is>
          <t>The annual, magical flooding of the great river, depositing dark, mineral-rich silt onto the banks to ensure the survival of the lotus flower and the crops.</t>
        </is>
      </c>
      <c r="M46" t="inlineStr">
        <is>
          <t>DEVILS CLAW ROOT</t>
        </is>
      </c>
      <c r="N46" t="inlineStr">
        <is>
          <t>Exorcism, Purification, Cleansing the home, Casting circles, Removing residual energies, Protection, Amulets/talismans, Do, way protection, Protective charms</t>
        </is>
      </c>
      <c r="O46" t="inlineStr">
        <is>
          <t>MYRRH GUM</t>
        </is>
      </c>
      <c r="P46" t="inlineStr">
        <is>
          <t>Purification, Lifting vibrations, Contemplation, Meditation, Peace, Increasing power of incense, Healing incenses, Healing sachets, Consecration, Blessing objects, Protection, Guarding against evil, Understanding sorrow, Comforting grief, Hex breaking, Banishing pesky spirits, Banishing unwanted energies, Protection of the home</t>
        </is>
      </c>
      <c r="Q46" t="inlineStr">
        <is>
          <t>MYRRH GUM POWDER</t>
        </is>
      </c>
      <c r="R46" t="inlineStr">
        <is>
          <t>Purification, protection, healing, meditation, and funerary rites. One of the most ancient and sacred of all magical resins. Burn to consecrate ritual space and sacred tools. Use in healing incense and protection blends. Add to anointing oils for spiritual work. Combine with frankincense for the classic sacred temple blend.</t>
        </is>
      </c>
      <c r="S46" t="inlineStr">
        <is>
          <t>SWEET MYRRH</t>
        </is>
      </c>
      <c r="T46" t="inlineStr">
        <is>
          <t>Purification, Lifting vibrations, Contemplation, Meditation, Peace, Increasing power of incense, Healing incenses, Healing sachets, Consecration, Blessing objects, Protection, Guarding against evil, Underst, Bolstering spells, row</t>
        </is>
      </c>
      <c r="U46" t="inlineStr">
        <is>
          <t>ROSE BUDS PINK</t>
        </is>
      </c>
      <c r="V46" t="inlineStr">
        <is>
          <t>Love, Friendship, Power, Healing, Divination, Romantic love ceremonies</t>
        </is>
      </c>
      <c r="W46" t="inlineStr">
        <is>
          <t>ROSE BUDS RED</t>
        </is>
      </c>
      <c r="X46" t="inlineStr">
        <is>
          <t>Prophetic dreams, Healing, Health, Calming stress, Calming household upheaval, Love, Luck, Creativity, Balance, Anointing, Divination, Clairvoyance, Protection, Psychic awareness, Conjuring a lover</t>
        </is>
      </c>
      <c r="Y46" t="inlineStr">
        <is>
          <t>Carnelian</t>
        </is>
      </c>
      <c r="Z46" t="inlineStr">
        <is>
          <t>Happiness, Protection, energy, easing depression, promoting self-confidence, Peace, concentration, focus, Attraction, sexuality, Love, Healing, courage.</t>
        </is>
      </c>
      <c r="AA46" t="inlineStr">
        <is>
          <t>Garnet</t>
        </is>
      </c>
      <c r="AB46" t="inlineStr">
        <is>
          <t>Healing, cheery disposition, Confidence, Love, business success, past life regression, consistency of love &amp; friendship, travel protection, Happiness, Peace, Harmony, patience, inspiration, persistence, wisdom, fertility.</t>
        </is>
      </c>
      <c r="AG46" t="inlineStr">
        <is>
          <t>Rosemary</t>
        </is>
      </c>
      <c r="AH46" t="inlineStr">
        <is>
          <t>Healing, Love, Protection, Purification</t>
        </is>
      </c>
      <c r="AI46" t="inlineStr">
        <is>
          <t>Sandalwood w.i.</t>
        </is>
      </c>
      <c r="AJ46" t="inlineStr">
        <is>
          <t>Protection, EXC, SISM</t>
        </is>
      </c>
      <c r="AK46" t="inlineStr">
        <is>
          <t>Sandalwood In.</t>
        </is>
      </c>
      <c r="AL46" t="inlineStr">
        <is>
          <t>WISHES, PSYCHIC POWERS</t>
        </is>
      </c>
      <c r="BA46" t="inlineStr">
        <is>
          <t>Carnelian, Garnet</t>
        </is>
      </c>
      <c r="BB46" t="inlineStr">
        <is>
          <t>Rosemary, Sandalwood w.i., Sandalwood In.</t>
        </is>
      </c>
      <c r="BC46" t="inlineStr">
        <is>
          <t>ISIS</t>
        </is>
      </c>
    </row>
    <row r="47">
      <c r="A47" t="inlineStr">
        <is>
          <t>JANA</t>
        </is>
      </c>
      <c r="B47" t="inlineStr">
        <is>
          <t>Deity</t>
        </is>
      </c>
      <c r="C47" t="inlineStr">
        <is>
          <t>Feminine</t>
        </is>
      </c>
      <c r="D47" t="inlineStr">
        <is>
          <t>Air/Earth</t>
        </is>
      </c>
      <c r="E47" t="inlineStr">
        <is>
          <t>Mercury</t>
        </is>
      </c>
      <c r="F47" t="inlineStr">
        <is>
          <t>Wednesday</t>
        </is>
      </c>
      <c r="G47" t="inlineStr">
        <is>
          <t>All Seasons</t>
        </is>
      </c>
      <c r="H47" t="inlineStr">
        <is>
          <t>New beginnings, Spirit offerings, Mabon/Samhain, Samhain/ancestral altars, Love rituals, Love, Aphrodisiac, Contacting planes,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Attracting a mate, Attracting a soulmate, Conjuring a lover, HELP ATTRACT OPPOSITE SEX, Finding future love</t>
        </is>
      </c>
      <c r="I47" t="inlineStr">
        <is>
          <t>Lemon Balm</t>
        </is>
      </c>
      <c r="J47" t="inlineStr">
        <is>
          <t>Chinese bodhisattva of compassion.</t>
        </is>
      </c>
      <c r="K47" t="inlineStr">
        <is>
          <t>A Roman and Italian spirit of thresholds, secret doorways, and hidden passages through the forest. As the feminine companion of Janus — god of beginnings and doorways — Jana holds the key to invisible openings: the places where worlds meet, where the mortal slips into the magical. She guards the doors to sacred groves, initiations, and the otherworld, and her magic is the art of liminal transition — the power of the one who knows when and how to cross over.</t>
        </is>
      </c>
      <c r="L47" t="inlineStr">
        <is>
          <t>The guardian of the forest's secret doors, found only in the deep woods where two ancient oak trees intertwine their branches to form a natural, leafy archway.</t>
        </is>
      </c>
      <c r="M47" t="inlineStr">
        <is>
          <t>LEMON BALM</t>
        </is>
      </c>
      <c r="N47" t="inlineStr">
        <is>
          <t>Not specified</t>
        </is>
      </c>
      <c r="O47" t="inlineStr">
        <is>
          <t>LEMON VERBENA</t>
        </is>
      </c>
      <c r="P47" t="inlineStr">
        <is>
          <t>Breaking bad habits, Purifying body and mind, Cleansing space, Removing negative energy, Inner child connection, Creativity, Earth festivals, Love philtres, Sacred union rites, Astral travel, Prophetic dreams</t>
        </is>
      </c>
      <c r="BC47" t="inlineStr">
        <is>
          <t>JANA</t>
        </is>
      </c>
    </row>
    <row r="48">
      <c r="A48" t="inlineStr">
        <is>
          <t>JUPITER</t>
        </is>
      </c>
      <c r="B48" t="inlineStr">
        <is>
          <t>Deity</t>
        </is>
      </c>
      <c r="C48" t="inlineStr">
        <is>
          <t>Masculine</t>
        </is>
      </c>
      <c r="D48" t="inlineStr">
        <is>
          <t>Air/Fire</t>
        </is>
      </c>
      <c r="E48" t="inlineStr">
        <is>
          <t>Jupiter</t>
        </is>
      </c>
      <c r="F48" t="inlineStr">
        <is>
          <t>Thursday</t>
        </is>
      </c>
      <c r="G48" t="inlineStr">
        <is>
          <t>Summer</t>
        </is>
      </c>
      <c r="H48" t="inlineStr">
        <is>
          <t>New beginnings, Sun God offerings, Luck, Love rituals, Love, Aphrodisiac, Harmony, Happiness,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Joy, Joyous celebrations, Contentment, Attracting a mate, Attracting a soulmate, Conjuring a lover, HELP ATTRACT OPPOSITE SEX, Finding future love</t>
        </is>
      </c>
      <c r="I48" t="inlineStr">
        <is>
          <t>Oak, Clove, Sage</t>
        </is>
      </c>
      <c r="J48" t="inlineStr">
        <is>
          <t>Combined figure of compassion and enlightenment.</t>
        </is>
      </c>
      <c r="K48" t="inlineStr">
        <is>
          <t>King of the Roman gods whose primary magic was the thunderbolt — the direct expression of divine will striking the earth. He sent lightning as omens, messages, and punishment; Roman haruspices read the meaning of every strike. He held power over oaths — any oath sworn by Jupiter was absolutely binding, and its violation brought divine retribution. He controlled rain, storms, and the boundaries of the sky, and his eagle carried prayers to the heavens and brought back his sacred judgements to the mortal world.</t>
        </is>
      </c>
      <c r="L48" t="inlineStr">
        <is>
          <t>The massive, rolling storms that bring life-saving downpours to drought-stricken lands, punctuated by the sudden strike of lightning that fixes nitrogen directly into the soil.</t>
        </is>
      </c>
      <c r="M48" t="inlineStr">
        <is>
          <t>SAGE</t>
        </is>
      </c>
      <c r="N48" t="inlineStr">
        <is>
          <t>Cleansing, Consecration, Psychic protection, Purification, Healing, Longevity, Money, Passion, Wisdom, Prosperity, Love, Psychic development, Clairvoyance, Meditation, Peace, Tranquillity, Knowledge, Divination, Domestic harmony, Energy, Happiness, Inspiration, Keeping secrets, Mabon rituals, Samhain rituals, Weddings, Hand-fastings</t>
        </is>
      </c>
      <c r="O48" t="inlineStr">
        <is>
          <t>CLOVES</t>
        </is>
      </c>
      <c r="P48" t="inlineStr">
        <is>
          <t>Clairvoyance, Divination, Exorcism, Keeping away negative forces, Love, Memory, Money, Passion, Peace of mind, Protection, Psychic protection, Purification, Stopping gossip, Cleansing, Friendship, Psychic development, Release, Spell-breaking</t>
        </is>
      </c>
      <c r="Q48" t="inlineStr">
        <is>
          <t>DRAGON'S BLOOD</t>
        </is>
      </c>
      <c r="R48" t="inlineStr">
        <is>
          <t>Bolstering incense, Increasing spell power, Warding, Cleansing, Offertory incense, Consecration, Warding oil, Anointing, Dragon's blood ink, Talismans, Pacts and seals, Grimoire writing</t>
        </is>
      </c>
      <c r="S48" t="inlineStr">
        <is>
          <t>DRAGON'S BLOOD RESIN</t>
        </is>
      </c>
      <c r="T48" t="inlineStr">
        <is>
          <t>Power amplification, protection, love, banishing, and potency spells. Add to any magical working to dramatically increase its power. Burn as incense to cleanse and charge the ritual space. Used in love spells to create intense passion. Write wishes on paper and burn with dragon's blood for manifestation. Excellent for purification and banishing rituals.</t>
        </is>
      </c>
      <c r="U48" t="inlineStr">
        <is>
          <t>HYSSOP</t>
        </is>
      </c>
      <c r="V48" t="inlineStr">
        <is>
          <t>Purification, Self-defence, Protection, Sweeping sacred spaces, Cleansing objects, Home protection, Mind protection, Body protection, Dragon energy, Incense burning</t>
        </is>
      </c>
      <c r="W48" t="inlineStr">
        <is>
          <t>JUNIPER BERRIES</t>
        </is>
      </c>
      <c r="X48" t="inlineStr">
        <is>
          <t>Anti-theft, Love, Exorcism, Health, Purification, Protection, Potency, Psychic powers, Attracting love</t>
        </is>
      </c>
      <c r="Y48" t="inlineStr">
        <is>
          <t>Amethyst</t>
        </is>
      </c>
      <c r="Z48"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A48" t="inlineStr">
        <is>
          <t>Iolite</t>
        </is>
      </c>
      <c r="AB48" t="inlineStr">
        <is>
          <t>Truth, Peace, psychic ability, curiosity, spiritual growth, leadership.</t>
        </is>
      </c>
      <c r="AC48" t="inlineStr">
        <is>
          <t>Lepidolite</t>
        </is>
      </c>
      <c r="AD48" t="inlineStr">
        <is>
          <t>Serenity, Peace, stress relief, unity of the mind, heart, transitions, New beginnings, overcoming dependencies, addictions, objectivity, clear communication, acceptance of life's inevitable changes.</t>
        </is>
      </c>
      <c r="AE48" t="inlineStr">
        <is>
          <t>Sodalite</t>
        </is>
      </c>
      <c r="AF48" t="inlineStr">
        <is>
          <t>Alleviates fears, clears the mind, calms inner conflict, Truth, stress relief, Peace, Harmony, wisdom, relaxation, communication, dispels guilt, merges logic, spirituality, creates emotional balance, learning, perception, creativity, Divination, eliminates confusion.</t>
        </is>
      </c>
      <c r="AG48" t="inlineStr">
        <is>
          <t>Clove Bud</t>
        </is>
      </c>
      <c r="AH48" t="inlineStr">
        <is>
          <t>Love, Prosperity, Protection, HELP ATTRACT OPPOSITE SEX, Purification</t>
        </is>
      </c>
      <c r="AI48" t="inlineStr">
        <is>
          <t>Juniper</t>
        </is>
      </c>
      <c r="AJ48" t="inlineStr">
        <is>
          <t>AID MEDITATION, Healing, Love, Protection</t>
        </is>
      </c>
      <c r="AK48" t="inlineStr">
        <is>
          <t>Cinnamon</t>
        </is>
      </c>
      <c r="AL48" t="inlineStr">
        <is>
          <t>Love, Prosperity, Protection, HELP ATTRACT OPPOSITE SEX, Purification</t>
        </is>
      </c>
      <c r="BA48" t="inlineStr">
        <is>
          <t>Amethyst, Iolite, Lepidolite, Sodalite</t>
        </is>
      </c>
      <c r="BB48" t="inlineStr">
        <is>
          <t>Clove Bud, Juniper, Cinnamon</t>
        </is>
      </c>
      <c r="BC48" t="inlineStr">
        <is>
          <t>JUPITER</t>
        </is>
      </c>
    </row>
    <row r="49">
      <c r="A49" t="inlineStr">
        <is>
          <t>JUTERNA</t>
        </is>
      </c>
      <c r="B49" t="inlineStr">
        <is>
          <t>Deity</t>
        </is>
      </c>
      <c r="C49" t="inlineStr">
        <is>
          <t>Feminine</t>
        </is>
      </c>
      <c r="D49" t="inlineStr">
        <is>
          <t>Water</t>
        </is>
      </c>
      <c r="E49" t="inlineStr">
        <is>
          <t>Moon</t>
        </is>
      </c>
      <c r="F49" t="inlineStr">
        <is>
          <t>Monday</t>
        </is>
      </c>
      <c r="G49" t="inlineStr">
        <is>
          <t>All Seasons</t>
        </is>
      </c>
      <c r="H49" t="inlineStr">
        <is>
          <t>Dispelling sickness, Healing, Purification, Cleansing, Peace, Harmony, Prophetic dreams,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Invoking dreams, Dream work, Dreams, Visions, Seeing the unseen, Seeing manifestations, Truth, Honesty, Removing deception, Subconscious work, Digging into the subconscious, Uprooting what is hidden, Scrying, Dowsing, Treasure seeking, Lost object finding</t>
        </is>
      </c>
      <c r="I49" t="inlineStr">
        <is>
          <t>Mint, Water Lily</t>
        </is>
      </c>
      <c r="J49" t="inlineStr">
        <is>
          <t>Norse trickster and god of mischief.</t>
        </is>
      </c>
      <c r="K49" t="inlineStr">
        <is>
          <t>A variant spelling of Juturna — Roman goddess of springs, fountains, and healing waters. Her sacred spring in the Roman Forum was the primary source of water for the earliest Romans, its waters used ritually by the Vestal Virgins. She could appear anywhere water flowed, and her power was the magic of divine intervention through fluidity — the ability to change course, find new paths, and sustain life where it seems impossible. Castor and Pollux were said to have watered their horses at her spring after bringing news of the Roman victory at Lake Regillus.</t>
        </is>
      </c>
      <c r="L49" t="inlineStr">
        <is>
          <t>The bubbling, sacred springs surrounded by fragrant water mint and crisp watercress, offering cool, healing draughts to the wildlife of the woods.</t>
        </is>
      </c>
      <c r="BC49" t="inlineStr">
        <is>
          <t>JUTERNA</t>
        </is>
      </c>
    </row>
    <row r="50">
      <c r="A50" t="inlineStr">
        <is>
          <t>KWAI-YIN</t>
        </is>
      </c>
      <c r="B50" t="inlineStr">
        <is>
          <t>Deity</t>
        </is>
      </c>
      <c r="C50" t="inlineStr">
        <is>
          <t>Feminine</t>
        </is>
      </c>
      <c r="D50" t="inlineStr">
        <is>
          <t>Water</t>
        </is>
      </c>
      <c r="E50" t="inlineStr">
        <is>
          <t>Moon</t>
        </is>
      </c>
      <c r="F50" t="inlineStr">
        <is>
          <t>Monday</t>
        </is>
      </c>
      <c r="G50" t="inlineStr">
        <is>
          <t>All Seasons</t>
        </is>
      </c>
      <c r="H50" t="inlineStr">
        <is>
          <t>Divination, Prophetic dreams, Love rituals, Star magick, Love, Aphrodisiac, Dispelling sickness, Harmony, Peace, Clairvoyance, Attraction, Healing, Love spells,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t>
        </is>
      </c>
      <c r="I50" t="inlineStr">
        <is>
          <t>Lotus</t>
        </is>
      </c>
      <c r="J50" t="inlineStr">
        <is>
          <t>Personification of the moon.</t>
        </is>
      </c>
      <c r="K50" t="inlineStr">
        <is>
          <t>A variant of Kuan Yin (Guanyin) — the Chinese bodhisattva of infinite compassion who hears the cries of all beings. Originally the male Indian bodhisattva Avalokiteśvara, she transformed over centuries in East Asia into the quintessential goddess of mercy. She holds a vase of pure water (representing purification and healing) and a willow branch (for dispelling evil). She is said to appear to those in desperate need in whatever form will help most — as a fisherman, a monk, a beautiful woman — her magic being the endless capacity for transformative compassion.</t>
        </is>
      </c>
      <c r="L50" t="inlineStr">
        <is>
          <t>The gentle weeping willow dipping its branches into the calm pond, absorbing the sorrows of the world and transforming them into quiet, green peace.</t>
        </is>
      </c>
      <c r="BC50" t="inlineStr">
        <is>
          <t>KWAI-YIN</t>
        </is>
      </c>
    </row>
    <row r="51">
      <c r="A51" t="inlineStr">
        <is>
          <t>KWAN-YIN AND BUDDHA</t>
        </is>
      </c>
      <c r="B51" t="inlineStr">
        <is>
          <t>Deity</t>
        </is>
      </c>
      <c r="C51" t="inlineStr">
        <is>
          <t>Both</t>
        </is>
      </c>
      <c r="D51" t="inlineStr">
        <is>
          <t>Water/Air</t>
        </is>
      </c>
      <c r="E51" t="inlineStr">
        <is>
          <t>Moon/Mercury</t>
        </is>
      </c>
      <c r="F51" t="inlineStr">
        <is>
          <t>Wednesday</t>
        </is>
      </c>
      <c r="G51" t="inlineStr">
        <is>
          <t>All Seasons</t>
        </is>
      </c>
      <c r="H51" t="inlineStr">
        <is>
          <t>Protection (hexes/evil), Love, Attraction, Healing, Love spells, Sun God offerings, Luck, Love rituals, Aphrodisiac, Dispelling sickness, New beginnings, Confidence, Mabon/Samhain, Samhain/ancestral altars, Contacting planes, Strength, Protection, Spirit offerings, Banishing, Warding, Harmony, Happiness,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Attracting a mate, Attracting a soulmate, Conjuring a lover, HELP ATTRACT OPPOSITE SEX, Finding future love, Healing magic, Healing spells, Healing sachets, Healing incenses, Healing mixtures, Healing rituals, Healing incense, Healing vibrations, healing after surgery, Aiding recovery, Aiding the ill, Improving health, Speeding recovery, Good health, health,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Physical Strength, Fortitude, Vitality, Inner power, and strength,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Joy, Joyous celebrations, Contentment</t>
        </is>
      </c>
      <c r="I51" t="inlineStr">
        <is>
          <t>Lotus, Amulets/talismans, alwood</t>
        </is>
      </c>
      <c r="J51" t="inlineStr">
        <is>
          <t>Roman mother of Diana.</t>
        </is>
      </c>
      <c r="K51" t="inlineStr">
        <is>
          <t>Together they represent the twin pillars of Buddhist spiritual power: compassion (karuna) and wisdom (prajna). Kwan Yin's compassion reaches toward all suffering beings with unconditional tenderness; Buddha's wisdom sees through all illusion to the nature of reality. Their combined magic dissolves both the suffering caused by attachment and the ignorance that sustains it. In Chinese folk Buddhism they are often invoked together for healing, protection, and the liberation of souls from lower realms.</t>
        </is>
      </c>
      <c r="L51" t="inlineStr">
        <is>
          <t>The lotus flower rising immaculately clean from the thick, muddy bottom of the swamp, symbolizing compassion and enlightenment grounded deeply in the earth.</t>
        </is>
      </c>
      <c r="BC51" t="inlineStr">
        <is>
          <t>KWAN-YIN AND BUDDHA</t>
        </is>
      </c>
    </row>
    <row r="52">
      <c r="A52" t="inlineStr">
        <is>
          <t>LATONA</t>
        </is>
      </c>
      <c r="B52" t="inlineStr">
        <is>
          <t>Deity</t>
        </is>
      </c>
      <c r="C52" t="inlineStr">
        <is>
          <t>Feminine</t>
        </is>
      </c>
      <c r="D52" t="inlineStr">
        <is>
          <t>Air/Earth</t>
        </is>
      </c>
      <c r="E52" t="inlineStr">
        <is>
          <t>Moon</t>
        </is>
      </c>
      <c r="F52" t="inlineStr">
        <is>
          <t>Monday</t>
        </is>
      </c>
      <c r="G52" t="inlineStr">
        <is>
          <t>Summer</t>
        </is>
      </c>
      <c r="H52" t="inlineStr">
        <is>
          <t>New beginnings, Strength, Confidence,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Physical Strength, Fortitude, Vitality, Inner power, and strength,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52" t="inlineStr">
        <is>
          <t>Bay Laurel</t>
        </is>
      </c>
      <c r="J52" t="inlineStr">
        <is>
          <t>Roman goddess of wisdom and strategic war.</t>
        </is>
      </c>
      <c r="K52" t="inlineStr">
        <is>
          <t>Roman name for Leto — the Titan goddess who bore Apollo and Artemis to Zeus. Her famous magical moment was the birth of her twin divine children on the floating island of Delos, the only land that dared harbour her after Hera forbade every fixed land from sheltering her. She gave birth clinging to a palm tree after nine days of labour. When the Lycian peasants refused to let her drink from their lake, she transformed them all into frogs. She is a goddess of motherhood, patient endurance, and the miraculous birth of divine gifts from suffering.</t>
        </is>
      </c>
      <c r="L52" t="inlineStr">
        <is>
          <t>The date palm and the olive tree that offered their sturdy trunks for support on the floating island, grounding her during a moment of profound, painful creation.</t>
        </is>
      </c>
      <c r="M52" t="inlineStr">
        <is>
          <t>BAY LAUREL</t>
        </is>
      </c>
      <c r="N52" t="inlineStr">
        <is>
          <t>Clairvoyance, Consecration, Divination, Dreams, Exorcism, Healing, Love, Passion, Protection, Psychic protection, Purification, Wisdom, Wishes, Winter rituals, Yule magic</t>
        </is>
      </c>
      <c r="BC52" t="inlineStr">
        <is>
          <t>LATONA</t>
        </is>
      </c>
    </row>
    <row r="53">
      <c r="A53" t="inlineStr">
        <is>
          <t>LOKI</t>
        </is>
      </c>
      <c r="B53" t="inlineStr">
        <is>
          <t>Deity</t>
        </is>
      </c>
      <c r="C53" t="inlineStr">
        <is>
          <t>Masculine</t>
        </is>
      </c>
      <c r="D53" t="inlineStr">
        <is>
          <t>Fire/Air</t>
        </is>
      </c>
      <c r="E53" t="inlineStr">
        <is>
          <t>Mercury</t>
        </is>
      </c>
      <c r="F53" t="inlineStr">
        <is>
          <t>Wednesday</t>
        </is>
      </c>
      <c r="G53" t="inlineStr">
        <is>
          <t>All Seasons</t>
        </is>
      </c>
      <c r="H53" t="inlineStr">
        <is>
          <t>New beginnings, Harmony, Transformation, Breaking habits, Magical power, Clairvoyance, Contacting planes, Breaking bad habits, Ending negative self-talk, Letting go of relationships, Ending guilt, Release, Renewal, New beginning spells, Fresh starts,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Increasing magical power, Increasing spell power, Power amplification, Bolstering spells, Bolstering incense, Strengthening spells, Potency, Power, Magic, WISDOM IN MAGICK, defensive magic, Enhancing clairvoyance, Psychic development, Psychic powers, INCREASE PSYCHIC ABILITIES, Psychic awareness, Stimulating psychic senses, Disabling psychic phenomena, Psychic communication, communication and psychic abilities,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53" t="inlineStr">
        <is>
          <t>Mistletoe</t>
        </is>
      </c>
      <c r="J53" t="inlineStr">
        <is>
          <t>Egyptian goddess of truth, balance, and order.</t>
        </is>
      </c>
      <c r="K53" t="inlineStr">
        <is>
          <t>Norse trickster god of fire, shape-shifting, and chaos whose magic was the most unpredictable in the Norse pantheon. He transformed into a mare to distract the magical stallion Svaðilfari, and later gave birth to Sleipnir, Odin's eight-legged horse. He helped the gods obtain Thor's hammer, the golden hair of Sif, and the walls of Asgard — then sabotaged half of it. He orchestrated the death of Baldur and was bound beneath the earth in punishment. His magic is the wild, necessary chaos that forces the world to change and renew itself.</t>
        </is>
      </c>
      <c r="L53" t="inlineStr">
        <is>
          <t>The sudden, unpredictable flash of a brushfire, chaotic and destructive, yet secretly necessary to germinate the fire-resistant seeds of the trickster forest.</t>
        </is>
      </c>
      <c r="M53" t="inlineStr">
        <is>
          <t>ANISE</t>
        </is>
      </c>
      <c r="N53" t="inlineStr">
        <is>
          <t>Contacting other planes, Divination, Love, Passion, Preventing nightmares, Protection, Psychic development, Psychic protection, Purification, Clairvoyance, Cleansing, Consecration, Fertility, Gain, Good luck, Happiness, Money, Weddings</t>
        </is>
      </c>
      <c r="O53" t="inlineStr">
        <is>
          <t>THYME</t>
        </is>
      </c>
      <c r="P53"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t>
        </is>
      </c>
      <c r="Y53" t="inlineStr">
        <is>
          <t>agate Blue Lace</t>
        </is>
      </c>
      <c r="Z53" t="inlineStr">
        <is>
          <t>Peace, patience, Happiness, warmth, gentleness, domestic harmony, tenderness</t>
        </is>
      </c>
      <c r="AA53" t="inlineStr">
        <is>
          <t>agate Botswana</t>
        </is>
      </c>
      <c r="AB53" t="inlineStr">
        <is>
          <t>Energy of growth, expansion, New beginnings, nourishment, health. It enhances vitality, brings abundance, keeps us growing physically.</t>
        </is>
      </c>
      <c r="AC53" t="inlineStr">
        <is>
          <t>agate Moss</t>
        </is>
      </c>
      <c r="AD53" t="inlineStr">
        <is>
          <t>Peace, patience, Happiness, warmth, gentleness, domestic harmony, tenderness</t>
        </is>
      </c>
      <c r="AE53" t="inlineStr">
        <is>
          <t>Aventurine</t>
        </is>
      </c>
      <c r="AF53" t="inlineStr">
        <is>
          <t>Creativity, motivation, inner peace, business success, intellect, perception, soothing emotions, heartache, clarity, imagination, independence, Happiness, sexuality, Strength, Prosperity, romance.</t>
        </is>
      </c>
      <c r="AG53" t="inlineStr">
        <is>
          <t>Thyme</t>
        </is>
      </c>
      <c r="AH53" t="inlineStr">
        <is>
          <t>Healing, Love, Purification, Confidence</t>
        </is>
      </c>
      <c r="AO53" t="inlineStr">
        <is>
          <t>ANSUZ</t>
        </is>
      </c>
      <c r="AP53" t="inlineStr">
        <is>
          <t>A</t>
        </is>
      </c>
      <c r="AQ53" t="inlineStr">
        <is>
          <t>Divination, Prophetic dreams, Communication, Wisdom, Clairvoyance, Star magick, Truth</t>
        </is>
      </c>
      <c r="BA53" t="inlineStr">
        <is>
          <t>agate Blue Lace, agate Botswana, agate Moss, Aventurine, Sugilite</t>
        </is>
      </c>
      <c r="BB53" t="inlineStr">
        <is>
          <t>Thyme</t>
        </is>
      </c>
      <c r="BC53" t="inlineStr">
        <is>
          <t>LOKI</t>
        </is>
      </c>
    </row>
    <row r="54">
      <c r="A54" t="inlineStr">
        <is>
          <t>LUNA</t>
        </is>
      </c>
      <c r="B54" t="inlineStr">
        <is>
          <t>Deity</t>
        </is>
      </c>
      <c r="C54" t="inlineStr">
        <is>
          <t>Feminine</t>
        </is>
      </c>
      <c r="D54" t="inlineStr">
        <is>
          <t>Water</t>
        </is>
      </c>
      <c r="E54" t="inlineStr">
        <is>
          <t>Moon</t>
        </is>
      </c>
      <c r="F54" t="inlineStr">
        <is>
          <t>Monday</t>
        </is>
      </c>
      <c r="G54" t="inlineStr">
        <is>
          <t>All Seasons</t>
        </is>
      </c>
      <c r="H54" t="inlineStr">
        <is>
          <t>Divination, Prophetic dreams, Sun God offerings, Luck, Protection, Protection (hexes/evil), Love rituals, Star magick, Love, Aphrodisiac, Banishing, Warding, Happiness, Clairvoyance, Attraction, Love spells,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Aphrodisiac tea, Sensuality, Lust, Lust/Sex, Passionate love-making, LOVING &amp; LUSTFUL ENERGIES, SEX MAGIC, RAISE SEXUAL ENERGY, Sexual energy,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Joy, Joyous celebrations, Contentment,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54" t="inlineStr">
        <is>
          <t>Jasmine, Moonflower</t>
        </is>
      </c>
      <c r="J54" t="inlineStr">
        <is>
          <t>Hawaiian goddess of volcanoes and fire.</t>
        </is>
      </c>
      <c r="K54" t="inlineStr">
        <is>
          <t>Roman personification of the moon, driving her silver chariot pulled by white horses across the night sky. She was said to have loved the sleeping shepherd Endymion so deeply that she preserved him in eternal sleep on Mount Latmos so she could kiss him each night. Her magic governs the tides, the monthly female cycle, the moods of the mind, and the thinning of the veil between worlds. In Roman magic, spells were timed to her phases: waxing for increase and attraction, waning for banishing and release.</t>
        </is>
      </c>
      <c r="L54" t="inlineStr">
        <is>
          <t>The silvery dew resting delicately on the tips of blades of grass, catching the moonlight and providing essential moisture for the nocturnal insects.</t>
        </is>
      </c>
      <c r="M54" t="inlineStr">
        <is>
          <t>JASMINE</t>
        </is>
      </c>
      <c r="N54" t="inlineStr">
        <is>
          <t>Snakebite magic, Divination, Charging crystals, Spiritual love, Attracting a soulmate, Wealth, Money, Sleep, Prophetic dreams, New ideas</t>
        </is>
      </c>
      <c r="O54" t="inlineStr">
        <is>
          <t>GARDENIA FRUIT</t>
        </is>
      </c>
      <c r="P54" t="inlineStr">
        <is>
          <t>Attracting good spirits, Peaceful vibrations, Healing altars, Sick-room blessings</t>
        </is>
      </c>
      <c r="Q54" t="inlineStr">
        <is>
          <t>PINE NUT</t>
        </is>
      </c>
      <c r="R54" t="inlineStr">
        <is>
          <t>Strength, Life, Imm, tality, Rejuvenation, Prosperity, Purifying ritual areas, Purifying new homes, Staying the course, Warding off evil influences, Increasing fertility, Vig, ous old age, Cleansing negativity, Warding off illness, Protection, Purification, Divination, Keeping sickness away, Aiding the ill, Ensuring joy in the home, Banishing negative energies, Exorcism, cising evil entities, Attracting money, Breaking hexes, Returning hexes, Purifying the home, Fertility charms, Cleansing baths, Sanctifying outdo, ritual areas, Protection mixtures, Money mixtures, Healing mixtures</t>
        </is>
      </c>
      <c r="S54" t="inlineStr">
        <is>
          <t>SANDALWOOD RED</t>
        </is>
      </c>
      <c r="T54" t="inlineStr">
        <is>
          <t>Protection, Healing, Exorcism, Conjuring spirits, Spiritual vibrations, Full Moon rituals, Clearing negativity, Protection (beads), Spiritual awareness, Spirituality, Wishes, Warding negativity, Astral projection, Reincarnation, Spirit offering, Clairvoyance, Seeing past lives, Calming the mind</t>
        </is>
      </c>
      <c r="U54" t="inlineStr">
        <is>
          <t>SANDALWOOD WHITE</t>
        </is>
      </c>
      <c r="V54" t="inlineStr">
        <is>
          <t>Clairvoyance, Divination, Good luck, Meditation, Protection, Success, High spiritual vibrations, Conjuring spirits, Exorcising demons, Exorcising evil ghosts, Clearing negativity, Healing, Conjuring beneficial spirits, Spiritual awareness, Astral projection, Wish magick, Reincarnation, Spirit offering, Consecrating altar cloths</t>
        </is>
      </c>
      <c r="W54" t="inlineStr">
        <is>
          <t>WILLOW BARK</t>
        </is>
      </c>
      <c r="X54" t="inlineStr">
        <is>
          <t>Protection, healing, luck, and hex-breaking. Place wintergreen in the home to attract good fortune and protect against ill-wishing. Used in healing rituals, particularly for long-standing conditions. The refreshing scent is used to clear stale, negative energy from a space. Add to lucky sachets and charm bags for persistent good fortune.</t>
        </is>
      </c>
      <c r="Y54" t="inlineStr">
        <is>
          <t>Aquamarine</t>
        </is>
      </c>
      <c r="Z54" t="inlineStr">
        <is>
          <t>Psychism, Peace, Confidence, Purification</t>
        </is>
      </c>
      <c r="AA54" t="inlineStr">
        <is>
          <t>Calcite</t>
        </is>
      </c>
      <c r="AB54" t="inlineStr">
        <is>
          <t>Luck, Prosperity, problem resolution, gambling, Healing, creativity, business success, attracting love.</t>
        </is>
      </c>
      <c r="AC54" t="inlineStr">
        <is>
          <t>Howlite</t>
        </is>
      </c>
      <c r="AD54" t="inlineStr">
        <is>
          <t>Stress relief, anxiety, Peace, tension, artistic expression, creativity, eliminating selfishness, purity, spirituality  Patience, Peace &amp; Insomnia.</t>
        </is>
      </c>
      <c r="AE54" t="inlineStr">
        <is>
          <t>Jet</t>
        </is>
      </c>
      <c r="AF54" t="inlineStr">
        <is>
          <t>Purification, psychic protection, virility, control, Luck, Healing, Divination, protection from illness &amp; violence, guarding against nightmares.</t>
        </is>
      </c>
      <c r="AG54" t="inlineStr">
        <is>
          <t>Lemon</t>
        </is>
      </c>
      <c r="AH54" t="inlineStr">
        <is>
          <t>Purification, Love, FRIENDSHIP</t>
        </is>
      </c>
      <c r="AI54" t="inlineStr">
        <is>
          <t>Pine</t>
        </is>
      </c>
      <c r="AJ54" t="inlineStr">
        <is>
          <t>PROSPERITY SPELLS, Prosperity</t>
        </is>
      </c>
      <c r="AK54" t="inlineStr">
        <is>
          <t>Sandalwood w.i.</t>
        </is>
      </c>
      <c r="AL54" t="inlineStr">
        <is>
          <t>Protection, EXC, SISM</t>
        </is>
      </c>
      <c r="AM54" t="inlineStr">
        <is>
          <t>Sandalwood In.</t>
        </is>
      </c>
      <c r="AN54" t="inlineStr">
        <is>
          <t>WISHES, PSYCHIC POWERS</t>
        </is>
      </c>
      <c r="BA54" t="inlineStr">
        <is>
          <t>Aquamarine, Calcite, Howlite, Jet, quartz rutilated, quartz smokey, quartz snow</t>
        </is>
      </c>
      <c r="BB54" t="inlineStr">
        <is>
          <t>Lemon, Pine, Sandalwood w.i., Sandalwood In.</t>
        </is>
      </c>
      <c r="BC54" t="inlineStr">
        <is>
          <t>LUNA</t>
        </is>
      </c>
    </row>
    <row r="55">
      <c r="A55" t="inlineStr">
        <is>
          <t>MAAT</t>
        </is>
      </c>
      <c r="B55" t="inlineStr">
        <is>
          <t>Deity</t>
        </is>
      </c>
      <c r="C55" t="inlineStr">
        <is>
          <t>Feminine</t>
        </is>
      </c>
      <c r="D55" t="inlineStr">
        <is>
          <t>Air</t>
        </is>
      </c>
      <c r="E55" t="inlineStr">
        <is>
          <t>Sun</t>
        </is>
      </c>
      <c r="F55" t="inlineStr">
        <is>
          <t>Sunday</t>
        </is>
      </c>
      <c r="G55" t="inlineStr">
        <is>
          <t>All Seasons</t>
        </is>
      </c>
      <c r="H55" t="inlineStr">
        <is>
          <t>Sun God offerings, Confidence, Luck, Strength, Happiness,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Self-confidence, Courage,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Physical Strength, Fortitude, Vitality, Inner power, and strength, Joy, Joyous celebrations, Contentment</t>
        </is>
      </c>
      <c r="I55" t="inlineStr">
        <is>
          <t>Lotus, Cedar</t>
        </is>
      </c>
      <c r="J55" t="inlineStr">
        <is>
          <t>Roman god of war.</t>
        </is>
      </c>
      <c r="K55" t="inlineStr">
        <is>
          <t>Egyptian goddess of cosmic truth, justice, balance, and the divine order (ma'at) that held the universe together. Her magic was absolute: in the Hall of Two Truths, the heart of every dead person was weighed against her feather. A heart burdened with falsehood was devoured by Ammit; a heart as light as the feather passed into eternal life. Without her, the chaos of Isfet would undo creation. Every pharaoh ruled in her name, and every sunrise was Ra's daily renewal of her principle — the proof that the universe was still in order.</t>
        </is>
      </c>
      <c r="L55" t="inlineStr">
        <is>
          <t>The delicate, flawless balance of the ecosystem, where the predator, the prey, the sun, and the rain all exist in perfect, harmonious equilibrium.</t>
        </is>
      </c>
      <c r="BC55" t="inlineStr">
        <is>
          <t>MAAT</t>
        </is>
      </c>
    </row>
    <row r="56">
      <c r="A56" t="inlineStr">
        <is>
          <t>MADAME PELE</t>
        </is>
      </c>
      <c r="B56" t="inlineStr">
        <is>
          <t>Deity</t>
        </is>
      </c>
      <c r="C56" t="inlineStr">
        <is>
          <t>Feminine</t>
        </is>
      </c>
      <c r="D56" t="inlineStr">
        <is>
          <t>Fire/Earth</t>
        </is>
      </c>
      <c r="E56" t="inlineStr">
        <is>
          <t>Mars</t>
        </is>
      </c>
      <c r="F56" t="inlineStr">
        <is>
          <t>Tuesday</t>
        </is>
      </c>
      <c r="G56" t="inlineStr">
        <is>
          <t>Summer</t>
        </is>
      </c>
      <c r="H56" t="inlineStr">
        <is>
          <t>New beginnings, Spirit offerings, Mabon/Samhain, Samhain/ancestral altars, Contacting planes,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t>
        </is>
      </c>
      <c r="I56" t="inlineStr">
        <is>
          <t>Ginger, Hibiscus</t>
        </is>
      </c>
      <c r="J56" t="inlineStr">
        <is>
          <t>Historical/spiritual figure of devotion.</t>
        </is>
      </c>
      <c r="K56" t="inlineStr">
        <is>
          <t>Hawaiian goddess of volcanoes, fire, and creation who shapes the Hawaiian Islands through her eruptions. She is said to appear as a beautiful young woman, an old woman, or a white dog before a volcanic event. Anyone who disrespects the land or removes lava rocks is said to receive Pele's Curse — a trail of misfortune until the rocks are returned. She can be both destroyer and creator: as the lava flows, new land is born from the sea, making her the only deity who literally creates new earth in real time.</t>
        </is>
      </c>
      <c r="L56" t="inlineStr">
        <is>
          <t>The fiery, glowing lava that burns away the old vegetation, only to cool and break down into the richest, most fertile volcanic soil in the world.</t>
        </is>
      </c>
      <c r="M56" t="inlineStr">
        <is>
          <t>HIBISCUS</t>
        </is>
      </c>
      <c r="N56" t="inlineStr">
        <is>
          <t>Inviting love, Promoting fidelity, Passionate love-making</t>
        </is>
      </c>
      <c r="BC56" t="inlineStr">
        <is>
          <t>MADAME PELE</t>
        </is>
      </c>
    </row>
    <row r="57">
      <c r="A57" t="inlineStr">
        <is>
          <t>MARS</t>
        </is>
      </c>
      <c r="B57" t="inlineStr">
        <is>
          <t>Spiritual Figure</t>
        </is>
      </c>
      <c r="C57" t="inlineStr">
        <is>
          <t>Masculine</t>
        </is>
      </c>
      <c r="D57" t="inlineStr">
        <is>
          <t>Fire</t>
        </is>
      </c>
      <c r="E57" t="inlineStr">
        <is>
          <t>Mars</t>
        </is>
      </c>
      <c r="F57" t="inlineStr">
        <is>
          <t>Tuesday</t>
        </is>
      </c>
      <c r="G57" t="inlineStr">
        <is>
          <t>Spring/Summer</t>
        </is>
      </c>
      <c r="H57" t="inlineStr">
        <is>
          <t>Confidence, Protection, Protection (hexes/evil), Banishing, Warding, Strength, Self-confidence, Courage, Bravery, Determination, Will Power, Leadership, Leadership skills, Commanding, Personal power,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t>
        </is>
      </c>
      <c r="I57" t="inlineStr">
        <is>
          <t>Garlic, Nettle, Ginger</t>
        </is>
      </c>
      <c r="J57" t="inlineStr">
        <is>
          <t>Roman god of commerce and communication.</t>
        </is>
      </c>
      <c r="K57" t="inlineStr">
        <is>
          <t>Roman god of war whose magic included the ability to grant divine victory in battle and protect the city of Rome itself. The Ancilia — twelve sacred shields believed to have fallen from heaven during Numa's reign — were kept in Mars's temple and carried in procession each spring to renew Rome's sacred protection. His sacred animals were the wolf and the woodpecker; the wolf of Mars was said to have suckled Romulus and Remus. Before battle, Roman generals would rattle his sacred spear, saying 'Mars, wake up!'</t>
        </is>
      </c>
      <c r="L57" t="inlineStr">
        <is>
          <t>The sharp, defensive thorns of the wild blackberry bush, aggressively protecting its sweet, dark fruit and providing a safe, impenetrable harbor for small birds.</t>
        </is>
      </c>
      <c r="M57" t="inlineStr">
        <is>
          <t>NETTLE</t>
        </is>
      </c>
      <c r="N57" t="inlineStr">
        <is>
          <t>Protection, healing, lust, courage, and exorcism. Stuff a poppet with nettles to break curses and return them to the sender. Throw into a fire to avert danger. Carry in a charm bag for courage and to ward off fear. Sprinkle around the home to drive out negative presences. Use in healing spells for building strength and vitality.</t>
        </is>
      </c>
      <c r="O57" t="inlineStr">
        <is>
          <t>GARLIC POWDER</t>
        </is>
      </c>
      <c r="P57" t="inlineStr">
        <is>
          <t>Exorcism, Magic, Passion, Protection, Spell-breaking, Strength, Clairvoyance, Success, Commanding, Confidence, Consecration, Courage, Divination, Healing, Longevity, Money, Overcoming opposition, Purification, Preventing nightmares, Stopping gossip, Fair weather</t>
        </is>
      </c>
      <c r="Q57" t="inlineStr">
        <is>
          <t>NUTMEG POWDER</t>
        </is>
      </c>
      <c r="R57" t="inlineStr">
        <is>
          <t>Enhancing clairvoyance, Enhancing divination, Drawing money, Invoking dreams, Aiding fertility, Aiding gain, Love, Meditation, Passion, Prosperity</t>
        </is>
      </c>
      <c r="S57" t="inlineStr">
        <is>
          <t>PENNYROYAL</t>
        </is>
      </c>
      <c r="T57"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t>
        </is>
      </c>
      <c r="U57" t="inlineStr">
        <is>
          <t>VERVAIN</t>
        </is>
      </c>
      <c r="V57" t="inlineStr">
        <is>
          <t>Protection, Defending against spells, Warding off witches, Exorcising evil entities, Ju-ju / gris-gris protection, Protection for infants, Protection from negativity</t>
        </is>
      </c>
      <c r="W57" t="inlineStr">
        <is>
          <t>BLACK SALT</t>
        </is>
      </c>
      <c r="X57" t="inlineStr">
        <is>
          <t>Protection, Banishing, Purification, Warding, Removing hexes and curses, Absorbing negativity, Exorcism, Spirit work, Ancestor rituals, Binding, Samhain rituals</t>
        </is>
      </c>
      <c r="Y57" t="inlineStr">
        <is>
          <t>Bloodstone</t>
        </is>
      </c>
      <c r="Z57" t="inlineStr">
        <is>
          <t>Healing, Prosperity, Confidence, physical strength, stress relief, help in business, legal matters, revitalization, guidance, rain, ganization.</t>
        </is>
      </c>
      <c r="AA57" t="inlineStr">
        <is>
          <t>Pyrite (Fool's Gold)</t>
        </is>
      </c>
      <c r="AB57" t="inlineStr">
        <is>
          <t>Logic, clarity, mem, Clairvoyance, Prosperity, will power, grounding, Harmony, Strength</t>
        </is>
      </c>
      <c r="AC57" t="inlineStr">
        <is>
          <t>Red Jasper</t>
        </is>
      </c>
      <c r="AD57" t="inlineStr">
        <is>
          <t>Beauty, grace, increasing mental processes, Luck, easing pain of childbirth, Anti-theft, ming barrier against dangerous whims &amp; desires.</t>
        </is>
      </c>
      <c r="AE57" t="inlineStr">
        <is>
          <t>Rhodocrosite</t>
        </is>
      </c>
      <c r="AF57" t="inlineStr">
        <is>
          <t>Balancing, Healing, beauty, intelligence, divine love, energy, Peace, loneliness, comf, Amulets/talismans, meeting potential, Confidence, Contacting planes, compassion, friendship. Increases self confidence, self reliance, independence, the ability to provide f, yourself.</t>
        </is>
      </c>
      <c r="BA57" t="inlineStr">
        <is>
          <t>Bloodstone, Pyrite (Fool's Gold), Red Jasper, Rhodocrosite, Rhodonite, Ruby, Yellow Aventurine</t>
        </is>
      </c>
      <c r="BC57" t="inlineStr">
        <is>
          <t>MARS</t>
        </is>
      </c>
    </row>
    <row r="58">
      <c r="A58" t="inlineStr">
        <is>
          <t>MARY MAGDALENE</t>
        </is>
      </c>
      <c r="B58" t="inlineStr">
        <is>
          <t>Deity</t>
        </is>
      </c>
      <c r="C58" t="inlineStr">
        <is>
          <t>Feminine</t>
        </is>
      </c>
      <c r="D58" t="inlineStr">
        <is>
          <t>Water</t>
        </is>
      </c>
      <c r="E58" t="inlineStr">
        <is>
          <t>Venus</t>
        </is>
      </c>
      <c r="F58" t="inlineStr">
        <is>
          <t>Friday</t>
        </is>
      </c>
      <c r="G58" t="inlineStr">
        <is>
          <t>Spring</t>
        </is>
      </c>
      <c r="H58" t="inlineStr">
        <is>
          <t>New beginnings, Fruitfulness, Spirit offerings, Mabon/Samhain, Samhain/ancestral altars, Increasing wealth, Dispelling sickness, Contacting planes, Harmony, Prosperity, Fertility,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Healing magic, Healing spells, Healing sachets, Healing incenses, Healing mixtures, Healing rituals, Healing incense, Healing vibrations, healing after surgery, Aiding recovery, Aiding the ill, Improving health, Speeding recovery, Good health, health</t>
        </is>
      </c>
      <c r="I58" t="inlineStr">
        <is>
          <t>Rose, Spikenard</t>
        </is>
      </c>
      <c r="J58" t="inlineStr">
        <is>
          <t>Archetypal feminine source of life.</t>
        </is>
      </c>
      <c r="K58" t="inlineStr">
        <is>
          <t>Apostle to the apostles and the first witness to the Resurrection, Mary Magdalene carried from whom seven spirits had been cast out — transformed into the first and most devoted of Jesus's followers. In Gnostic texts she received the deepest, most secret spiritual teachings. In later legend she sailed to southern France, evangelised Provence, and spent her final years as a mystic hermit, levitated by angels seven times daily. Her sacred ointment — nard poured over Jesus's feet — made her the embodiment of the consecrated, healing power of devoted anointing.</t>
        </is>
      </c>
      <c r="L58" t="inlineStr">
        <is>
          <t>The aromatic nard and frankincense resins, harvested from the deep wounds of desert trees, used to anoint, heal, and honor the sacredness of the physical body.</t>
        </is>
      </c>
      <c r="M58" t="inlineStr">
        <is>
          <t>ST JOHN'S WORT</t>
        </is>
      </c>
      <c r="N58" t="inlineStr">
        <is>
          <t>Protection, divination, happiness, love, health, and strength. Hang above the door on Midsummer to protect the household through the dark half of the year. Burn to banish spirits and negative energies. Carry to detect magical attacks and protect against them. One of the most powerful protective herbs in the European tradition.</t>
        </is>
      </c>
      <c r="BC58" t="inlineStr">
        <is>
          <t>MARY MAGDALENE</t>
        </is>
      </c>
    </row>
    <row r="59">
      <c r="A59" t="inlineStr">
        <is>
          <t>MERCURY</t>
        </is>
      </c>
      <c r="B59" t="inlineStr">
        <is>
          <t>Archetype</t>
        </is>
      </c>
      <c r="C59" t="inlineStr">
        <is>
          <t>Masculine</t>
        </is>
      </c>
      <c r="D59" t="inlineStr">
        <is>
          <t>Air</t>
        </is>
      </c>
      <c r="E59" t="inlineStr">
        <is>
          <t>Mercury</t>
        </is>
      </c>
      <c r="F59" t="inlineStr">
        <is>
          <t>Wednesday</t>
        </is>
      </c>
      <c r="G59" t="inlineStr">
        <is>
          <t>All Seasons</t>
        </is>
      </c>
      <c r="H59" t="inlineStr">
        <is>
          <t>New beginnings, Spirit offerings, Mabon/Samhain, Samhain/ancestral altars, Contacting planes,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t>
        </is>
      </c>
      <c r="I59" t="inlineStr">
        <is>
          <t>Lavender, Dill, Anise</t>
        </is>
      </c>
      <c r="J59" t="inlineStr">
        <is>
          <t>Sumerian goddess of writing and agriculture.</t>
        </is>
      </c>
      <c r="K59" t="inlineStr">
        <is>
          <t>Roman god of communication, trade, and magic — the swift messenger of the gods whose winged sandals (talaria) and winged helmet (petasus) made him the fastest being in the cosmos. He escorted souls to the underworld (psychopomp), carried divine messages between realms, and was patron of thieves, merchants, and all those who live by their wits. His caduceus — a wand entwined with two serpents — was a tool of magical sleep and waking, capable of putting anyone to sleep or waking them at his will.</t>
        </is>
      </c>
      <c r="L59" t="inlineStr">
        <is>
          <t>The swift, darting swallows and the brisk wind carrying dandelion seeds across the meadow, spreading the messages and the pollen of the earth far and wide.</t>
        </is>
      </c>
      <c r="M59" t="inlineStr">
        <is>
          <t>DILL</t>
        </is>
      </c>
      <c r="N59" t="inlineStr">
        <is>
          <t>Love, Protection, Psychic protection, Blessings, Confidence, Determination, Negating dreams, Fertility, Prosperity, Harmony, Keeping secrets, Peace, Preventing theft, Retention, Rest, Sleep, Tranquillity</t>
        </is>
      </c>
      <c r="O59" t="inlineStr">
        <is>
          <t>ANISE</t>
        </is>
      </c>
      <c r="P59" t="inlineStr">
        <is>
          <t>Contacting other planes, Divination, Love, Passion, Preventing nightmares, Protection, Psychic development, Psychic protection, Purification, Clairvoyance, Cleansing, Consecration, Fertility, Gain, Good luck, Happiness, Money, Weddings</t>
        </is>
      </c>
      <c r="Q59" t="inlineStr">
        <is>
          <t>CLOVER RED</t>
        </is>
      </c>
      <c r="R59" t="inlineStr">
        <is>
          <t>Amulets, Driving away negativity, Calmness, Soothing nervousness, Desire, Fidelity, Loyalty, Cleansing baths, Attracting money, Breaking financial stagnation, Love philtres, Fixing spells, Lust</t>
        </is>
      </c>
      <c r="S59" t="inlineStr">
        <is>
          <t>LEMON VERBENA</t>
        </is>
      </c>
      <c r="T59" t="inlineStr">
        <is>
          <t>Breaking bad habits, Purifying body and mind, Cleansing space, Removing negative energy, Inner child connection, Creativity, Earth festivals, Love philtres, Sacred union rites, Astral travel, Prophetic dreams</t>
        </is>
      </c>
      <c r="U59" t="inlineStr">
        <is>
          <t>OREGANO</t>
        </is>
      </c>
      <c r="V59" t="inlineStr">
        <is>
          <t>Happiness, Animals, Harmony, Love, Peace, Protection, Psychic development, Aiding grief, Weddings, Hand-fastings</t>
        </is>
      </c>
      <c r="Y59" t="inlineStr">
        <is>
          <t>agate Blue Lace</t>
        </is>
      </c>
      <c r="Z59" t="inlineStr">
        <is>
          <t>Peace, patience, Happiness, warmth, gentleness, domestic harmony, tenderness</t>
        </is>
      </c>
      <c r="AA59" t="inlineStr">
        <is>
          <t>agate Botswana</t>
        </is>
      </c>
      <c r="AB59" t="inlineStr">
        <is>
          <t>Energy of growth, expansion, New beginnings, nourishment, health. It enhances vitality, brings abundance, keeps us growing physically.</t>
        </is>
      </c>
      <c r="AC59" t="inlineStr">
        <is>
          <t>agate Moss</t>
        </is>
      </c>
      <c r="AD59" t="inlineStr">
        <is>
          <t>Peace, patience, Happiness, warmth, gentleness, domestic harmony, tenderness</t>
        </is>
      </c>
      <c r="AE59" t="inlineStr">
        <is>
          <t>Aventurine</t>
        </is>
      </c>
      <c r="AF59" t="inlineStr">
        <is>
          <t>Creativity, motivation, inner peace, business success, intellect, perception, soothing emotions, heartache, clarity, imagination, independence, Happiness, sexuality, Strength, Prosperity, romance.</t>
        </is>
      </c>
      <c r="BA59" t="inlineStr">
        <is>
          <t>agate Blue Lace, agate Botswana, agate Moss, Aventurine, Sugilite</t>
        </is>
      </c>
      <c r="BC59" t="inlineStr">
        <is>
          <t>MERCURY</t>
        </is>
      </c>
    </row>
    <row r="60">
      <c r="A60" t="inlineStr">
        <is>
          <t>MINERVA</t>
        </is>
      </c>
      <c r="B60" t="inlineStr">
        <is>
          <t>Deity</t>
        </is>
      </c>
      <c r="C60" t="inlineStr">
        <is>
          <t>Feminine</t>
        </is>
      </c>
      <c r="D60" t="inlineStr">
        <is>
          <t>Air/Fire</t>
        </is>
      </c>
      <c r="E60" t="inlineStr">
        <is>
          <t>Mercury</t>
        </is>
      </c>
      <c r="F60" t="inlineStr">
        <is>
          <t>Wednesday</t>
        </is>
      </c>
      <c r="G60" t="inlineStr">
        <is>
          <t>Spring</t>
        </is>
      </c>
      <c r="H60" t="inlineStr">
        <is>
          <t>New beginnings, Sun God offerings, Confidence, Luck, Dispelling sickness, Strength, Harmony, Happiness,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Self-confidence, Courage,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Joy, Joyous celebrations, Contentment, Healing magic, Healing spells, Healing sachets, Healing incenses, Healing mixtures, Healing rituals, Healing incense, Healing vibrations, healing after surgery, Aiding recovery, Aiding the ill, Improving health, Speeding recovery, Good health, health</t>
        </is>
      </c>
      <c r="I60" t="inlineStr">
        <is>
          <t>Olive, Bay Laurel</t>
        </is>
      </c>
      <c r="J60" t="inlineStr">
        <is>
          <t>Orisha of winds, storms, and rebirth.</t>
        </is>
      </c>
      <c r="K60" t="inlineStr">
        <is>
          <t>Roman goddess of wisdom, strategic warfare, and the arts, whose birth was itself magical — she sprang fully armoured from Jupiter's forehead after he swallowed her pregnant mother Metis. She gifted Athens the olive tree in the contest with Poseidon, a tree so magical it produced food, light, and healing all at once. Her Aegis — the divine shield decorated with the Gorgon's head — could turn enemies to stone through terror. She was also patron of weaving, and the myth of Arachne tells of her power to transform the prideful into spiders.</t>
        </is>
      </c>
      <c r="L60" t="inlineStr">
        <is>
          <t>The ancient, gnarled olive tree, incredibly slow-growing and wise, offering its bitter fruit and golden oil as a testament to patience and intellect.</t>
        </is>
      </c>
      <c r="M60" t="inlineStr">
        <is>
          <t>BAY LAUREL</t>
        </is>
      </c>
      <c r="N60" t="inlineStr">
        <is>
          <t>Clairvoyance, Consecration, Divination, Dreams, Exorcism, Healing, Love, Passion, Protection, Psychic protection, Purification, Wisdom, Wishes, Winter rituals, Yule magic</t>
        </is>
      </c>
      <c r="O60" t="inlineStr">
        <is>
          <t>THYME</t>
        </is>
      </c>
      <c r="P60"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t>
        </is>
      </c>
      <c r="AG60" t="inlineStr">
        <is>
          <t>Thyme</t>
        </is>
      </c>
      <c r="AH60" t="inlineStr">
        <is>
          <t>Healing, Love, Purification, Confidence</t>
        </is>
      </c>
      <c r="BB60" t="inlineStr">
        <is>
          <t>Thyme</t>
        </is>
      </c>
      <c r="BC60" t="inlineStr">
        <is>
          <t>MINERVA</t>
        </is>
      </c>
    </row>
    <row r="61">
      <c r="A61" t="inlineStr">
        <is>
          <t>MOTHER GODDESS</t>
        </is>
      </c>
      <c r="B61" t="inlineStr">
        <is>
          <t>Deity</t>
        </is>
      </c>
      <c r="C61" t="inlineStr">
        <is>
          <t>Feminine</t>
        </is>
      </c>
      <c r="D61" t="inlineStr">
        <is>
          <t>Earth</t>
        </is>
      </c>
      <c r="E61" t="inlineStr">
        <is>
          <t>Moon</t>
        </is>
      </c>
      <c r="F61" t="inlineStr">
        <is>
          <t>Monday</t>
        </is>
      </c>
      <c r="G61" t="inlineStr">
        <is>
          <t>All Seasons</t>
        </is>
      </c>
      <c r="H61" t="inlineStr">
        <is>
          <t>New beginnings, Strength, Confidence,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Physical Strength, Fortitude, Vitality, Inner power, and strength,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61" t="inlineStr">
        <is>
          <t>Rose, Mugw, Amulets/talismans, Wheat</t>
        </is>
      </c>
      <c r="J61" t="inlineStr">
        <is>
          <t>Greek god of the wild and nature.</t>
        </is>
      </c>
      <c r="K61" t="inlineStr">
        <is>
          <t>The universal feminine divine from whom all living things emerge and to whom all return. Her magic is the sacred mystery of birth, nourishment, and death-as-transformation. Found in every culture from the Palaeolithic Venus figurines to the Hindu Shakti, she is the living earth whose body is the field and the forest, the cave and the womb. Her magic is the magic of becoming — the raw creative force that needs no instruction and no tools, only the willingness to receive life and let it pass through.</t>
        </is>
      </c>
      <c r="L61" t="inlineStr">
        <is>
          <t>The encompassing, warm womb of the earth cave, where seeds lie dormant in the dirt and bears hibernate in the deep, protective dark.</t>
        </is>
      </c>
      <c r="M61" t="inlineStr">
        <is>
          <t>VIOLET</t>
        </is>
      </c>
      <c r="N61" t="inlineStr">
        <is>
          <t>Love (with lavender), Good luck, Prophetic dreams, Divination, Prosperity, Protection, Faithfulness, Love, Wishes, Peace, Healing, Abs, bing evil spells, bing ill will</t>
        </is>
      </c>
      <c r="BC61" t="inlineStr">
        <is>
          <t>MOTHER GODDESS</t>
        </is>
      </c>
    </row>
    <row r="62">
      <c r="A62" t="inlineStr">
        <is>
          <t>MOTHER GODESS</t>
        </is>
      </c>
      <c r="B62" t="inlineStr">
        <is>
          <t>Deity</t>
        </is>
      </c>
      <c r="C62" t="inlineStr">
        <is>
          <t>Feminine</t>
        </is>
      </c>
      <c r="D62" t="inlineStr">
        <is>
          <t>Earth</t>
        </is>
      </c>
      <c r="E62" t="inlineStr">
        <is>
          <t>Moon</t>
        </is>
      </c>
      <c r="F62" t="inlineStr">
        <is>
          <t>Monday</t>
        </is>
      </c>
      <c r="G62" t="inlineStr">
        <is>
          <t>All Seasons</t>
        </is>
      </c>
      <c r="H62" t="inlineStr">
        <is>
          <t>Divination, New beginnings, Prophetic dreams, Star magick, Harmony, Clairvoyance,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clairvoyance, Psychic development, Psychic powers, INCREASE PSYCHIC ABILITIES, Psychic awareness, Stimulating psychic senses, Disabling psychic phenomena, Psychic communication, communication and psychic abilities</t>
        </is>
      </c>
      <c r="I62" t="inlineStr">
        <is>
          <t>Rose, Mugw, Amulets/talismans, Wheat</t>
        </is>
      </c>
      <c r="J62" t="inlineStr">
        <is>
          <t>Greek queen of the underworld.</t>
        </is>
      </c>
      <c r="K62" t="inlineStr">
        <is>
          <t>An alternate rendering of the Mother Goddess — the sovereign feminine divine who breathes life into the world. Her power is in the cycles: the breath of the seasons, the turning of years, the endless green renewal of the rolling hills. She is the goddess of the long slow rhythms of the earth, the goddess of the patient waiting — seeds in winter soil, children in the womb, stars turning through the night.</t>
        </is>
      </c>
      <c r="L62" t="inlineStr">
        <is>
          <t>The endless, rolling green hills that rise and fall gently, appearing like the steady breathing of a sleeping giantess covered in a blanket of wildflowers.</t>
        </is>
      </c>
      <c r="BC62" t="inlineStr">
        <is>
          <t>MOTHER GODESS</t>
        </is>
      </c>
    </row>
    <row r="63">
      <c r="A63" t="inlineStr">
        <is>
          <t>NISABA</t>
        </is>
      </c>
      <c r="B63" t="inlineStr">
        <is>
          <t>Deity</t>
        </is>
      </c>
      <c r="C63" t="inlineStr">
        <is>
          <t>Feminine</t>
        </is>
      </c>
      <c r="D63" t="inlineStr">
        <is>
          <t>Earth/Air</t>
        </is>
      </c>
      <c r="E63" t="inlineStr">
        <is>
          <t>Mercury</t>
        </is>
      </c>
      <c r="F63" t="inlineStr">
        <is>
          <t>Wednesday</t>
        </is>
      </c>
      <c r="G63" t="inlineStr">
        <is>
          <t>Summer/Autumn</t>
        </is>
      </c>
      <c r="H63" t="inlineStr">
        <is>
          <t>New beginnings, Fruitfulness,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63" t="inlineStr">
        <is>
          <t>Wheat, Barley</t>
        </is>
      </c>
      <c r="J63" t="inlineStr">
        <is>
          <t>Roman god of the underworld.</t>
        </is>
      </c>
      <c r="K63" t="inlineStr">
        <is>
          <t>Sumerian goddess of grain, writing, and the sacred arts of the scribe. She held a golden stylus and a lapis lazuli tablet on which the starry heavens were mapped. Every Sumerian text ended with 'Praise to Nisaba!' — she was considered the author and custodian of all knowledge. Her magic was the transformative power of writing itself: the ability to record the stars, measure the earth, keep accounts of the gods, and transmit divine knowledge across time. She was scribe of the gods and keeper of both divine and mortal records.</t>
        </is>
      </c>
      <c r="L63" t="inlineStr">
        <is>
          <t>The tall, swaying reeds growing by the marshy riverbank, harvested and cut to form the very pens that record the magic and yield of the agricultural harvest.</t>
        </is>
      </c>
      <c r="BC63" t="inlineStr">
        <is>
          <t>NISABA</t>
        </is>
      </c>
    </row>
    <row r="64">
      <c r="A64" t="inlineStr">
        <is>
          <t>NUIT</t>
        </is>
      </c>
      <c r="B64" t="inlineStr">
        <is>
          <t>Deity</t>
        </is>
      </c>
      <c r="C64" t="inlineStr">
        <is>
          <t>Feminine</t>
        </is>
      </c>
      <c r="D64" t="inlineStr">
        <is>
          <t>Air/Water</t>
        </is>
      </c>
      <c r="E64" t="inlineStr">
        <is>
          <t>Moon</t>
        </is>
      </c>
      <c r="F64" t="inlineStr">
        <is>
          <t>Monday</t>
        </is>
      </c>
      <c r="G64" t="inlineStr">
        <is>
          <t>All Seasons</t>
        </is>
      </c>
      <c r="H64" t="inlineStr">
        <is>
          <t>Divination, New beginnings, Fruitfulness, Prophetic dreams, Sun God offerings, Luck, Happiness, Star magick, Increasing wealth,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Enhancing clairvoyance, Psychic development, Psychic powers, INCREASE PSYCHIC ABILITIES, Psychic awareness, Stimulating psychic senses, Disabling psychic phenomena, Psychic communication, communication and psychic abilities</t>
        </is>
      </c>
      <c r="I64" t="inlineStr">
        <is>
          <t>Lotus, Star Anise</t>
        </is>
      </c>
      <c r="J64" t="inlineStr">
        <is>
          <t>Hindu goddess of devotion and fertility.</t>
        </is>
      </c>
      <c r="K64" t="inlineStr">
        <is>
          <t>Egyptian goddess of the sky and the stars whose arching body forms the vault of heaven. She swallows the sun each evening and gives birth to it again each morning — a daily resurrection. Each night she devours the stars and gives birth to them at dawn. She was closely associated with the coffin — her image was painted on the inside of the lid, so the dead body rested within her body as a seed ready for rebirth. Her magic is the cosmic embrace: the arms of the starry sky that hold all living things safe through the night.</t>
        </is>
      </c>
      <c r="L64" t="inlineStr">
        <is>
          <t>The vast, sweeping canopy of the night sky, curving like a protective body over the earth, her starry form dropping the evening dew onto the sands below.</t>
        </is>
      </c>
      <c r="M64" t="inlineStr">
        <is>
          <t>ANISE</t>
        </is>
      </c>
      <c r="N64" t="inlineStr">
        <is>
          <t>Contacting other planes, Divination, Love, Passion, Preventing nightmares, Protection, Psychic development, Psychic protection, Purification, Clairvoyance, Cleansing, Consecration, Fertility, Gain, Good luck, Happiness, Money, Weddings</t>
        </is>
      </c>
      <c r="BC64" t="inlineStr">
        <is>
          <t>NUIT</t>
        </is>
      </c>
    </row>
    <row r="65">
      <c r="A65" t="inlineStr">
        <is>
          <t>OYA</t>
        </is>
      </c>
      <c r="B65" t="inlineStr">
        <is>
          <t>Deity</t>
        </is>
      </c>
      <c r="C65" t="inlineStr">
        <is>
          <t>Feminine</t>
        </is>
      </c>
      <c r="D65" t="inlineStr">
        <is>
          <t>Air/Fire</t>
        </is>
      </c>
      <c r="E65" t="inlineStr">
        <is>
          <t>Mercury/Mars</t>
        </is>
      </c>
      <c r="F65" t="inlineStr">
        <is>
          <t>Wednesday</t>
        </is>
      </c>
      <c r="G65" t="inlineStr">
        <is>
          <t>Autumn</t>
        </is>
      </c>
      <c r="H65" t="inlineStr">
        <is>
          <t>New beginnings, Sun God offerings, Luck, Spirit offerings, Mabon/Samhain, Samhain/ancestral altars, Peace, Contacting planes, Harmony, Happiness,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Joy, Joyous celebrations, Contentment</t>
        </is>
      </c>
      <c r="I65" t="inlineStr">
        <is>
          <t>Hibiscus, Sage</t>
        </is>
      </c>
      <c r="J65" t="inlineStr">
        <is>
          <t>Roman goddess of peace.</t>
        </is>
      </c>
      <c r="K65" t="inlineStr">
        <is>
          <t>Yoruba orisha of storms, lightning, the marketplace, and the winds of change. She is one of the most powerful orishas in the Yoruba tradition, commanding the fierce weather that clears the air and forces transformation. She is associated with the ancestors — it is Oya who guards the gateway between the living and the dead, and who escorts souls across the threshold. She can assume nine forms (her sacred number), controls tornadoes and tempests, and is said to wield a sword of truth that cuts through deception instantly.</t>
        </is>
      </c>
      <c r="L65" t="inlineStr">
        <is>
          <t>The fierce, sudden squall of the tornado and the violent thunderstorm, ripping away dead, rotting branches so the strong, healthy trees can thrive in the aftermath.</t>
        </is>
      </c>
      <c r="M65" t="inlineStr">
        <is>
          <t>HIBISCUS</t>
        </is>
      </c>
      <c r="N65" t="inlineStr">
        <is>
          <t>Inviting love, Promoting fidelity, Passionate love-making</t>
        </is>
      </c>
      <c r="O65" t="inlineStr">
        <is>
          <t>SAGE</t>
        </is>
      </c>
      <c r="P65" t="inlineStr">
        <is>
          <t>Cleansing, Consecration, Psychic protection, Purification, Healing, Longevity, Money, Passion, Wisdom, Prosperity, Love, Psychic development, Clairvoyance, Meditation, Peace, Tranquillity, Knowledge, Divination, Domestic harmony, Energy, Happiness, Inspiration, Keeping secrets, Mabon rituals, Samhain rituals, Weddings, Hand-fastings</t>
        </is>
      </c>
      <c r="BC65" t="inlineStr">
        <is>
          <t>OYA</t>
        </is>
      </c>
    </row>
    <row r="66">
      <c r="A66" t="inlineStr">
        <is>
          <t>PAN</t>
        </is>
      </c>
      <c r="B66" t="inlineStr">
        <is>
          <t>Deity</t>
        </is>
      </c>
      <c r="C66" t="inlineStr">
        <is>
          <t>Masculine</t>
        </is>
      </c>
      <c r="D66" t="inlineStr">
        <is>
          <t>Earth/Air</t>
        </is>
      </c>
      <c r="E66" t="inlineStr">
        <is>
          <t>Saturn</t>
        </is>
      </c>
      <c r="F66" t="inlineStr">
        <is>
          <t>Saturday</t>
        </is>
      </c>
      <c r="G66" t="inlineStr">
        <is>
          <t>Spring/Summer</t>
        </is>
      </c>
      <c r="H66" t="inlineStr">
        <is>
          <t>New beginnings, Sun God offerings, Luck, Harmony, Happiness,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66" t="inlineStr">
        <is>
          <t>Happiness, Ivy, Oak</t>
        </is>
      </c>
      <c r="J66" t="inlineStr">
        <is>
          <t>Egyptian sun god.</t>
        </is>
      </c>
      <c r="K66" t="inlineStr">
        <is>
          <t>Greek god of the wild, shepherds, rustic music, and sudden inexplicable fear — the panic that strikes travellers in wild places. He invented the syrinx (pan pipes) from the river reeds into which the nymph Syrinx was transformed to escape him. His music could enchant every wild creature, and his cry could stampede armies. He helped the gods by panicking the Titans with his terrible voice. He was said to have seduced Selene by hiding himself in a white fleece. His wild, half-goat nature embodied the liminal magic between civilisation and the untamed wild.</t>
        </is>
      </c>
      <c r="L66" t="inlineStr">
        <is>
          <t>The wild, untamed music of the rustling reeds and the musky scent of the deep woods where agile goats clamber over moss-covered, ancient stones.</t>
        </is>
      </c>
      <c r="M66" t="inlineStr">
        <is>
          <t>OAKBARK RED</t>
        </is>
      </c>
      <c r="N66" t="inlineStr">
        <is>
          <t>Truth, Steadfast knowledge, Protection, Vitality, Long life, Healing, Grounding, Focus, Observation, Intuition, Bravery, Presence, Leadership skills, Prosperity, Strength, Psychic development, Rest, Sleep</t>
        </is>
      </c>
      <c r="O66" t="inlineStr">
        <is>
          <t>OAKLEAF</t>
        </is>
      </c>
      <c r="P66" t="inlineStr">
        <is>
          <t>Purification, Cleansing body and spirit, Aiding recovery, Protection from evil, Keeping illness away</t>
        </is>
      </c>
      <c r="AG66" t="inlineStr">
        <is>
          <t>Fir Needle</t>
        </is>
      </c>
      <c r="AH66" t="inlineStr">
        <is>
          <t>Purification, Cleansing, Protection, Healing</t>
        </is>
      </c>
      <c r="AI66" t="inlineStr">
        <is>
          <t>Pine</t>
        </is>
      </c>
      <c r="AJ66" t="inlineStr">
        <is>
          <t>PROSPERITY SPELLS, Prosperity</t>
        </is>
      </c>
      <c r="AK66" t="inlineStr">
        <is>
          <t>Patchouli</t>
        </is>
      </c>
      <c r="AL66" t="inlineStr">
        <is>
          <t>Fertility, Love, Prosperity, RAISE SEXUAL ENERGY</t>
        </is>
      </c>
      <c r="BB66" t="inlineStr">
        <is>
          <t>Fir Needle, Pine, Patchouli</t>
        </is>
      </c>
      <c r="BC66" t="inlineStr">
        <is>
          <t>PAN</t>
        </is>
      </c>
    </row>
    <row r="67">
      <c r="A67" t="inlineStr">
        <is>
          <t>PARVATI</t>
        </is>
      </c>
      <c r="B67" t="inlineStr">
        <is>
          <t>Deity</t>
        </is>
      </c>
      <c r="C67" t="inlineStr">
        <is>
          <t>Feminine</t>
        </is>
      </c>
      <c r="D67" t="inlineStr">
        <is>
          <t>Earth/Fire</t>
        </is>
      </c>
      <c r="E67" t="inlineStr">
        <is>
          <t>Venus</t>
        </is>
      </c>
      <c r="F67" t="inlineStr">
        <is>
          <t>Friday</t>
        </is>
      </c>
      <c r="G67" t="inlineStr">
        <is>
          <t>All Seasons</t>
        </is>
      </c>
      <c r="H67" t="inlineStr">
        <is>
          <t>New beginnings, Fruitfulness, Confidence, Spirit offerings, Mabon/Samhain, Samhain/ancestral altars, Love rituals, Love, Aphrodisiac, Increasing wealth, Contacting planes, Strength, Harmony, Prosperity, Attraction, Fertility,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Physical Strength, Fortitude, Vitality, Inner power, and strength, Attracting a mate, Attracting a soulmate, Conjuring a lover, HELP ATTRACT OPPOSITE SEX, Finding future love</t>
        </is>
      </c>
      <c r="I67" t="inlineStr">
        <is>
          <t>Lotus, Rose</t>
        </is>
      </c>
      <c r="J67" t="inlineStr">
        <is>
          <t>Roman god of time and harvest.</t>
        </is>
      </c>
      <c r="K67" t="inlineStr">
        <is>
          <t>Hindu goddess of love, devotion, and the power of ascetic practice (tapas). Through years of intense austerity in the Himalayas, she generated enough spiritual heat to compel Shiva — the most ascetic of gods — to emerge from meditation and become her husband. She is the embodiment of shakti — the divine feminine energy that animates the universe. As Durga she becomes a fierce warrior capable of slaying demons no male god could defeat. As Kali she wields the terror of time and transformation. In all her forms she demonstrates that devotion pursued to its absolute extreme becomes the most irresistible magical force in the universe.</t>
        </is>
      </c>
      <c r="L67" t="inlineStr">
        <is>
          <t>The majestic, snow-capped mountain peaks where the hardiest, most resilient alpine flowers push through the ice, reflecting her enduring strength and devotion.</t>
        </is>
      </c>
      <c r="BC67" t="inlineStr">
        <is>
          <t>PARVATI</t>
        </is>
      </c>
    </row>
    <row r="68">
      <c r="A68" t="inlineStr">
        <is>
          <t>PAX</t>
        </is>
      </c>
      <c r="B68" t="inlineStr">
        <is>
          <t>Deity</t>
        </is>
      </c>
      <c r="C68" t="inlineStr">
        <is>
          <t>Feminine</t>
        </is>
      </c>
      <c r="D68" t="inlineStr">
        <is>
          <t>Air</t>
        </is>
      </c>
      <c r="E68" t="inlineStr">
        <is>
          <t>Venus</t>
        </is>
      </c>
      <c r="F68" t="inlineStr">
        <is>
          <t>Friday</t>
        </is>
      </c>
      <c r="G68" t="inlineStr">
        <is>
          <t>All Seasons</t>
        </is>
      </c>
      <c r="H68" t="inlineStr">
        <is>
          <t>Harmony, Strength, Confidence, Peace,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 Self-confidence, Courage, Bravery, Determination, Will Power, Leadership, Leadership skills, Commanding, Personal power</t>
        </is>
      </c>
      <c r="I68" t="inlineStr">
        <is>
          <t>Olive, Wheat</t>
        </is>
      </c>
      <c r="J68" t="inlineStr">
        <is>
          <t>Egyptian goddess associated with writing and time.</t>
        </is>
      </c>
      <c r="K68" t="inlineStr">
        <is>
          <t>Roman goddess of peace whose magic was the divine stillness that could descend after the chaos of war. The Ara Pacis — Altar of Peace — was erected by Augustus to celebrate her power and the Pax Romana she embodied. Her magic was the sacred art of laying down weapons, the olive branch extended in true intention, and the alchemy of turning former enemies into trading partners. She taught that the cessation of violence was not weakness but the most profound magical transformation — turning the energy of war into the energy of growth.</t>
        </is>
      </c>
      <c r="L68" t="inlineStr">
        <is>
          <t>The quiet, undisturbed meadow where olive branches intertwine naturally with blooming red poppies, and the soft soil knows no tread of marching boots.</t>
        </is>
      </c>
      <c r="BC68" t="inlineStr">
        <is>
          <t>PAX</t>
        </is>
      </c>
    </row>
    <row r="69">
      <c r="A69" t="inlineStr">
        <is>
          <t>PERSEPHONE</t>
        </is>
      </c>
      <c r="B69" t="inlineStr">
        <is>
          <t>Deity</t>
        </is>
      </c>
      <c r="C69" t="inlineStr">
        <is>
          <t>Feminine</t>
        </is>
      </c>
      <c r="D69" t="inlineStr">
        <is>
          <t>Earth/Water</t>
        </is>
      </c>
      <c r="E69" t="inlineStr">
        <is>
          <t>Moon</t>
        </is>
      </c>
      <c r="F69" t="inlineStr">
        <is>
          <t>Wednesday</t>
        </is>
      </c>
      <c r="G69" t="inlineStr">
        <is>
          <t>Spring/Autumn</t>
        </is>
      </c>
      <c r="H69" t="inlineStr">
        <is>
          <t>New beginnings, Sun God offerings, Luck, Spirit offerings, Mabon/Samhain, Samhain/ancestral altars, Love rituals, Love, Aphrodisiac, Contacting planes, Harmony, Happiness,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Joy, Joyous celebrations, Contentment, Attracting a mate, Attracting a soulmate, Conjuring a lover, HELP ATTRACT OPPOSITE SEX, Finding future love</t>
        </is>
      </c>
      <c r="I69" t="inlineStr">
        <is>
          <t>Pomegranate, Narcissus</t>
        </is>
      </c>
      <c r="J69" t="inlineStr">
        <is>
          <t>Roman personification of the sun.</t>
        </is>
      </c>
      <c r="K69" t="inlineStr">
        <is>
          <t>Queen of the Underworld whose magic governs the seasons themselves. Taken by Hades, her mother Demeter's grief plunged the world into winter. The Eleusinian Mysteries — the most sacred secret rites of the ancient world — were built around her descent and return, promising initiates a transformed understanding of death: not as ending but as passage. She became a powerful queen in her own right, compassionate but firm, who could grant release or hold souls. She is the first green shoot of spring pushing through the frozen earth — death's own daughter bringing life.</t>
        </is>
      </c>
      <c r="L69" t="inlineStr">
        <is>
          <t>The sudden, vibrant burst of springtime crocuses pushing through the frost, a joyous, green return from the dark, quiet rest of the underworld.</t>
        </is>
      </c>
      <c r="M69" t="inlineStr">
        <is>
          <t>DILL</t>
        </is>
      </c>
      <c r="N69" t="inlineStr">
        <is>
          <t>Love, Protection, Psychic protection, Blessings, Confidence, Determination, Negating dreams, Fertility, Prosperity, Harmony, Keeping secrets, Peace, Preventing theft, Retention, Rest, Sleep, Tranquillity</t>
        </is>
      </c>
      <c r="O69" t="inlineStr">
        <is>
          <t>LINSEED</t>
        </is>
      </c>
      <c r="P69" t="inlineStr">
        <is>
          <t>Increasing wealth, Protecting against poverty, Protection against s, cery, Attracting money, Warding off poverty, Preventing evil from entering, Healing rituals, Healing mixtures, Money spells, Prosperity rituals, Protection while asleep</t>
        </is>
      </c>
      <c r="Q69" t="inlineStr">
        <is>
          <t>PARSLEY</t>
        </is>
      </c>
      <c r="R69" t="inlineStr">
        <is>
          <t>Divination, Clairvoyance, Happiness, Passion, Protection, Psychic development, Purification, Consecration, Contacting other planes, Fertility, Good luck, Invocation, Meditation, Rituals for the dead</t>
        </is>
      </c>
      <c r="AG69" t="inlineStr">
        <is>
          <t>Cedarwood</t>
        </is>
      </c>
      <c r="AH69" t="inlineStr">
        <is>
          <t>Purification, Protection, RID OF BAD DREAMS, Prosperity</t>
        </is>
      </c>
      <c r="BB69" t="inlineStr">
        <is>
          <t>Cedarwood</t>
        </is>
      </c>
      <c r="BC69" t="inlineStr">
        <is>
          <t>PERSEPHONE</t>
        </is>
      </c>
    </row>
    <row r="70">
      <c r="A70" t="inlineStr">
        <is>
          <t>PLUTO</t>
        </is>
      </c>
      <c r="B70" t="inlineStr">
        <is>
          <t>Deity</t>
        </is>
      </c>
      <c r="C70" t="inlineStr">
        <is>
          <t>Masculine</t>
        </is>
      </c>
      <c r="D70" t="inlineStr">
        <is>
          <t>Earth</t>
        </is>
      </c>
      <c r="E70" t="inlineStr">
        <is>
          <t>Saturn/Pluto</t>
        </is>
      </c>
      <c r="F70" t="inlineStr">
        <is>
          <t>Saturday</t>
        </is>
      </c>
      <c r="G70" t="inlineStr">
        <is>
          <t>Winter</t>
        </is>
      </c>
      <c r="H70" t="inlineStr">
        <is>
          <t>New beginnings, Confidence, Anti-theft, Fortune, Spirit offerings, Mabon/Samhain, Samhain/ancestral altars, Increasing wealth, Dispelling sickness, Contacting planes, Strength, Harmony, Prosperity,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Preventing theft, Protection against theft, Spell-breaking, Reversing harmful spells, Breaking spells, Hex breaking, Removing hexes, Removing curses, Removing jinxes, Removing bad luck, Breaking hexes, Returning hexes, hex-breaking, Removing hexes and curses, Removing a jinx, Luck, Good luck, Good luck in family matters, Casino luck, WISHES, Wish magick, Carrying wishes, Transmuting wishes,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Healing magic, Healing spells, Healing sachets, Healing incenses, Healing mixtures, Healing rituals, Healing incense, Healing vibrations, healing after surgery, Aiding recovery, Aiding the ill, Improving health, Speeding recovery, Good health, health</t>
        </is>
      </c>
      <c r="I70" t="inlineStr">
        <is>
          <t>Cypress, Mugw, Amulets/talismans</t>
        </is>
      </c>
      <c r="J70" t="inlineStr">
        <is>
          <t>Egyptian lioness goddess of war and healing.</t>
        </is>
      </c>
      <c r="K70" t="inlineStr">
        <is>
          <t>Roman god of the Underworld and all the riches hidden beneath the earth. His very name means 'wealth' — all mineral treasure, gold, silver, and gemstones belong to him. He wore the Cap of Hades (Helm of Darkness) which rendered him utterly invisible — the most powerful magical object in Greek myth, lent to Perseus to slay Medusa. His realm received all souls, and his judgment was final. He was considered so ominous that people avoided speaking his name, instead calling him Dis or Pluto to avoid attracting his attention.</t>
        </is>
      </c>
      <c r="L70" t="inlineStr">
        <is>
          <t>The deep, hidden veins of gold, quartz, and gemstones resting silently in the crushing dark of the earth's crust, holding the planet's hidden, compressed magic.</t>
        </is>
      </c>
      <c r="M70" t="inlineStr">
        <is>
          <t>OAK MOSS</t>
        </is>
      </c>
      <c r="N70" t="inlineStr">
        <is>
          <t>Money, luck, strength, and Druidic ritual work. Place in money sachets and wallets to attract and retain wealth. Used in spells for business success and financial stability. Add to incense for connection to ancient forest magic and the Green Man. Excellent for grounding spells and earth magic rituals.</t>
        </is>
      </c>
      <c r="O70" t="inlineStr">
        <is>
          <t>PEPPERMINT</t>
        </is>
      </c>
      <c r="P70" t="inlineStr">
        <is>
          <t>Cleansing, Consecration, Dreams, Happiness, Healing, Love, Money, Passion, Prosperity, Protection, Psychic development, Purification, Release, Renewal, Rest, Sleep, Animals, Divination, Endings, Energy, Exorcism, Good luck, Grieving, Spirit offering, Success, Transformation, Prophetic dreams, Relieving headaches, Preventing illness, Calling good spirits, Healing spells, Cleansing the home, Cleansing ritual areas</t>
        </is>
      </c>
      <c r="Y70" t="inlineStr">
        <is>
          <t>obsidian snowflake</t>
        </is>
      </c>
      <c r="Z70" t="inlineStr">
        <is>
          <t>Grounds spiritual energy to the physical plane, abs, bs negativity, enhances serenity</t>
        </is>
      </c>
      <c r="AG70" t="inlineStr">
        <is>
          <t>Peppermint</t>
        </is>
      </c>
      <c r="AH70" t="inlineStr">
        <is>
          <t>Purification, PSYCHIC POWERS, Healing</t>
        </is>
      </c>
      <c r="BA70" t="inlineStr">
        <is>
          <t>obsidian snowflake</t>
        </is>
      </c>
      <c r="BB70" t="inlineStr">
        <is>
          <t>Peppermint</t>
        </is>
      </c>
      <c r="BC70" t="inlineStr">
        <is>
          <t>PLUTO</t>
        </is>
      </c>
    </row>
    <row r="71">
      <c r="A71" t="inlineStr">
        <is>
          <t>RA</t>
        </is>
      </c>
      <c r="B71" t="inlineStr">
        <is>
          <t>Deity</t>
        </is>
      </c>
      <c r="C71" t="inlineStr">
        <is>
          <t>Masculine</t>
        </is>
      </c>
      <c r="D71" t="inlineStr">
        <is>
          <t>Fire</t>
        </is>
      </c>
      <c r="E71" t="inlineStr">
        <is>
          <t>Sun</t>
        </is>
      </c>
      <c r="F71" t="inlineStr">
        <is>
          <t>Sunday</t>
        </is>
      </c>
      <c r="G71" t="inlineStr">
        <is>
          <t>Summer</t>
        </is>
      </c>
      <c r="H71" t="inlineStr">
        <is>
          <t>Divination, Prophetic dreams, Confidence, Sun God offerings, Luck, Star magick, Strength, Happiness, Clairvoyance,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t>
        </is>
      </c>
      <c r="I71" t="inlineStr">
        <is>
          <t>Frankincense, Sunflower</t>
        </is>
      </c>
      <c r="J71" t="inlineStr">
        <is>
          <t>Hindu god of transformation and destruction.</t>
        </is>
      </c>
      <c r="K71" t="inlineStr">
        <is>
          <t>The Egyptian sun god whose daily passage in his solar barque through the sky and through the Underworld each night was the foundation of all creation. Ra possessed the most powerful magic of all: his secret name, which Isis tricked from him. This hidden name was the source of his absolute power — the sound that had called creation into being. Each night in the Underworld he faced the serpent Apophis, whose attempt to swallow the solar barque was defeated by the prayers and magic of the gods. Every sunrise was a victory over the forces of annihilation.</t>
        </is>
      </c>
      <c r="L71" t="inlineStr">
        <is>
          <t>The fierce, relentless midday sun that bakes the desert, driving the cold-blooded lizards to bask on sun-warmed sandstone to absorb his fiery life-force.</t>
        </is>
      </c>
      <c r="M71" t="inlineStr">
        <is>
          <t>FRANKINCENSE</t>
        </is>
      </c>
      <c r="N71" t="inlineStr">
        <is>
          <t>Offerings to Sun Gods, Fumigation, Removing negativity, Exorcism, Incense blends, Smudging, Raising energy, Ritual offerings</t>
        </is>
      </c>
      <c r="O71" t="inlineStr">
        <is>
          <t>COLTSFOOT</t>
        </is>
      </c>
      <c r="P71" t="inlineStr">
        <is>
          <t>Spring rituals, Imbolc, Ostara, Beltane, Love, Tranquillity, Money spells, Divinatory incense, Healing incense, Psychic awareness, Communion with spirits, Prophetic dreams, Removing sickness, Removing mental troubles, Visions</t>
        </is>
      </c>
      <c r="Q71" t="inlineStr">
        <is>
          <t>GOLDENROD</t>
        </is>
      </c>
      <c r="R71" t="inlineStr">
        <is>
          <t>Love rituals, Finding future love, Love sealing, Prophecy, Divination, Dowsing, Treasure seeking, Lost object finding, Inner attunement, Foretelling the future, Future rituals, Daily sachets</t>
        </is>
      </c>
      <c r="S71" t="inlineStr">
        <is>
          <t>HEATHER</t>
        </is>
      </c>
      <c r="T71" t="inlineStr">
        <is>
          <t>Opening fairy portals, Enhancing beauty, Shapeshifting, Protection from shifters, Assisting transformation</t>
        </is>
      </c>
      <c r="U71" t="inlineStr">
        <is>
          <t>LEMON VERBENA</t>
        </is>
      </c>
      <c r="V71" t="inlineStr">
        <is>
          <t>Breaking bad habits, Purifying body and mind, Cleansing space, Removing negative energy, Inner child connection, Creativity, Earth festivals, Love philtres, Sacred union rites, Astral travel, Prophetic dreams</t>
        </is>
      </c>
      <c r="W71" t="inlineStr">
        <is>
          <t>LEMONGRASS</t>
        </is>
      </c>
      <c r="X71" t="inlineStr">
        <is>
          <t>Offerings to forest spirits, Offerings to gods, Warding off illness, Warding off hexes, Smudging, Pre-ritual cleansing</t>
        </is>
      </c>
      <c r="Y71" t="inlineStr">
        <is>
          <t>Ametrine</t>
        </is>
      </c>
      <c r="Z71" t="inlineStr">
        <is>
          <t>Astral travel, magickal power, meditation, removing negativity.</t>
        </is>
      </c>
      <c r="AA71" t="inlineStr">
        <is>
          <t>Aragonite</t>
        </is>
      </c>
      <c r="AB71" t="inlineStr">
        <is>
          <t>Meditation, Harmony, centring, Healing, will power, patience, self assurance.</t>
        </is>
      </c>
      <c r="AC71" t="inlineStr">
        <is>
          <t>Quartz Clear</t>
        </is>
      </c>
      <c r="AD71" t="inlineStr">
        <is>
          <t>Protection, Healing, psychism, Strength, lactation</t>
        </is>
      </c>
      <c r="AE71" t="inlineStr">
        <is>
          <t>Sunstone</t>
        </is>
      </c>
      <c r="AF71" t="inlineStr">
        <is>
          <t>Personal power, Healing, overcoming depression, physical energy, Protection, sexual arousal, sexual energy, increasing the energy of healing herbs, Prosperity, Strength, Confidence, independence.</t>
        </is>
      </c>
      <c r="AG71" t="inlineStr">
        <is>
          <t>Apple</t>
        </is>
      </c>
      <c r="AH71" t="inlineStr">
        <is>
          <t>Love, Happiness, WISDOM IN MAGICK</t>
        </is>
      </c>
      <c r="AI71" t="inlineStr">
        <is>
          <t>Bergamot</t>
        </is>
      </c>
      <c r="AJ71" t="inlineStr">
        <is>
          <t>PROSPERITY SPELLS, Prosperity</t>
        </is>
      </c>
      <c r="AK71" t="inlineStr">
        <is>
          <t>Cedarwood</t>
        </is>
      </c>
      <c r="AL71" t="inlineStr">
        <is>
          <t>Purification, Protection, RID OF BAD DREAMS, Prosperity</t>
        </is>
      </c>
      <c r="AM71" t="inlineStr">
        <is>
          <t>Clove Bud</t>
        </is>
      </c>
      <c r="AN71" t="inlineStr">
        <is>
          <t>Love, Prosperity, Protection, HELP ATTRACT OPPOSITE SEX, Purification</t>
        </is>
      </c>
      <c r="AO71" t="inlineStr">
        <is>
          <t>URUZ</t>
        </is>
      </c>
      <c r="AP71" t="inlineStr">
        <is>
          <t>U/OO</t>
        </is>
      </c>
      <c r="AQ71" t="inlineStr">
        <is>
          <t>Strength, Bolstering spells, Healing, Confidence, Protection, Fertility, Fruitfulness</t>
        </is>
      </c>
      <c r="AR71" t="inlineStr">
        <is>
          <t>RAIDO</t>
        </is>
      </c>
      <c r="AS71" t="inlineStr">
        <is>
          <t>R</t>
        </is>
      </c>
      <c r="AT71" t="inlineStr">
        <is>
          <t>Journey spells, New beginnings, Movement, Cycles, Luck, Progress, Harmony</t>
        </is>
      </c>
      <c r="AU71" t="inlineStr">
        <is>
          <t>JERA</t>
        </is>
      </c>
      <c r="AV71" t="inlineStr">
        <is>
          <t>J/Y</t>
        </is>
      </c>
      <c r="AW71" t="inlineStr">
        <is>
          <t>Harvest spells, Fertility, Fruitfulness, Prosperity, Cycles, Justice, Reward</t>
        </is>
      </c>
      <c r="AX71" t="inlineStr">
        <is>
          <t>TIWAZ</t>
        </is>
      </c>
      <c r="AY71" t="inlineStr">
        <is>
          <t>T</t>
        </is>
      </c>
      <c r="AZ71" t="inlineStr">
        <is>
          <t>Confidence, Justice, Strength, Protection, Dedication, Vict, Clairvoyance, Warri, Star magick</t>
        </is>
      </c>
      <c r="BA71" t="inlineStr">
        <is>
          <t>Ametrine, Quartz Clear, Sunstone, Tiger Eye gold, Topaz, Amber</t>
        </is>
      </c>
      <c r="BB71" t="inlineStr">
        <is>
          <t>Frankincense, Orange Bitter</t>
        </is>
      </c>
      <c r="BC71" t="inlineStr">
        <is>
          <t>RA</t>
        </is>
      </c>
    </row>
    <row r="72">
      <c r="A72" t="inlineStr">
        <is>
          <t>SATURN</t>
        </is>
      </c>
      <c r="B72" t="inlineStr">
        <is>
          <t>Deity</t>
        </is>
      </c>
      <c r="C72" t="inlineStr">
        <is>
          <t>Masculine</t>
        </is>
      </c>
      <c r="D72" t="inlineStr">
        <is>
          <t>Earth</t>
        </is>
      </c>
      <c r="E72" t="inlineStr">
        <is>
          <t>Saturn</t>
        </is>
      </c>
      <c r="F72" t="inlineStr">
        <is>
          <t>Saturday</t>
        </is>
      </c>
      <c r="G72" t="inlineStr">
        <is>
          <t>Winter</t>
        </is>
      </c>
      <c r="H72" t="inlineStr">
        <is>
          <t>New beginnings, Fruitfulness, Sun God offerings, Luck, Happiness, Increasing wealth, Harmony, Prosperity, Fertility,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t>
        </is>
      </c>
      <c r="I72" t="inlineStr">
        <is>
          <t>Thyme, Myrrh</t>
        </is>
      </c>
      <c r="J72" t="inlineStr">
        <is>
          <t>Greek personification of wisdom and enlightenment.</t>
        </is>
      </c>
      <c r="K72" t="inlineStr">
        <is>
          <t>Roman god of time, the harvest, and the Golden Age — a primordial era of abundance before the gods took power. He was equated with the Greek Kronos. His festival, the Saturnalia, was the wildest of Roman festivals: for seven days the social order was inverted, slaves dined with masters, gifts were exchanged, and all work ceased. His magic was the inexorable turning of time — the sickle that cut all things down, the seasons that ground on regardless, and the deep wisdom of the one who has endured everything.</t>
        </is>
      </c>
      <c r="L72" t="inlineStr">
        <is>
          <t>The deep, slow rings of an ancient redwood tree, silently recording centuries of drought, fire, and rain in a wooden testament to the magic of time.</t>
        </is>
      </c>
      <c r="M72" t="inlineStr">
        <is>
          <t>THYME</t>
        </is>
      </c>
      <c r="N72"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t>
        </is>
      </c>
      <c r="O72" t="inlineStr">
        <is>
          <t>LAVENDER FLOWERS</t>
        </is>
      </c>
      <c r="P72" t="inlineStr">
        <is>
          <t>Clairvoyance, Cleansing, Consecration, Happiness, Healing, Love, Midsummer magic, Money, Passion, Peace, Peace of mind, Protection, Psychic protection, Purification, Tranquillity, Blessings, Chastity, Divination, Dreams, Energy, Gentleness, Good luck, Grieving, Harmony, Keeping secrets, Magic, Meditation, Memory, Psychic development, Retention, Ritual, Sleep, Stability, Virility, Weddings</t>
        </is>
      </c>
      <c r="Y72" t="inlineStr">
        <is>
          <t>Apache Tears</t>
        </is>
      </c>
      <c r="Z72" t="inlineStr">
        <is>
          <t>Luck, removal of pain</t>
        </is>
      </c>
      <c r="AA72" t="inlineStr">
        <is>
          <t>Hematite</t>
        </is>
      </c>
      <c r="AB72" t="inlineStr">
        <is>
          <t>Concentration, mem, Clairvoyance, banishing negativity, clarity, Confidence, stress relief, energy, Healing, Divination, grounding, centering, scrying, reliability, legal matters.</t>
        </is>
      </c>
      <c r="AC72" t="inlineStr">
        <is>
          <t>Obsidian</t>
        </is>
      </c>
      <c r="AD72" t="inlineStr">
        <is>
          <t>Grounding, centering, Divination, increasing spirituality, Healing, Cleansing, clarity, Luck, manifestation, transf, mation, inner growth.</t>
        </is>
      </c>
      <c r="AE72" t="inlineStr">
        <is>
          <t>Sapphire</t>
        </is>
      </c>
      <c r="AF72" t="inlineStr">
        <is>
          <t>Harmony, overcoming depression, self-discipline, Love, meditation, Peace, Healing, friendship, fertility.</t>
        </is>
      </c>
      <c r="AG72" t="inlineStr">
        <is>
          <t>Lavender</t>
        </is>
      </c>
      <c r="AH72" t="inlineStr">
        <is>
          <t>MEM, Clairvoyance, PEACE &amp; HAPPINESS, Purification, Happiness</t>
        </is>
      </c>
      <c r="BA72" t="inlineStr">
        <is>
          <t>Apache Tears, Hematite, Obsidian, Sapphire, Serpentine</t>
        </is>
      </c>
      <c r="BB72" t="inlineStr">
        <is>
          <t>Lavender</t>
        </is>
      </c>
      <c r="BC72" t="inlineStr">
        <is>
          <t>SATURN</t>
        </is>
      </c>
    </row>
    <row r="73">
      <c r="A73" t="inlineStr">
        <is>
          <t>SECH</t>
        </is>
      </c>
      <c r="B73" t="inlineStr">
        <is>
          <t>Deity</t>
        </is>
      </c>
      <c r="C73" t="inlineStr">
        <is>
          <t>Feminine</t>
        </is>
      </c>
      <c r="D73" t="inlineStr">
        <is>
          <t>Earth/Water</t>
        </is>
      </c>
      <c r="E73" t="inlineStr">
        <is>
          <t>Mercury</t>
        </is>
      </c>
      <c r="F73" t="inlineStr">
        <is>
          <t>Wednesday</t>
        </is>
      </c>
      <c r="G73" t="inlineStr">
        <is>
          <t>All Seasons</t>
        </is>
      </c>
      <c r="H73" t="inlineStr">
        <is>
          <t>New beginnings, Harmony, Healing, Dispelling sickness, Protection, Strength,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Protective charm, Protective charms, Protective sachets, Protective wreaths, Protective incense, PROTECT AGAINST NEGATIVITY, Protection from negativity, Circle protection, Physical Strength, Fortitude, Vitality, Inner power, and strength</t>
        </is>
      </c>
      <c r="I73" t="inlineStr">
        <is>
          <t>Cedar</t>
        </is>
      </c>
      <c r="J73" t="inlineStr">
        <is>
          <t>Titaness and Queen of the Amazons.</t>
        </is>
      </c>
      <c r="K73" t="inlineStr">
        <is>
          <t>An Egyptian deity associated with the sacred geometry and measurement of the earth — linked to the papyrus plant and the precision of sacred scribal arts. In Egyptian tradition, those who measured and mapped the land held a form of divine power — to know the exact boundaries of the earth was to participate in its continued order. Sech embodies the magical principle that number, measure, and proportion are the hidden skeleton of divine creation.</t>
        </is>
      </c>
      <c r="L73" t="inlineStr">
        <is>
          <t>The steady growth of the papyrus plant in the marsh, its triangular stem holding the sacred geometry used to measure and map the boundaries of the earth.</t>
        </is>
      </c>
      <c r="AG73" t="inlineStr">
        <is>
          <t>Cedarwood</t>
        </is>
      </c>
      <c r="AH73" t="inlineStr">
        <is>
          <t>Purification, Protection, RID OF BAD DREAMS, Prosperity</t>
        </is>
      </c>
      <c r="BB73" t="inlineStr">
        <is>
          <t>Cedarwood</t>
        </is>
      </c>
      <c r="BC73" t="inlineStr">
        <is>
          <t>SECH</t>
        </is>
      </c>
    </row>
    <row r="74">
      <c r="A74" t="inlineStr">
        <is>
          <t>SEKHMET</t>
        </is>
      </c>
      <c r="B74" t="inlineStr">
        <is>
          <t>Deity</t>
        </is>
      </c>
      <c r="C74" t="inlineStr">
        <is>
          <t>Feminine</t>
        </is>
      </c>
      <c r="D74" t="inlineStr">
        <is>
          <t>Fire</t>
        </is>
      </c>
      <c r="E74" t="inlineStr">
        <is>
          <t>Sun/Mars</t>
        </is>
      </c>
      <c r="F74" t="inlineStr">
        <is>
          <t>Sunday</t>
        </is>
      </c>
      <c r="G74" t="inlineStr">
        <is>
          <t>Summer</t>
        </is>
      </c>
      <c r="H74" t="inlineStr">
        <is>
          <t>New beginnings, Sun God offerings, Confidence, Luck, Dispelling sickness, Strength, Harmony, Happiness, Healing,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Self-confidence, Courage, Bravery, Determination, Will Power, Leadership, Leadership skills, Commanding, Personal power,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Protection (hexes/evil),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Removing sickness, Removing mental troubles, Keeping illness away, Keeping sickness away, Curing fevers, Dispelling melancholy, Preventing illness, Protection against disease, Physical Strength, Fortitude, Vitality, Inner power, and strength, Joy, Joyous celebrations, Contentment, Healing magic, Healing spells, Healing sachets, Healing incenses, Healing mixtures, Healing rituals, Healing incense, Healing vibrations, healing after surgery, Aiding recovery, Aiding the ill, Improving health, Speeding recovery, Good health, health</t>
        </is>
      </c>
      <c r="I74" t="inlineStr">
        <is>
          <t>Frankincense, Myrrh, Lotus</t>
        </is>
      </c>
      <c r="J74" t="inlineStr">
        <is>
          <t>Babylonian chaos goddess/primordial ocean.</t>
        </is>
      </c>
      <c r="K74" t="inlineStr">
        <is>
          <t>Egyptian lioness goddess of war, plague, and the destructive power of the sun. Ra sent her to destroy humanity when they rebelled against him — and she became so frenzied in the killing that she could not be stopped. Only 7,000 vessels of red beer, poured across the earth to look like blood, tricked her into drinking until she was too drunk to continue. The Egyptians thereafter held annual festivals of drunkenness in her honour to prevent her return. She was also a great healer — her priests were the first physicians of Egypt, understanding that the one who brings illness can also cure it.</t>
        </is>
      </c>
      <c r="L74" t="inlineStr">
        <is>
          <t>The fierce, sweltering heat of the desert wind and the protective lioness hunting in the tall, dry savanna grass, wielding the sun's destructive and healing fire.</t>
        </is>
      </c>
      <c r="M74" t="inlineStr">
        <is>
          <t>FRANKINCENSE</t>
        </is>
      </c>
      <c r="N74" t="inlineStr">
        <is>
          <t>Offerings to Sun Gods, Fumigation, Removing negativity, Exorcism, Incense blends, Smudging, Raising energy, Ritual offerings</t>
        </is>
      </c>
      <c r="BC74" t="inlineStr">
        <is>
          <t>SEKHMET</t>
        </is>
      </c>
    </row>
    <row r="75">
      <c r="A75" t="inlineStr">
        <is>
          <t>SELENE</t>
        </is>
      </c>
      <c r="B75" t="inlineStr">
        <is>
          <t>Deity</t>
        </is>
      </c>
      <c r="C75" t="inlineStr">
        <is>
          <t>Feminine</t>
        </is>
      </c>
      <c r="D75" t="inlineStr">
        <is>
          <t>Water</t>
        </is>
      </c>
      <c r="E75" t="inlineStr">
        <is>
          <t>Moon</t>
        </is>
      </c>
      <c r="F75" t="inlineStr">
        <is>
          <t>Monday</t>
        </is>
      </c>
      <c r="G75" t="inlineStr">
        <is>
          <t>All Seasons</t>
        </is>
      </c>
      <c r="H75" t="inlineStr">
        <is>
          <t>Divination, New beginnings, Prophetic dreams, Sun God offerings, Luck, Love rituals, Star magick, Love, Aphrodisiac, Harmony, Happiness, Clairvoyance, Attraction, Love spells,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Joy, Joyous celebrations, Contentment,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75" t="inlineStr">
        <is>
          <t>Jasmine, Moonflower</t>
        </is>
      </c>
      <c r="J75" t="inlineStr">
        <is>
          <t>Archetypal divine feminine.</t>
        </is>
      </c>
      <c r="K75" t="inlineStr">
        <is>
          <t>Greek goddess of the full moon who drove her silver chariot pulled by white horses across the night sky. She fell in love with the shepherd Endymion and asked Zeus to grant him eternal sleep so she could visit him each night on Mount Latmos. She had fifty daughters from this sleeping union. As the goddess of the full moon, her light was used for all significan't nocturnal magic. She was petitioned for love spells, and the Thessalian witches were famous for 'drawing down the moon' — compelling her to descend to earth with their powerful incan'tations.</t>
        </is>
      </c>
      <c r="L75" t="inlineStr">
        <is>
          <t>The pale, glowing moonstone buried in the dark earth, resonating quietly with the tidal pull of the ocean and the rhythmic blooming of nocturnal flora.</t>
        </is>
      </c>
      <c r="M75" t="inlineStr">
        <is>
          <t>JASMINE</t>
        </is>
      </c>
      <c r="N75" t="inlineStr">
        <is>
          <t>Snakebite magic, Divination, Charging crystals, Spiritual love, Attracting a soulmate, Wealth, Money, Sleep, Prophetic dreams, New ideas</t>
        </is>
      </c>
      <c r="O75" t="inlineStr">
        <is>
          <t>PINE NUT</t>
        </is>
      </c>
      <c r="P75" t="inlineStr">
        <is>
          <t>Strength, Life, Imm, tality, Rejuvenation, Prosperity, Purifying ritual areas, Purifying new homes, Staying the course, Warding off evil influences, Increasing fertility, Vig, ous old age, Cleansing negativity, Warding off illness, Protection, Purification, Divination, Keeping sickness away, Aiding the ill, Ensuring joy in the home, Banishing negative energies, Exorcism, cising evil entities, Attracting money, Breaking hexes, Returning hexes, Purifying the home, Fertility charms, Cleansing baths, Sanctifying outdo, ritual areas, Protection mixtures, Money mixtures, Healing mixtures</t>
        </is>
      </c>
      <c r="Q75" t="inlineStr">
        <is>
          <t>ST JOHN'S WORT</t>
        </is>
      </c>
      <c r="R75" t="inlineStr">
        <is>
          <t>Protection, divination, happiness, love, health, and strength. Hang above the door on Midsummer to protect the household through the dark half of the year. Burn to banish spirits and negative energies. Carry to detect magical attacks and protect against them. One of the most powerful protective herbs in the European tradition.</t>
        </is>
      </c>
      <c r="Y75" t="inlineStr">
        <is>
          <t>Aquamarine</t>
        </is>
      </c>
      <c r="Z75" t="inlineStr">
        <is>
          <t>Psychism, Peace, Confidence, Purification</t>
        </is>
      </c>
      <c r="AA75" t="inlineStr">
        <is>
          <t>Calcite</t>
        </is>
      </c>
      <c r="AB75" t="inlineStr">
        <is>
          <t>Luck, Prosperity, problem resolution, gambling, Healing, creativity, business success, attracting love.</t>
        </is>
      </c>
      <c r="AC75" t="inlineStr">
        <is>
          <t>Howlite</t>
        </is>
      </c>
      <c r="AD75" t="inlineStr">
        <is>
          <t>Stress relief, anxiety, Peace, tension, artistic expression, creativity, eliminating selfishness, purity, spirituality  Patience, Peace &amp; Insomnia.</t>
        </is>
      </c>
      <c r="AE75" t="inlineStr">
        <is>
          <t>Jet</t>
        </is>
      </c>
      <c r="AF75" t="inlineStr">
        <is>
          <t>Purification, psychic protection, virility, control, Luck, Healing, Divination, protection from illness &amp; violence, guarding against nightmares.</t>
        </is>
      </c>
      <c r="AG75" t="inlineStr">
        <is>
          <t>Lemon</t>
        </is>
      </c>
      <c r="AH75" t="inlineStr">
        <is>
          <t>Purification, Love, FRIENDSHIP</t>
        </is>
      </c>
      <c r="BA75" t="inlineStr">
        <is>
          <t>Aquamarine, Calcite, Howlite, Jet, Moonstone, quartz rutilated, quartz smokey, quartz snow</t>
        </is>
      </c>
      <c r="BB75" t="inlineStr">
        <is>
          <t>Lemon</t>
        </is>
      </c>
      <c r="BC75" t="inlineStr">
        <is>
          <t>SELENE</t>
        </is>
      </c>
    </row>
    <row r="76">
      <c r="A76" t="inlineStr">
        <is>
          <t>SHIVA</t>
        </is>
      </c>
      <c r="B76" t="inlineStr">
        <is>
          <t>Deity</t>
        </is>
      </c>
      <c r="C76" t="inlineStr">
        <is>
          <t>Masculine</t>
        </is>
      </c>
      <c r="D76" t="inlineStr">
        <is>
          <t>Fire/Earth</t>
        </is>
      </c>
      <c r="E76" t="inlineStr">
        <is>
          <t>Mars/Saturn</t>
        </is>
      </c>
      <c r="F76" t="inlineStr">
        <is>
          <t>Tuesday</t>
        </is>
      </c>
      <c r="G76" t="inlineStr">
        <is>
          <t>All Seasons</t>
        </is>
      </c>
      <c r="H76" t="inlineStr">
        <is>
          <t>New beginnings, Confidence, Protection, Protection (hexes/evil), Love rituals, Love, Aphrodisiac, Banishing, Warding, Strength, Harmony,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Attracting a mate, Attracting a soulmate, Conjuring a lover, HELP ATTRACT OPPOSITE SEX, Finding future love</t>
        </is>
      </c>
      <c r="I76" t="inlineStr">
        <is>
          <t>Datura, Lotus, Bilva</t>
        </is>
      </c>
      <c r="J76" t="inlineStr">
        <is>
          <t>Norse god of thunder and protection.</t>
        </is>
      </c>
      <c r="K76" t="inlineStr">
        <is>
          <t>Hindu god of destruction and transformation — one of the most powerful deities in the cosmos, whose magic includes the ability to dissolve the universe itself at the end of each cosmic age. He is simultaneously the ascetic yogi who contains all fire within stillness, and the Nataraja — Lord of the Dance — whose cosmic dance maintains the rhythm of the universe. His third eye burns with the fire of transcendent wisdom; his opening it destroyed the god of love, Kama. He holds the trident, the drum of creation, fire, and the cobra, and dances on the dwarf of ignorance.</t>
        </is>
      </c>
      <c r="L76" t="inlineStr">
        <is>
          <t>The wild, cosmic dance that destroys the decaying, overgrown forest, reducing the rot to ash so that the soil may be purified for new, vibrant creation.</t>
        </is>
      </c>
      <c r="M76" t="inlineStr">
        <is>
          <t>DEVILS CLAW ROOT</t>
        </is>
      </c>
      <c r="N76" t="inlineStr">
        <is>
          <t>Exorcism, Purification, Cleansing the home, Casting circles, Removing residual energies, Protection, Amulets/talismans, Do, way protection, Protective charms</t>
        </is>
      </c>
      <c r="BC76" t="inlineStr">
        <is>
          <t>SHIVA</t>
        </is>
      </c>
    </row>
    <row r="77">
      <c r="A77" t="inlineStr">
        <is>
          <t>SOL</t>
        </is>
      </c>
      <c r="B77" t="inlineStr">
        <is>
          <t>Deity</t>
        </is>
      </c>
      <c r="C77" t="inlineStr">
        <is>
          <t>Masculine</t>
        </is>
      </c>
      <c r="D77" t="inlineStr">
        <is>
          <t>Fire</t>
        </is>
      </c>
      <c r="E77" t="inlineStr">
        <is>
          <t>Sun</t>
        </is>
      </c>
      <c r="F77" t="inlineStr">
        <is>
          <t>Sunday</t>
        </is>
      </c>
      <c r="G77" t="inlineStr">
        <is>
          <t>Summer</t>
        </is>
      </c>
      <c r="H77" t="inlineStr">
        <is>
          <t>Divination, Prophetic dreams, Confidence, Sun God offerings, Luck, Love rituals, Star magick, Love, Aphrodisiac, Strength, Happiness, Clairvoyance, Attraction, Love spells, Enhancing divination, Divinatory incense, Foretelling the future, Future divination, Scrying, Dowsing, Prophecy,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77" t="inlineStr">
        <is>
          <t>Sunflower, Bay Laurel</t>
        </is>
      </c>
      <c r="J77" t="inlineStr">
        <is>
          <t>Roman goddess of love and beauty.</t>
        </is>
      </c>
      <c r="K77" t="inlineStr">
        <is>
          <t>The Roman solar deity, personification of the sun's raw, life-giving power. Sol Invictus — the Unconquered Sun — was Rome's last great pagan deity before Christianity, whose December 25th festival of rebirth was absorbed into the Christmas calendar. His magic was the life-force itself: the photonic energy that drives all growth, the warmth that thaws frozen ground, and the golden light that separates day from night. Roman emperors identified with Sol as a claim to divine, unconquerable power.</t>
        </is>
      </c>
      <c r="L77" t="inlineStr">
        <is>
          <t>The bright, golden sunflowers turning their heavy heads in perfect unison across the field, faithfully tracking the source of life from dawn until dusk.</t>
        </is>
      </c>
      <c r="M77" t="inlineStr">
        <is>
          <t>BAY LAUREL</t>
        </is>
      </c>
      <c r="N77" t="inlineStr">
        <is>
          <t>Clairvoyance, Consecration, Divination, Dreams, Exorcism, Healing, Love, Passion, Protection, Psychic protection, Purification, Wisdom, Wishes, Winter rituals, Yule magic</t>
        </is>
      </c>
      <c r="O77" t="inlineStr">
        <is>
          <t>CHAMOMILE</t>
        </is>
      </c>
      <c r="P77" t="inlineStr">
        <is>
          <t>Fortune, Justice, Love, Meditation, Money, Prosperity, Purification, Removing curses, Removing hexes, Serenity, Calm, Sleep</t>
        </is>
      </c>
      <c r="Q77" t="inlineStr">
        <is>
          <t>CHRYSANTHEMUM</t>
        </is>
      </c>
      <c r="R77" t="inlineStr">
        <is>
          <t>House blessing</t>
        </is>
      </c>
      <c r="S77" t="inlineStr">
        <is>
          <t>CINNAMON STICKS</t>
        </is>
      </c>
      <c r="T77" t="inlineStr">
        <is>
          <t>Clairvoyance, Consecration, Divination, Energy, Good luck, Love, Money, Passion, Peace, Prosperity, Protection, Psychic development, Success, Communication, Happiness, Harmony, Healing, Inspiration, Knowledge, Meditation, Purification, Spirituality, Tranquillity, Wisdom</t>
        </is>
      </c>
      <c r="U77" t="inlineStr">
        <is>
          <t>EYEBRIGHT</t>
        </is>
      </c>
      <c r="V77" t="inlineStr">
        <is>
          <t>Prophetic dreams, Seeing the unseen, Clarity, Removing deception, Rising above difficulty, Thanksgiving rituals, Joyous celebrations, Offerings of thanksgiving</t>
        </is>
      </c>
      <c r="W77" t="inlineStr">
        <is>
          <t>FRANKINCENSE</t>
        </is>
      </c>
      <c r="X77" t="inlineStr">
        <is>
          <t>Offerings to Sun Gods, Fumigation, Removing negativity, Exorcism, Incense blends, Smudging, Raising energy, Ritual offerings</t>
        </is>
      </c>
      <c r="Y77" t="inlineStr">
        <is>
          <t>Ametrine</t>
        </is>
      </c>
      <c r="Z77" t="inlineStr">
        <is>
          <t>Astral travel, magickal power, meditation, removing negativity.</t>
        </is>
      </c>
      <c r="AA77" t="inlineStr">
        <is>
          <t>Quartz Clear</t>
        </is>
      </c>
      <c r="AB77" t="inlineStr">
        <is>
          <t>Protection, Healing, psychism, Strength, lactation</t>
        </is>
      </c>
      <c r="AC77" t="inlineStr">
        <is>
          <t>Sunstone</t>
        </is>
      </c>
      <c r="AD77" t="inlineStr">
        <is>
          <t>Personal power, Healing, overcoming depression, physical energy, Protection, sexual arousal, sexual energy, increasing the energy of healing herbs, Prosperity, Strength, Confidence, independence.</t>
        </is>
      </c>
      <c r="AE77" t="inlineStr">
        <is>
          <t>Tiger Eye gold</t>
        </is>
      </c>
      <c r="AF77" t="inlineStr">
        <is>
          <t>Protects against external stresses, rest, es physical energy, Truth, underst, Attracting good spirits, emotional balance, Luck, good f, Fortune, travel protection, communication, recognition of own faults, overcoming stubb, nness, Confidence, connection with the Earth.</t>
        </is>
      </c>
      <c r="AG77" t="inlineStr">
        <is>
          <t>Frankincense</t>
        </is>
      </c>
      <c r="AH77" t="inlineStr">
        <is>
          <t>Luck, Protection, SPIRITUALITY, PROTECT AGAINST NEGATIVITY, EXC, Exorcism</t>
        </is>
      </c>
      <c r="AI77" t="inlineStr">
        <is>
          <t>Lemon</t>
        </is>
      </c>
      <c r="AJ77" t="inlineStr">
        <is>
          <t>Purification, Love, FRIENDSHIP</t>
        </is>
      </c>
      <c r="AK77" t="inlineStr">
        <is>
          <t>Orange Bitter</t>
        </is>
      </c>
      <c r="AL77" t="inlineStr">
        <is>
          <t>Divination, Love, Luck, Prosperity</t>
        </is>
      </c>
      <c r="BA77" t="inlineStr">
        <is>
          <t>Ametrine, Quartz Clear, Sunstone, Tiger Eye gold, Topaz, Amber</t>
        </is>
      </c>
      <c r="BB77" t="inlineStr">
        <is>
          <t>Frankincense, Orange Bitter</t>
        </is>
      </c>
      <c r="BC77" t="inlineStr">
        <is>
          <t>SOL</t>
        </is>
      </c>
    </row>
    <row r="78">
      <c r="A78" t="inlineStr">
        <is>
          <t>SOPHIA</t>
        </is>
      </c>
      <c r="B78" t="inlineStr">
        <is>
          <t>Archetype</t>
        </is>
      </c>
      <c r="C78" t="inlineStr">
        <is>
          <t>Feminine</t>
        </is>
      </c>
      <c r="D78" t="inlineStr">
        <is>
          <t>Air</t>
        </is>
      </c>
      <c r="E78" t="inlineStr">
        <is>
          <t>Mercury</t>
        </is>
      </c>
      <c r="F78" t="inlineStr">
        <is>
          <t>Wednesday</t>
        </is>
      </c>
      <c r="G78" t="inlineStr">
        <is>
          <t>All Seasons</t>
        </is>
      </c>
      <c r="H78" t="inlineStr">
        <is>
          <t>New beginnings, Harmony, Wisdom, Clairvoyance, Divination, Truth, Magical power, Star magick,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Knowledge, Intelligence, Intuition, Mental clarity, Sharpening the wits, Sharpening the brain, Mental powers, MEM, Memory, Illumination, Enlightenment,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Prophetic dreams, Invoking dreams, Dream work, Dreams, Visions, Seeing the unseen, Seeing manifestations, Honesty, Removing deception, Subconscious work, Digging into the subconscious, Uprooting what is hidden, Treasure seeking, Lost object finding, Increasing magical power, Increasing spell power, Power amplification, Bolstering spells, Bolstering incense, Strengthening spells, Potency, Power, Magic, WISDOM IN MAGICK, defensive magic</t>
        </is>
      </c>
      <c r="I78" t="inlineStr">
        <is>
          <t>Lotus, Rose</t>
        </is>
      </c>
      <c r="J78" t="inlineStr">
        <is>
          <t>Ancient personification of truth/speech.</t>
        </is>
      </c>
      <c r="K78" t="inlineStr">
        <is>
          <t>The Greek/Gnostic personification of divine wisdom — the feminine principle of cosmic intelligence through which God created the world. In Gnostic cosmology, Sophia's longing and self-expression gave rise to the material universe. She is the breath of God upon the waters, the fractal intelligence woven into nature's patterns, the sacred geometry hidden in the spiral of every fern and the structure of every honeycomb. She is wisdom that is not merely intellectual but experiential, embodied, and transformative.</t>
        </is>
      </c>
      <c r="L78" t="inlineStr">
        <is>
          <t>The intricate, fractal patterns found in the unfolding spiral of a fern frond and the sacred geometry of a honeycomb, revealing the divine wisdom woven into nature.</t>
        </is>
      </c>
      <c r="BC78" t="inlineStr">
        <is>
          <t>SOPHIA</t>
        </is>
      </c>
    </row>
    <row r="79">
      <c r="A79" t="inlineStr">
        <is>
          <t>TAIMAT</t>
        </is>
      </c>
      <c r="B79" t="inlineStr">
        <is>
          <t>Deity</t>
        </is>
      </c>
      <c r="C79" t="inlineStr">
        <is>
          <t>Feminine</t>
        </is>
      </c>
      <c r="D79" t="inlineStr">
        <is>
          <t>Water</t>
        </is>
      </c>
      <c r="E79" t="inlineStr">
        <is>
          <t>Moon</t>
        </is>
      </c>
      <c r="F79" t="inlineStr">
        <is>
          <t>Monday</t>
        </is>
      </c>
      <c r="G79" t="inlineStr">
        <is>
          <t>All Seasons</t>
        </is>
      </c>
      <c r="H79" t="inlineStr">
        <is>
          <t>New beginnings, Harmony, Prosperity, Fertility, Strength, Contacting planes, Otherworld travel,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79" t="inlineStr">
        <is>
          <t>Sea Salt (Mineral, Herb blend), Willow</t>
        </is>
      </c>
      <c r="J79" t="inlineStr">
        <is>
          <t>Variant spelling of Vac (Speech).</t>
        </is>
      </c>
      <c r="K79" t="inlineStr">
        <is>
          <t>Babylonian primordial goddess of the salt ocean whose body was the original substance of creation. In the Enuma Elish, the young god Marduk defeated her in cosmic battle, splitting her body in two — the upper half becoming the sky, the lower half the earth, her tears the rivers, her eyes the sources of the Tigris and Euphrates. She had birthed the first generation of gods from her union with Apsu (fresh water). Her death was not an ending but the birth of the ordered cosmos from primordial creative power.</t>
        </is>
      </c>
      <c r="L79" t="inlineStr">
        <is>
          <t>The chaotic, swirling, primordial saltwater oceans from which all life originally crawled, teeming with monstrous, beautiful, and ancient deep-sea magic.</t>
        </is>
      </c>
      <c r="Y79" t="inlineStr">
        <is>
          <t>Amazonite</t>
        </is>
      </c>
      <c r="Z79" t="inlineStr">
        <is>
          <t>Gambling, Prosperity</t>
        </is>
      </c>
      <c r="BA79" t="inlineStr">
        <is>
          <t>Amazonite</t>
        </is>
      </c>
      <c r="BC79" t="inlineStr">
        <is>
          <t>TAIMAT</t>
        </is>
      </c>
    </row>
    <row r="80">
      <c r="A80" t="inlineStr">
        <is>
          <t>THE GREAT MOTHER</t>
        </is>
      </c>
      <c r="B80" t="inlineStr">
        <is>
          <t>Deity</t>
        </is>
      </c>
      <c r="C80" t="inlineStr">
        <is>
          <t>Feminine</t>
        </is>
      </c>
      <c r="D80" t="inlineStr">
        <is>
          <t>Earth/Water</t>
        </is>
      </c>
      <c r="E80" t="inlineStr">
        <is>
          <t>Moon</t>
        </is>
      </c>
      <c r="F80" t="inlineStr">
        <is>
          <t>Monday</t>
        </is>
      </c>
      <c r="G80" t="inlineStr">
        <is>
          <t>All Seasons</t>
        </is>
      </c>
      <c r="H80" t="inlineStr">
        <is>
          <t>New beginnings, Harmony, Fertility, Healing, Protection, Prosperity, Strength, Samhain/ancestral altars, Breaking habits, Breaking bad habits, Ending negative self-talk, Letting go of relationships, Ending guilt, Release, Renewal, New beginning spells, Fresh starts, Transformation, Change, rebirth, Breakthrough, Awakening, Growth, New ideas, Assisting transformation, Transformation/Evolution,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Protective charm, Protective charms, Protective sachets, Protective wreaths, Protective incense, PROTECT AGAINST NEGATIVITY, Protection from negativity, Circle protection, Physical Strength, Fortitude, Vitality, Inner power, and strength,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80" t="inlineStr">
        <is>
          <t>Rose, Mugw, Amulets/talismans</t>
        </is>
      </c>
      <c r="J80" t="inlineStr">
        <is>
          <t>Roman goddess of the hearth and home.</t>
        </is>
      </c>
      <c r="K80" t="inlineStr">
        <is>
          <t>The universal cosmic mother from whom all existence emerges and into whom all things return — the endless source. She appears in every tradition: as Gaia, as Nuit, as Aditi in Hinduism, as Nut in Egypt, as the primal deep of Genesis. Her magic is absolute — the power of pure, unconditional creative generativity. She is the delta where all waters meet, the fertile ground of all possibility, the mystery that precedes all named deities and contains them all within herself.</t>
        </is>
      </c>
      <c r="L80" t="inlineStr">
        <is>
          <t>The fertile, muddy delta where the freshwater river meets the salty sea, creating a rich, brackish nursery where countless species of fish and birds are born.</t>
        </is>
      </c>
      <c r="BC80" t="inlineStr">
        <is>
          <t>THE GREAT MOTHER</t>
        </is>
      </c>
    </row>
    <row r="81">
      <c r="A81" t="inlineStr">
        <is>
          <t>THOR</t>
        </is>
      </c>
      <c r="B81" t="inlineStr">
        <is>
          <t>Deity</t>
        </is>
      </c>
      <c r="C81" t="inlineStr">
        <is>
          <t>Masculine</t>
        </is>
      </c>
      <c r="D81" t="inlineStr">
        <is>
          <t>Fire/Air</t>
        </is>
      </c>
      <c r="E81" t="inlineStr">
        <is>
          <t>Jupiter</t>
        </is>
      </c>
      <c r="F81" t="inlineStr">
        <is>
          <t>Thursday</t>
        </is>
      </c>
      <c r="G81" t="inlineStr">
        <is>
          <t>Summer</t>
        </is>
      </c>
      <c r="H81" t="inlineStr">
        <is>
          <t>New beginnings, Confidence, Sun God offerings, Protection, Protection (hexes/evil), Luck, Love rituals, Love, Aphrodisiac, Banishing, Warding, Strength, Harmony, Happiness, Attraction, Love spells, Breaking habits, Breaking bad habits, Ending negative self-talk, Letting go of relationships, Ending guilt, Release, Renewal, New beginning spells, Fresh starts, Transformation, Change, rebirth, Breakthrough, Awakening, Growth, New ideas, Assisting transformation, Transformation/Evolution,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Joy, Joyous celebrations, Contentment, Attracting a mate, Attracting a soulmate, Conjuring a lover, HELP ATTRACT OPPOSITE SEX, Finding future love</t>
        </is>
      </c>
      <c r="I81" t="inlineStr">
        <is>
          <t>Oak, Houseleek</t>
        </is>
      </c>
      <c r="J81" t="inlineStr">
        <is>
          <t>Preserver god in the Hindu trinity.</t>
        </is>
      </c>
      <c r="K81" t="inlineStr">
        <is>
          <t>Norse god of thunder, lightning, and the protection of humanity whose most famous magical implement was Mjolnir — the great hammer that could level mountains and return to his hand after being thrown. He wore the belt Megingjörð, which doubled his already immense strength, and iron gloves to wield Mjolnir. He drove his chariot pulled by the goats Tanngrisnir and Tanngnjóstr across the sky — their hoofbeats creating thunder. He was also a god of consecration: Mjolnir was used in blessing marriages and births, making his destructive force equally sacred and creative.</t>
        </is>
      </c>
      <c r="L81" t="inlineStr">
        <is>
          <t>The sudden, booming thunderclap that precedes a heavy summer rainstorm, shaking the mighty oak trees and electrifying the earth's magnetic field to feed the soil.</t>
        </is>
      </c>
      <c r="M81" t="inlineStr">
        <is>
          <t>CALAMUS ROOT</t>
        </is>
      </c>
      <c r="N81" t="inlineStr">
        <is>
          <t>Aphrodisiac, Harmony, Love, Peace, Tranquillity, Strengthening spells, Binding spells, Healing incenses, Healing sachets, Emotional exhaustion, Self-confidence, Success</t>
        </is>
      </c>
      <c r="O81" t="inlineStr">
        <is>
          <t>CHIVE</t>
        </is>
      </c>
      <c r="P81" t="inlineStr">
        <is>
          <t>Banishing, Exorcism, Breaking bad habits, Dispelling melancholy, Protection against disease, Weight loss spells</t>
        </is>
      </c>
      <c r="Q81" t="inlineStr">
        <is>
          <t>COMFREY</t>
        </is>
      </c>
      <c r="R81" t="inlineStr">
        <is>
          <t>Healing, Travel safety, Money spells, Protection for travellers, Protection against theft, Luggage protection, Faithfulness, Vehicle protection, Casino luck, Borage substitute, Ritual bath, Divination, Concentration, Letting go of relationships</t>
        </is>
      </c>
      <c r="S81" t="inlineStr">
        <is>
          <t>DRAGON'S BLOOD</t>
        </is>
      </c>
      <c r="T81" t="inlineStr">
        <is>
          <t>Bolstering incense, Increasing spell power, Warding, Cleansing, Offertory incense, Consecration, Warding oil, Anointing, Dragon's blood ink, Talismans, Pacts and seals, Grimoire writing</t>
        </is>
      </c>
      <c r="U81" t="inlineStr">
        <is>
          <t>DRAGON'S BLOOD RESIN</t>
        </is>
      </c>
      <c r="V81" t="inlineStr">
        <is>
          <t>Power amplification, protection, love, banishing, and potency spells. Add to any magical working to dramatically increase its power. Burn as incense to cleanse and charge the ritual space. Used in love spells to create intense passion. Write wishes on paper and burn with dragon's blood for manifestation. Excellent for purification and banishing rituals.</t>
        </is>
      </c>
      <c r="W81" t="inlineStr">
        <is>
          <t>OAKBARK RED</t>
        </is>
      </c>
      <c r="X81" t="inlineStr">
        <is>
          <t>Truth, Steadfast knowledge, Protection, Vitality, Long life, Healing, Grounding, Focus, Observation, Intuition, Bravery, Presence, Leadership skills, Prosperity, Strength, Psychic development, Rest, Sleep</t>
        </is>
      </c>
      <c r="Y81" t="inlineStr">
        <is>
          <t>Amethyst</t>
        </is>
      </c>
      <c r="Z81"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A81" t="inlineStr">
        <is>
          <t>Bloodstone</t>
        </is>
      </c>
      <c r="AB81" t="inlineStr">
        <is>
          <t>Healing, Prosperity, Confidence, physical strength, stress relief, help in business, legal matters, revitalization, guidance, rain, ganization.</t>
        </is>
      </c>
      <c r="AC81" t="inlineStr">
        <is>
          <t>Chrysocolla</t>
        </is>
      </c>
      <c r="AD81" t="inlineStr">
        <is>
          <t>Clarity, Peace, patience, Love, wisdom, Negating dreams, Harmony, Prosperity, growth, hope, intimacy, Divination, tolerance, sleep, creativity, self-awareness.</t>
        </is>
      </c>
      <c r="AE81" t="inlineStr">
        <is>
          <t>chrysophase</t>
        </is>
      </c>
      <c r="AF81" t="inlineStr">
        <is>
          <t>Happiness, lick, Prosperity, Friendship, Protection, Healing</t>
        </is>
      </c>
      <c r="AG81" t="inlineStr">
        <is>
          <t>Neroli</t>
        </is>
      </c>
      <c r="AH81" t="inlineStr">
        <is>
          <t>Prosperity</t>
        </is>
      </c>
      <c r="AI81" t="inlineStr">
        <is>
          <t>Rose</t>
        </is>
      </c>
      <c r="AJ81" t="inlineStr">
        <is>
          <t>Peace, Protection, Luck, PROMOTE LOVE &amp; AFFECTION</t>
        </is>
      </c>
      <c r="AO81" t="inlineStr">
        <is>
          <t>URUZ</t>
        </is>
      </c>
      <c r="AP81" t="inlineStr">
        <is>
          <t>U/OO</t>
        </is>
      </c>
      <c r="AQ81" t="inlineStr">
        <is>
          <t>Strength, Bolstering spells, Healing, Confidence, Protection, Fertility, Fruitfulness</t>
        </is>
      </c>
      <c r="AR81" t="inlineStr">
        <is>
          <t>THURISAZ</t>
        </is>
      </c>
      <c r="AS81" t="inlineStr">
        <is>
          <t>TH</t>
        </is>
      </c>
      <c r="AT81" t="inlineStr">
        <is>
          <t>Protection, Protection (hexes/evil), Banishing, Warding, Exorcism, Magical power, Strength</t>
        </is>
      </c>
      <c r="BA81" t="inlineStr">
        <is>
          <t>Amethyst, Bloodstone, Iolite, Lepidolite, Pyrite (Fool's Gold), Red Jasper, Rhodocrosite, Rhodonite, Ruby, Sodalite, Yellow Aventurine</t>
        </is>
      </c>
      <c r="BC81" t="inlineStr">
        <is>
          <t>THOR</t>
        </is>
      </c>
    </row>
    <row r="82">
      <c r="A82" t="inlineStr">
        <is>
          <t>TITIANA</t>
        </is>
      </c>
      <c r="B82" t="inlineStr">
        <is>
          <t>Deity</t>
        </is>
      </c>
      <c r="C82" t="inlineStr">
        <is>
          <t>Feminine</t>
        </is>
      </c>
      <c r="D82" t="inlineStr">
        <is>
          <t>Earth/Air</t>
        </is>
      </c>
      <c r="E82" t="inlineStr">
        <is>
          <t>Moon</t>
        </is>
      </c>
      <c r="F82" t="inlineStr">
        <is>
          <t>Monday</t>
        </is>
      </c>
      <c r="G82" t="inlineStr">
        <is>
          <t>Summer</t>
        </is>
      </c>
      <c r="H82" t="inlineStr">
        <is>
          <t>Divination, New beginnings, Fruitfulness, Prophetic dreams, Sun God offerings, Luck, Spirit offerings, Mabon/Samhain, Samhain/ancestral altars, Happiness, Star magick, Increasing wealth, Contacting planes, Harmony, Prosperity, Clairvoyance, Fertility,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Female fertility, Fertility magic, Fertility charms, Aiding fertility, Increasing fertility,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Invoking dreams, Dream work, Dreams, Visions, Seeing the unseen, Seeing manifestations, Truth,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Joy, Joyous celebrations, Contentment, Enhancing clairvoyance, Psychic development, Psychic powers, INCREASE PSYCHIC ABILITIES, Psychic awareness, Stimulating psychic senses, Disabling psychic phenomena, Psychic communication, communication and psychic abilities</t>
        </is>
      </c>
      <c r="I82" t="inlineStr">
        <is>
          <t>Lavender, Rose</t>
        </is>
      </c>
      <c r="J82" t="inlineStr">
        <is>
          <t>Greek king of the gods.</t>
        </is>
      </c>
      <c r="K82" t="inlineStr">
        <is>
          <t>A variant of Titania — Queen of the Fairies in English folklore and Shakespeare's 'A Midsummer Night's Dream'. Her magic is the secret, miniature world of the fairy court: the glamour that makes the ordinary world shimmer with hidden enchantment, the power to bless or blight crops and children, and the sovereign command over all the spirits of the natural world. She rules the fairy rings, the dew on midnight grass, and the liminal spaces between the human world and the otherworld.</t>
        </is>
      </c>
      <c r="L82" t="inlineStr">
        <is>
          <t>The hidden fairy rings of white mushrooms sprouting in the damp grass, guarding the secretive, miniature magic of beetles, dew drops, and moss.</t>
        </is>
      </c>
      <c r="M82" t="inlineStr">
        <is>
          <t>MEADOW SWEET</t>
        </is>
      </c>
      <c r="N82" t="inlineStr">
        <is>
          <t>Love, divination, peace, happiness, and Midsummer rituals. Strew across floors for joy and peace in the home. Use in Midsummer/Litha incense blends. Carry to attract love and promote cheerfulness. Place on the altar during divination to encourage truthful visions. One of the three sacred herbs of the Druids.</t>
        </is>
      </c>
      <c r="O82" t="inlineStr">
        <is>
          <t>THYME</t>
        </is>
      </c>
      <c r="P82"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t>
        </is>
      </c>
      <c r="AG82" t="inlineStr">
        <is>
          <t>Thyme</t>
        </is>
      </c>
      <c r="AH82" t="inlineStr">
        <is>
          <t>Healing, Love, Purification, Confidence</t>
        </is>
      </c>
      <c r="BB82" t="inlineStr">
        <is>
          <t>Thyme</t>
        </is>
      </c>
      <c r="BC82" t="inlineStr">
        <is>
          <t>TITIANA</t>
        </is>
      </c>
    </row>
    <row r="83">
      <c r="A83" t="inlineStr">
        <is>
          <t>VAC</t>
        </is>
      </c>
      <c r="B83" t="inlineStr">
        <is>
          <t>Deity</t>
        </is>
      </c>
      <c r="C83" t="inlineStr">
        <is>
          <t>Feminine</t>
        </is>
      </c>
      <c r="D83" t="inlineStr">
        <is>
          <t>Air</t>
        </is>
      </c>
      <c r="E83" t="inlineStr">
        <is>
          <t>Mercury</t>
        </is>
      </c>
      <c r="F83" t="inlineStr">
        <is>
          <t>Wednesday</t>
        </is>
      </c>
      <c r="G83" t="inlineStr">
        <is>
          <t>All Seasons</t>
        </is>
      </c>
      <c r="H83" t="inlineStr">
        <is>
          <t>Magical power, General Rituals, Wisdom, Clairvoyance, Divination, Truth, Communication, Star magick, Increasing magical power, Increasing spell power, Power amplification, Bolstering spells, Bolstering incense, Strengthening spells, Potency, Power, Magic, WISDOM IN MAGICK, defensive magic,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Prophetic dreams, Invoking dreams, Dream work, Dreams, Visions, Seeing the unseen, Seeing manifestations,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I83" t="inlineStr">
        <is>
          <t>Lotus</t>
        </is>
      </c>
      <c r="J83" t="inlineStr">
        <is>
          <t>Placeholder/General indicator.</t>
        </is>
      </c>
      <c r="K83" t="inlineStr">
        <is>
          <t>Sanskrit goddess of the sacred spoken word — the personification of speech, language, and mantra whose voice is the creative force of the universe. In the Rigveda she declares 'I am the Queen who gathers together the treasure of the universe.' She is the living power behind all sacred sound: every mantra, every hymn, every sacred syllable of Om. Her magic is the primordial understanding that language is not merely descriptive but creative — the spoken word does not describe reality, it generates it.</t>
        </is>
      </c>
      <c r="L83" t="inlineStr">
        <is>
          <t>The resonant vibration of sound traveling through the dense forest canopy, where the hum of the wind through the leaves is the sacred, spoken word of creation itself.</t>
        </is>
      </c>
      <c r="BC83" t="inlineStr">
        <is>
          <t>VAC</t>
        </is>
      </c>
    </row>
    <row r="84">
      <c r="A84" t="inlineStr">
        <is>
          <t>VAK</t>
        </is>
      </c>
      <c r="B84" t="inlineStr">
        <is>
          <t>Deity</t>
        </is>
      </c>
      <c r="C84" t="inlineStr">
        <is>
          <t>Feminine</t>
        </is>
      </c>
      <c r="D84" t="inlineStr">
        <is>
          <t>Air/Water</t>
        </is>
      </c>
      <c r="E84" t="inlineStr">
        <is>
          <t>Mercury</t>
        </is>
      </c>
      <c r="F84" t="inlineStr">
        <is>
          <t>Wednesday</t>
        </is>
      </c>
      <c r="G84" t="inlineStr">
        <is>
          <t>All Seasons</t>
        </is>
      </c>
      <c r="H84" t="inlineStr">
        <is>
          <t>Magical power, General Rituals, Wisdom, Clairvoyance, Divination, Truth, Communication, Star magick, Increasing magical power, Increasing spell power, Power amplification, Bolstering spells, Bolstering incense, Strengthening spells, Potency, Power, Magic, WISDOM IN MAGICK, defensive magic,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Prophetic dreams, Invoking dreams, Dream work, Dreams, Visions, Seeing the unseen, Seeing manifestations, Honesty, Removing deception, Subconscious work, Digging into the subconscious, Uprooting what is hidden, Treasure seeking, Lost object finding,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I84" t="inlineStr">
        <is>
          <t>Lotus</t>
        </is>
      </c>
      <c r="J84" t="inlineStr">
        <is>
          <t>Group identifier for all goddesses.</t>
        </is>
      </c>
      <c r="K84" t="inlineStr">
        <is>
          <t>A variant of Vac — the Vedic goddess of sacred speech and the power of the word. As the river of sound flowing through the cosmos, Vak carries the resonance of divine creation in her current. The chanting of sacred hymns is her body; the breath of the priest is her presence. She is the magical principle that to name a thing is to know it, and to know a thing is to participate in its creation. The universe speaks itself into being through her voice.</t>
        </is>
      </c>
      <c r="L84" t="inlineStr">
        <is>
          <t>The rhythmic rushing of the river over smooth river-stones, chanting an endless, watery mantra that patiently carves grand valleys over millennia.</t>
        </is>
      </c>
      <c r="BC84" t="inlineStr">
        <is>
          <t>VAK</t>
        </is>
      </c>
    </row>
    <row r="85">
      <c r="A85" t="inlineStr">
        <is>
          <t>VENUS</t>
        </is>
      </c>
      <c r="B85" t="inlineStr">
        <is>
          <t>Deity</t>
        </is>
      </c>
      <c r="C85" t="inlineStr">
        <is>
          <t>Feminine</t>
        </is>
      </c>
      <c r="D85" t="inlineStr">
        <is>
          <t>Water/Earth</t>
        </is>
      </c>
      <c r="E85" t="inlineStr">
        <is>
          <t>Venus</t>
        </is>
      </c>
      <c r="F85" t="inlineStr">
        <is>
          <t>Friday</t>
        </is>
      </c>
      <c r="G85" t="inlineStr">
        <is>
          <t>Spring</t>
        </is>
      </c>
      <c r="H85" t="inlineStr">
        <is>
          <t>Divination, New beginnings, Prophetic dreams, Spirit offerings, Mabon/Samhain, Samhain/ancestral altars, Love rituals, Star magick, Love, Aphrodisiac, Contacting planes, Harmony, Peace, Clairvoyance, Attraction, Love spells,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 rituals, Samhain, Aphrodisiac tea, Sensuality, Lust, Lust/Sex, Passionate love-making, LOVING &amp; LUSTFUL ENERGIES, SEX MAGIC, RAISE SEXUAL ENERGY, Sexual energy,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85" t="inlineStr">
        <is>
          <t>Rose, Apple Blossom, Vervain</t>
        </is>
      </c>
      <c r="J85" t="inlineStr">
        <is>
          <t>Group identifier for lunar goddesses.</t>
        </is>
      </c>
      <c r="K85" t="inlineStr">
        <is>
          <t>Roman goddess of love, beauty, desire, and the creative force that holds all relationships together. She was born from the sea-foam and arrived on the shores of Cyprus on a scallop shell. Her magic was the irresistible force of attraction — her golden girdle could make any who saw it fall hopelessly in love. She protected Rome as the divine mother of Aeneas, the legendary ancestor of the Roman people. Her son Cupid carried her power into the world on winged arrows, and her sacred mirror, myrtle, and dove were used in love magic across the ancient world.</t>
        </is>
      </c>
      <c r="L85" t="inlineStr">
        <is>
          <t>The delicate, unfolding pink petals of the damask rose and the ripe, sweet juice of the apple, embodying the lush, sensory pleasure of the overgrown garden.</t>
        </is>
      </c>
      <c r="M85" t="inlineStr">
        <is>
          <t>APPLE BLOSSOM</t>
        </is>
      </c>
      <c r="N85" t="inlineStr">
        <is>
          <t>Love spells, Peace, Contentment, Success, Relaxation, Bath magic</t>
        </is>
      </c>
      <c r="O85" t="inlineStr">
        <is>
          <t>VERVAIN</t>
        </is>
      </c>
      <c r="P85" t="inlineStr">
        <is>
          <t>Protection, Defending against spells, Warding off witches, Exorcising evil entities, Ju-ju / gris-gris protection, Protection for infants, Protection from negativity</t>
        </is>
      </c>
      <c r="Q85" t="inlineStr">
        <is>
          <t>APPLEWOOD CHIPS</t>
        </is>
      </c>
      <c r="R85" t="inlineStr">
        <is>
          <t>Wand making, Love spells, Mabon rituals, Samhain rituals, Honouring the dead, Ancestral altars, Spirit offerings</t>
        </is>
      </c>
      <c r="S85" t="inlineStr">
        <is>
          <t>BENZOIN</t>
        </is>
      </c>
      <c r="T85" t="inlineStr">
        <is>
          <t>Purification, Sanctifying an area, Attracting business, Incense base, Substitute for storax, Focus, Concentration</t>
        </is>
      </c>
      <c r="U85" t="inlineStr">
        <is>
          <t>BLACKBERRY LEAVES</t>
        </is>
      </c>
      <c r="V85" t="inlineStr">
        <is>
          <t>Protection, Protective wreaths, Mojo bags, Household protection, Prosperity, Female fertility, Aphrodisiac tea, Abundant harvest, Magical cooking</t>
        </is>
      </c>
      <c r="W85" t="inlineStr">
        <is>
          <t>CINNAMON STICKS</t>
        </is>
      </c>
      <c r="X85" t="inlineStr">
        <is>
          <t>Clairvoyance, Consecration, Divination, Energy, Good luck, Love, Money, Passion, Peace, Prosperity, Protection, Psychic development, Success, Communication, Happiness, Harmony, Healing, Inspiration, Knowledge, Meditation, Purification, Spirituality, Tranquillity, Wisdom</t>
        </is>
      </c>
      <c r="Y85" t="inlineStr">
        <is>
          <t>Chrysocolla</t>
        </is>
      </c>
      <c r="Z85" t="inlineStr">
        <is>
          <t>Clarity, Peace, patience, Love, wisdom, Negating dreams, Harmony, Prosperity, growth, hope, intimacy, Divination, tolerance, sleep, creativity, self-awareness.</t>
        </is>
      </c>
      <c r="AA85" t="inlineStr">
        <is>
          <t>chrysophase</t>
        </is>
      </c>
      <c r="AB85" t="inlineStr">
        <is>
          <t>Happiness, lick, Prosperity, Friendship, Protection, Healing</t>
        </is>
      </c>
      <c r="AC85" t="inlineStr">
        <is>
          <t>Copper flakes</t>
        </is>
      </c>
      <c r="AD85" t="inlineStr">
        <is>
          <t>Love, Peace, friendships</t>
        </is>
      </c>
      <c r="AE85" t="inlineStr">
        <is>
          <t>Emerald</t>
        </is>
      </c>
      <c r="AF85" t="inlineStr">
        <is>
          <t>Psychic awareness, meditation, Divination, Peace, sleep, Healing, Love, friendship, protection from evil, business success, mem, Clairvoyance, recognition, faith, Fertility, serenity, underst, Attracting good spirits, balance. Represents Time, the astral planes</t>
        </is>
      </c>
      <c r="AG85" t="inlineStr">
        <is>
          <t>Frankincense</t>
        </is>
      </c>
      <c r="AH85" t="inlineStr">
        <is>
          <t>Luck, Protection, SPIRITUALITY, PROTECT AGAINST NEGATIVITY, EXC, Exorcism</t>
        </is>
      </c>
      <c r="AI85" t="inlineStr">
        <is>
          <t>Geranium</t>
        </is>
      </c>
      <c r="AJ85" t="inlineStr">
        <is>
          <t>Love, Fertility, Healing, Protection</t>
        </is>
      </c>
      <c r="AK85" t="inlineStr">
        <is>
          <t>Marjoram</t>
        </is>
      </c>
      <c r="AL85" t="inlineStr">
        <is>
          <t>Happiness, Healing, Love, Prosperity, Protection</t>
        </is>
      </c>
      <c r="AM85" t="inlineStr">
        <is>
          <t>Pine</t>
        </is>
      </c>
      <c r="AN85" t="inlineStr">
        <is>
          <t>PROSPERITY SPELLS, Prosperity</t>
        </is>
      </c>
      <c r="BA85" t="inlineStr">
        <is>
          <t>Chrysocolla, chrysophase, Copper flakes, Emerald, Fuchsite, Goldstone, Jade (jadeite), Lapis Lazuli, Lodestone, Malachite, Onyx, Peridot, Seraphinite, Unakite</t>
        </is>
      </c>
      <c r="BB85" t="inlineStr">
        <is>
          <t>Frankincense, Geranium, Marjoram, Pine, Thyme, Vanilla, Ylang Ylang, Ginger</t>
        </is>
      </c>
      <c r="BC85" t="inlineStr">
        <is>
          <t>VENUS</t>
        </is>
      </c>
    </row>
    <row r="86">
      <c r="A86" t="inlineStr">
        <is>
          <t>VESTA</t>
        </is>
      </c>
      <c r="B86" t="inlineStr">
        <is>
          <t>Concept</t>
        </is>
      </c>
      <c r="C86" t="inlineStr">
        <is>
          <t>Feminine</t>
        </is>
      </c>
      <c r="D86" t="inlineStr">
        <is>
          <t>Fire</t>
        </is>
      </c>
      <c r="E86" t="inlineStr">
        <is>
          <t>Sun</t>
        </is>
      </c>
      <c r="F86" t="inlineStr">
        <is>
          <t>Sunday</t>
        </is>
      </c>
      <c r="G86" t="inlineStr">
        <is>
          <t>Winter</t>
        </is>
      </c>
      <c r="H86" t="inlineStr">
        <is>
          <t>New beginnings, Strength, Confidence, Harmony, Breaking habits, Breaking bad habits, Ending negative self-talk, Letting go of relationships, Ending guilt, Release, Renewal, New beginning spells, Fresh starts, Transformation, Change, rebirth, Breakthrough, Awakening, Growth, New ideas, Assisting transformation, Transformation/Evolution, Physical Strength, Fortitude, Vitality, Inner power, and strength,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86" t="inlineStr">
        <is>
          <t>Rosemary, Bay Laurel</t>
        </is>
      </c>
      <c r="J86" t="inlineStr">
        <is>
          <t>Archetypal feminine source of life.</t>
        </is>
      </c>
      <c r="K86" t="inlineStr">
        <is>
          <t>Roman goddess of the sacred hearth whose eternal flame in the Forum Romanum was the symbolic heart of Rome itself. The Vestal Virgins tended her fire for 30-year terms — allowed to go out only at the new year, when it was rekindled by friction from sacred wood. The fire was considered a living deity: as long as it burned, Rome was safe. Vesta's magic was the alchemy of the contained flame — the transforming power of fire held in its right place, nurturing rather than destroying, the sacred mystery of the home as a temple.</t>
        </is>
      </c>
      <c r="L86" t="inlineStr">
        <is>
          <t>The warm, contained hearth-fire burning cleanly with fragrant cedar and sage, bringing the wild element of fire indoors to nurture, heat, and protect.</t>
        </is>
      </c>
      <c r="M86" t="inlineStr">
        <is>
          <t>ROSEMARY</t>
        </is>
      </c>
      <c r="N86" t="inlineStr">
        <is>
          <t>Cleansing, Consecration, Exorcism, Healing, Sleep, Peace of mind, Confidence, Courage, Good luck, Grieving, Happiness, Knowledge, Love, Memory, Passion, Preventing theft, Protection, Psychic development, Psychic protection, Purification, Release, Water rites, Sea rituals, Weddings, Blessings, Dreams, Endings, Energy, Elves, Fidelity, Honesty, Inspiration, Invocation, Longevity, Meditation, New moon, Preventing nightmares, Strength, Transformation, Wisdom</t>
        </is>
      </c>
      <c r="O86" t="inlineStr">
        <is>
          <t>BAY LAUREL</t>
        </is>
      </c>
      <c r="P86" t="inlineStr">
        <is>
          <t>Clairvoyance, Consecration, Divination, Dreams, Exorcism, Healing, Love, Passion, Protection, Psychic protection, Purification, Wisdom, Wishes, Winter rituals, Yule magic</t>
        </is>
      </c>
      <c r="AG86" t="inlineStr">
        <is>
          <t>Rosemary</t>
        </is>
      </c>
      <c r="AH86" t="inlineStr">
        <is>
          <t>Healing, Love, Protection, Purification</t>
        </is>
      </c>
      <c r="BB86" t="inlineStr">
        <is>
          <t>Rosemary</t>
        </is>
      </c>
      <c r="BC86" t="inlineStr">
        <is>
          <t>VESTA</t>
        </is>
      </c>
    </row>
    <row r="87">
      <c r="A87" t="inlineStr">
        <is>
          <t>VISHNU</t>
        </is>
      </c>
      <c r="B87" t="inlineStr">
        <is>
          <t>Group</t>
        </is>
      </c>
      <c r="C87" t="inlineStr">
        <is>
          <t>Masculine</t>
        </is>
      </c>
      <c r="D87" t="inlineStr">
        <is>
          <t>Water/Earth</t>
        </is>
      </c>
      <c r="E87" t="inlineStr">
        <is>
          <t>Jupiter</t>
        </is>
      </c>
      <c r="F87" t="inlineStr">
        <is>
          <t>Thursday</t>
        </is>
      </c>
      <c r="G87" t="inlineStr">
        <is>
          <t>All Seasons</t>
        </is>
      </c>
      <c r="H87" t="inlineStr">
        <is>
          <t>Divination, New beginnings, Prophetic dreams, Confidence, Sun God offerings, Luck, Love rituals, Star magick, Love, Aphrodisiac, Strength, Harmony, Happiness, Clairvoyance, Attraction, Love spells,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magick, Love drawing, Attracting love, Love-attracting rituals, Inviting love, Inducing love, Love charms, Love enchantment, Finding love, Romantic love ceremonies, PROMOTE LOVE &amp; AFFECTION, LOVE &amp; PEACE, Spiritual love,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Aphrodisiac tea, Sensuality, Lust, Lust/Sex, Passionate love-making, LOVING &amp; LUSTFUL ENERGIES, SEX MAGIC, RAISE SEXUAL ENERGY, Sexual energy,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 Attracting a mate, Attracting a soulmate, Conjuring a lover, HELP ATTRACT OPPOSITE SEX, Finding future love</t>
        </is>
      </c>
      <c r="I87" t="inlineStr">
        <is>
          <t>Tulsi (Holy Basil), Lotus</t>
        </is>
      </c>
      <c r="J87" t="inlineStr">
        <is>
          <t>Egyptian goddess of the night sky.</t>
        </is>
      </c>
      <c r="K87" t="inlineStr">
        <is>
          <t>Hindu god of preservation and cosmic order who descends in avatar form whenever the universe is in danger. He has taken ten famous avatars including a fish, tortoise, boar, lion-man, dwarf, and warrior, but his most beloved are Rama — the ideal king — and Krishna — the divine lover and teacher of the Bhagavad Gita. His magic is the Sudarshana Chakra, a spinning disc of blazing light that destroys all evil, and his shankha (conch) whose sound dispels darkness. He reclines on the cosmic ocean between ages, dreaming the next creation into being.</t>
        </is>
      </c>
      <c r="L87" t="inlineStr">
        <is>
          <t>The preserving force of the banyan tree, dropping endless aerial roots to form new trunks, creating an endlessly expanding green sanctuary for all forest creatures.</t>
        </is>
      </c>
      <c r="M87" t="inlineStr">
        <is>
          <t>BASIL</t>
        </is>
      </c>
      <c r="N87"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BC87" t="inlineStr">
        <is>
          <t>VISHNU</t>
        </is>
      </c>
    </row>
    <row r="88">
      <c r="A88" t="inlineStr">
        <is>
          <t>ZEUS</t>
        </is>
      </c>
      <c r="B88" t="inlineStr">
        <is>
          <t>Group</t>
        </is>
      </c>
      <c r="C88" t="inlineStr">
        <is>
          <t>Masculine</t>
        </is>
      </c>
      <c r="D88" t="inlineStr">
        <is>
          <t>Air/Fire</t>
        </is>
      </c>
      <c r="E88" t="inlineStr">
        <is>
          <t>Jupiter</t>
        </is>
      </c>
      <c r="F88" t="inlineStr">
        <is>
          <t>Thursday</t>
        </is>
      </c>
      <c r="G88" t="inlineStr">
        <is>
          <t>Summer</t>
        </is>
      </c>
      <c r="H88" t="inlineStr">
        <is>
          <t>Divination, New beginnings, Prophetic dreams, Confidence, Sun God offerings, Protection, Protection (hexes/evil), Luck, Star magick, Banishing, Warding, Strength, Harmony, Happiness, Clairvoyance, Enhancing divination, Divinatory incense, Foretelling the future, Future divination, Scrying, Dowsing, Prophecy, Breaking habits, Breaking bad habits, Ending negative self-talk, Letting go of relationships, Ending guilt, Release, Renewal, New beginning spells, Fresh starts, Transformation, Change, rebirth, Breakthrough, Awakening, Growth, New ideas, Assisting transformation, Transformation/Evolution, Invoking dreams, Dream work, Dreams, Visions, Seeing the unseen, Seeing manifestations, Truth, Honesty, Removing deception, Subconscious work, Digging into the subconscious, Uprooting what is hidden, Treasure seeking, Lost object finding,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Solar spells,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Physical Strength, Fortitude, Vitality, Inner power, and strength, Joy, Joyous celebrations, Contentment, Enhancing clairvoyance, Psychic development, Psychic powers, INCREASE PSYCHIC ABILITIES, Psychic awareness, Stimulating psychic senses, Disabling psychic phenomena, Psychic communication, communication and psychic abilities</t>
        </is>
      </c>
      <c r="I88" t="inlineStr">
        <is>
          <t>Oak, Sage</t>
        </is>
      </c>
      <c r="J88" t="inlineStr">
        <is>
          <t>Greek goddess of the moon.</t>
        </is>
      </c>
      <c r="K88" t="inlineStr">
        <is>
          <t>King of the Olympian gods whose primary magic was the thunderbolt — the direct expression of divine will made visible and devastating. He transformed himself into animals (swan, bull, eagle, golden rain) to pursue his desires, and could transform others as punishment. He held the scales of fate for the Trojan War. His greatest magical acts include birthing Athena from his own forehead after swallowing her pregnant mother, and his supreme authority over all divine oaths — sworn by the waters of the Styx — which not even the gods could break.</t>
        </is>
      </c>
      <c r="L88" t="inlineStr">
        <is>
          <t>The high mountain peaks gathering heavy, dark storm clouds, releasing the sudden strike of lightning that brings the sharp scent of rain and ozone to the parched earth below.</t>
        </is>
      </c>
      <c r="M88" t="inlineStr">
        <is>
          <t>SAGE</t>
        </is>
      </c>
      <c r="N88" t="inlineStr">
        <is>
          <t>Cleansing, Consecration, Psychic protection, Purification, Healing, Longevity, Money, Passion, Wisdom, Prosperity, Love, Psychic development, Clairvoyance, Meditation, Peace, Tranquillity, Knowledge, Divination, Domestic harmony, Energy, Happiness, Inspiration, Keeping secrets, Mabon rituals, Samhain rituals, Weddings, Hand-fastings</t>
        </is>
      </c>
      <c r="O88" t="inlineStr">
        <is>
          <t>CLOVES</t>
        </is>
      </c>
      <c r="P88" t="inlineStr">
        <is>
          <t>Clairvoyance, Divination, Exorcism, Keeping away negative forces, Love, Memory, Money, Passion, Peace of mind, Protection, Psychic protection, Purification, Stopping gossip, Cleansing, Friendship, Psychic development, Release, Spell-breaking</t>
        </is>
      </c>
      <c r="Q88" t="inlineStr">
        <is>
          <t>DRAGON'S BLOOD</t>
        </is>
      </c>
      <c r="R88" t="inlineStr">
        <is>
          <t>Bolstering incense, Increasing spell power, Warding, Cleansing, Offertory incense, Consecration, Warding oil, Anointing, Dragon's blood ink, Talismans, Pacts and seals, Grimoire writing</t>
        </is>
      </c>
      <c r="S88" t="inlineStr">
        <is>
          <t>DRAGON'S BLOOD RESIN</t>
        </is>
      </c>
      <c r="T88" t="inlineStr">
        <is>
          <t>Power amplification, protection, love, banishing, and potency spells. Add to any magical working to dramatically increase its power. Burn as incense to cleanse and charge the ritual space. Used in love spells to create intense passion. Write wishes on paper and burn with dragon's blood for manifestation. Excellent for purification and banishing rituals.</t>
        </is>
      </c>
      <c r="U88" t="inlineStr">
        <is>
          <t>ELDERFLOWER</t>
        </is>
      </c>
      <c r="V88" t="inlineStr">
        <is>
          <t>Protection from hexes, Protection from ill-intent, Homestead protection, Bad luck warding, Sickness warding, Wand making, Stave making, Spirit-inviting music, Protective incense, Inviting spirits, Circle protection, Summoning protection</t>
        </is>
      </c>
      <c r="W88" t="inlineStr">
        <is>
          <t>HYSSOP</t>
        </is>
      </c>
      <c r="X88" t="inlineStr">
        <is>
          <t>Purification, Self-defence, Protection, Sweeping sacred spaces, Cleansing objects, Home protection, Mind protection, Body protection, Dragon energy, Incense burning</t>
        </is>
      </c>
      <c r="Y88" t="inlineStr">
        <is>
          <t>Amethyst</t>
        </is>
      </c>
      <c r="Z88"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A88" t="inlineStr">
        <is>
          <t>Iolite</t>
        </is>
      </c>
      <c r="AB88" t="inlineStr">
        <is>
          <t>Truth, Peace, psychic ability, curiosity, spiritual growth, leadership.</t>
        </is>
      </c>
      <c r="AC88" t="inlineStr">
        <is>
          <t>Lepidolite</t>
        </is>
      </c>
      <c r="AD88" t="inlineStr">
        <is>
          <t>Serenity, Peace, stress relief, unity of the mind, heart, transitions, New beginnings, overcoming dependencies, addictions, objectivity, clear communication, acceptance of life's inevitable changes.</t>
        </is>
      </c>
      <c r="AE88" t="inlineStr">
        <is>
          <t>Sodalite</t>
        </is>
      </c>
      <c r="AF88" t="inlineStr">
        <is>
          <t>Alleviates fears, clears the mind, calms inner conflict, Truth, stress relief, Peace, Harmony, wisdom, relaxation, communication, dispels guilt, merges logic, spirituality, creates emotional balance, learning, perception, creativity, Divination, eliminates confusion.</t>
        </is>
      </c>
      <c r="AG88" t="inlineStr">
        <is>
          <t>Clove Bud</t>
        </is>
      </c>
      <c r="AH88" t="inlineStr">
        <is>
          <t>Love, Prosperity, Protection, HELP ATTRACT OPPOSITE SEX, Purification</t>
        </is>
      </c>
      <c r="AI88" t="inlineStr">
        <is>
          <t>Juniper</t>
        </is>
      </c>
      <c r="AJ88" t="inlineStr">
        <is>
          <t>AID MEDITATION, Healing, Love, Protection</t>
        </is>
      </c>
      <c r="AK88" t="inlineStr">
        <is>
          <t>Cinnamon</t>
        </is>
      </c>
      <c r="AL88" t="inlineStr">
        <is>
          <t>Love, Prosperity, Protection, HELP ATTRACT OPPOSITE SEX, Purification</t>
        </is>
      </c>
      <c r="BA88" t="inlineStr">
        <is>
          <t>Amethyst, Iolite, Lepidolite, Sodalite</t>
        </is>
      </c>
      <c r="BB88" t="inlineStr">
        <is>
          <t>Clove Bud, Juniper, Cinnamon</t>
        </is>
      </c>
      <c r="BC88" t="inlineStr">
        <is>
          <t>ZEUS</t>
        </is>
      </c>
    </row>
    <row r="89">
      <c r="A89" t="inlineStr">
        <is>
          <t>ODIN</t>
        </is>
      </c>
      <c r="B89" t="inlineStr">
        <is>
          <t>Deity</t>
        </is>
      </c>
      <c r="C89" t="inlineStr">
        <is>
          <t>Masculine</t>
        </is>
      </c>
      <c r="D89" t="inlineStr">
        <is>
          <t>Air/Spirit</t>
        </is>
      </c>
      <c r="E89" t="inlineStr">
        <is>
          <t>Mercury/Saturn</t>
        </is>
      </c>
      <c r="F89" t="inlineStr">
        <is>
          <t>Wednesday</t>
        </is>
      </c>
      <c r="G89" t="inlineStr">
        <is>
          <t>All Seasons</t>
        </is>
      </c>
      <c r="H89" t="inlineStr">
        <is>
          <t>Wisdom, knowledge, divination, runes, poetry, war, death, transformation, astral travel, shamanic journeying, spell-craft, victory, Otherworld travel, Samhain/ancestral altars, Magical power, Success, Intelligence, Intuition, Mental clarity, Sharpening the wits, Sharpening the brain, Mental powers, MEM, Memory, Concentration, Focus, Illumination, Enlightenment, Love, Love magick, Love drawing, Attracting love, Love-attracting rituals, Inviting love, Inducing love, Love charms, Love enchantment, Finding love, Romantic love ceremonies, PROMOTE LOVE &amp; AFFECTION, LOVE &amp; PEACE, Spiritual love, Love rituals, Star magick, Moon magic, Astral projection,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Increasing magical power, Increasing spell power, Power amplification, Bolstering spells, Bolstering incense, Strengthening spells, Potency, Power, Magic, WISDOM IN MAGICK, defensive magic, victory in battle, Conquest, Overcoming opposition, Courtroom success, Legal matters, Justice</t>
        </is>
      </c>
      <c r="I89" t="inlineStr">
        <is>
          <t>Ash, Mugwort, Yew, Valerian Root, Wormwood</t>
        </is>
      </c>
      <c r="J89" t="inlineStr">
        <is>
          <t>All-Father of the Norse pantheon, god of wisdom, war, death, poetry, and magic. He sacrificed his eye at Mimir's well for wisdom and hung himself on Yggdrasil for nine days to discover the runes. Patron of skalds, warriors, and sorcerers.</t>
        </is>
      </c>
      <c r="K89" t="inlineStr">
        <is>
          <t>Hung upside down on Yggdrasil for nine nights to receive the secret of the runes. Sacrificed an eye to Mimir's well to gain cosmic wisdom. Mastered seiðr magic — the Norse shamanic tradition. Rides his eight-legged horse Sleipnir across the nine worlds.</t>
        </is>
      </c>
      <c r="L89" t="inlineStr">
        <is>
          <t>Found in the ancient wisdom of the forest and the whisper of wind through leaves. His presence is in the ravens and the wandering path between worlds — in the liminal spaces where woodland meets sky.</t>
        </is>
      </c>
      <c r="M89" t="inlineStr">
        <is>
          <t>VALERIAN ROOT</t>
        </is>
      </c>
      <c r="N89" t="inlineStr">
        <is>
          <t>Deterring unwanted visitors, Harmony, Protection, Nightmares, Cleansing, Consecration, Purification, Magical torches, Protection from natural disasters, Ending guilt, Ending negative self-talk, Animal magic, Evoking animal spirits, Peace, Purifying ritual spaces, Consecrating incense burners, Self-purification</t>
        </is>
      </c>
      <c r="O89" t="inlineStr">
        <is>
          <t>WORMWOOD</t>
        </is>
      </c>
      <c r="P89" t="inlineStr">
        <is>
          <t>Banishing, calling spirits, clairvoyance, divination, love, protection, psychic development, growth and spell breaking. An herb of Mars matters — aggression, courage, defensive magic, exorcism, healing after surgery, hex-breaking, lust, physical strength, protection, sexual energy, and strength.</t>
        </is>
      </c>
      <c r="Y89" t="inlineStr">
        <is>
          <t>agate Blue Lace</t>
        </is>
      </c>
      <c r="Z89" t="inlineStr">
        <is>
          <t>Peace, patience, Happiness, warmth, gentleness, domestic harmony, tenderness</t>
        </is>
      </c>
      <c r="AA89" t="inlineStr">
        <is>
          <t>agate Botswana</t>
        </is>
      </c>
      <c r="AB89" t="inlineStr">
        <is>
          <t>Energy of growth, expansion, New beginnings, nourishment, health. It enhances vitality, brings abundance, keeps us growing physically.</t>
        </is>
      </c>
      <c r="AC89" t="inlineStr">
        <is>
          <t>agate Moss</t>
        </is>
      </c>
      <c r="AD89" t="inlineStr">
        <is>
          <t>Peace, patience, Happiness, warmth, gentleness, domestic harmony, tenderness</t>
        </is>
      </c>
      <c r="AE89" t="inlineStr">
        <is>
          <t>Amethyst</t>
        </is>
      </c>
      <c r="AF89"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O89" t="inlineStr">
        <is>
          <t>ANSUZ</t>
        </is>
      </c>
      <c r="AP89" t="inlineStr">
        <is>
          <t>A</t>
        </is>
      </c>
      <c r="AQ89" t="inlineStr">
        <is>
          <t>Divination, Prophetic dreams, Communication, Wisdom, Clairvoyance, Star magick, Truth</t>
        </is>
      </c>
      <c r="AR89" t="inlineStr">
        <is>
          <t>GEBO</t>
        </is>
      </c>
      <c r="AS89" t="inlineStr">
        <is>
          <t>G</t>
        </is>
      </c>
      <c r="AT89" t="inlineStr">
        <is>
          <t>Love spells, Love rituals, Love, Gift-giving, Anti-theft, giveness, Attraction, Peace</t>
        </is>
      </c>
      <c r="AU89" t="inlineStr">
        <is>
          <t>WUNJO</t>
        </is>
      </c>
      <c r="AV89" t="inlineStr">
        <is>
          <t>W/V</t>
        </is>
      </c>
      <c r="AW89" t="inlineStr">
        <is>
          <t>Happiness, Prosperity, Harmony, Love, Celebration, Confidence, Luck</t>
        </is>
      </c>
      <c r="AX89" t="inlineStr">
        <is>
          <t>MANNAZ</t>
        </is>
      </c>
      <c r="AY89" t="inlineStr">
        <is>
          <t>M</t>
        </is>
      </c>
      <c r="AZ89" t="inlineStr">
        <is>
          <t>Self-w, Breaking habits, Wisdom, Intelligence, Communication, Humanity, Truth, Clarity of thought</t>
        </is>
      </c>
      <c r="BA89" t="inlineStr">
        <is>
          <t>agate Blue Lace, agate Botswana, agate Moss, Amethyst, Aventurine, Iolite, Lepidolite, Sodalite, Sugilite</t>
        </is>
      </c>
      <c r="BC89" t="inlineStr">
        <is>
          <t>ODIN</t>
        </is>
      </c>
    </row>
    <row r="90">
      <c r="A90" t="inlineStr">
        <is>
          <t>FREYJA</t>
        </is>
      </c>
      <c r="B90" t="inlineStr">
        <is>
          <t>Deity</t>
        </is>
      </c>
      <c r="C90" t="inlineStr">
        <is>
          <t>Feminine</t>
        </is>
      </c>
      <c r="D90" t="inlineStr">
        <is>
          <t>Fire/Air</t>
        </is>
      </c>
      <c r="E90" t="inlineStr">
        <is>
          <t>Venus/Moon</t>
        </is>
      </c>
      <c r="F90" t="inlineStr">
        <is>
          <t>Friday</t>
        </is>
      </c>
      <c r="G90" t="inlineStr">
        <is>
          <t>Spring/Summer</t>
        </is>
      </c>
      <c r="H90" t="inlineStr">
        <is>
          <t>Love, lust, fertility, war, death, magic, divination, seiðr, abundance, beauty, gold, protection of warriors, Aphrodisiac, Prosperity, Samhain/ancestral altars,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Wealth, Wealth/Prosperity, Attracting business, Business dealings, Financial arrangements, Aiding gain, Gain, PROSPERITY SPELLS, Increasing wealth, Money, Money spells, Attracting money, Drawing money, INCREASE MONEY, Breaking financial stagnation, Money mixtures, Protecting against poverty, Warding off poverty, Aphrodisiac tea, Sensuality, Lust/Sex, Passionate love-making, LOVING &amp; LUSTFUL ENERGIES, SEX MAGIC, RAISE SEXUAL ENERGY, Sexual energy,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I90" t="inlineStr">
        <is>
          <t>Rose, Strawberry, Daisy, Elder, Primrose, Yarrow</t>
        </is>
      </c>
      <c r="J90" t="inlineStr">
        <is>
          <t>Norse goddess of love, beauty, fertility, war, and magic. Leader of the Valkyries, she chooses half the slain warriors for her hall Sessrúmnir. She is the foremost practitioner of seiðr magic and taught it to Odin.</t>
        </is>
      </c>
      <c r="K90" t="inlineStr">
        <is>
          <t>Possesses the magical necklace Brísingamen and a cloak of falcon feathers allowing shapeshifting. First practitioner of seiðr magic in the Norse tradition — a form of shamanic sorcery that could alter fate itself. Drives a chariot pulled by two cats.</t>
        </is>
      </c>
      <c r="L90" t="inlineStr">
        <is>
          <t>Her green energy is the wild abundance of untamed meadows in bloom — the deep fertility of the earth in high summer, the sweetness of wild strawberries, and the golden shimmer of fields at harvest.</t>
        </is>
      </c>
      <c r="M90" t="inlineStr">
        <is>
          <t>YARROW</t>
        </is>
      </c>
      <c r="N90" t="inlineStr">
        <is>
          <t>Divination, love spells, contacting a specific person, prophetic dreams, psychic communication, cleansing the aura, divination tea. Used as a charm for pregnant women. Strewn across thresholds to prevent unhelpful spirits from entering. Used in sachets for love, courage, communication and psychic abilities.</t>
        </is>
      </c>
      <c r="Y90" t="inlineStr">
        <is>
          <t>Chrysocolla</t>
        </is>
      </c>
      <c r="Z90" t="inlineStr">
        <is>
          <t>Clarity, Peace, patience, Love, wisdom, Negating dreams, Harmony, Prosperity, growth, hope, intimacy, Divination, tolerance, sleep, creativity, self-awareness.</t>
        </is>
      </c>
      <c r="AA90" t="inlineStr">
        <is>
          <t>chrysophase</t>
        </is>
      </c>
      <c r="AB90" t="inlineStr">
        <is>
          <t>Happiness, lick, Prosperity, Friendship, Protection, Healing</t>
        </is>
      </c>
      <c r="AC90" t="inlineStr">
        <is>
          <t>Copper flakes</t>
        </is>
      </c>
      <c r="AD90" t="inlineStr">
        <is>
          <t>Love, Peace, friendships</t>
        </is>
      </c>
      <c r="AE90" t="inlineStr">
        <is>
          <t>Emerald</t>
        </is>
      </c>
      <c r="AF90" t="inlineStr">
        <is>
          <t>Psychic awareness, meditation, Divination, Peace, sleep, Healing, Love, friendship, protection from evil, business success, mem, Clairvoyance, recognition, faith, Fertility, serenity, underst, Attracting good spirits, balance. Represents Time, the astral planes</t>
        </is>
      </c>
      <c r="AO90" t="inlineStr">
        <is>
          <t>FEHU</t>
        </is>
      </c>
      <c r="AP90" t="inlineStr">
        <is>
          <t>F</t>
        </is>
      </c>
      <c r="AQ90" t="inlineStr">
        <is>
          <t>Increasing wealth, Prosperity, Anti-theft, Fortune, Luck, New beginnings, Confidence, Sun God offerings, Attraction</t>
        </is>
      </c>
      <c r="AR90" t="inlineStr">
        <is>
          <t>KAUNO</t>
        </is>
      </c>
      <c r="AS90" t="inlineStr">
        <is>
          <t>K/C</t>
        </is>
      </c>
      <c r="AT90" t="inlineStr">
        <is>
          <t>Fire magick, Enlightenment, Illumination, Clarity, Healing, Dispelling sickness, Inspiration</t>
        </is>
      </c>
      <c r="AU90" t="inlineStr">
        <is>
          <t>JERA</t>
        </is>
      </c>
      <c r="AV90" t="inlineStr">
        <is>
          <t>J/Y</t>
        </is>
      </c>
      <c r="AW90" t="inlineStr">
        <is>
          <t>Harvest spells, Fertility, Fruitfulness, Prosperity, Cycles, Justice, Reward</t>
        </is>
      </c>
      <c r="AX90" t="inlineStr">
        <is>
          <t>EHWAZ</t>
        </is>
      </c>
      <c r="AY90" t="inlineStr">
        <is>
          <t>E</t>
        </is>
      </c>
      <c r="AZ90" t="inlineStr">
        <is>
          <t>Movement, Progress, Love, Loyalty, Trust, Momentum, Journey, Harmony</t>
        </is>
      </c>
      <c r="BA90" t="inlineStr">
        <is>
          <t>Chrysocolla, chrysophase, Copper flakes, Emerald, Fuchsite, Goldstone, Jade (jadeite), Lapis Lazuli, Lodestone, Malachite, Peridot, Seraphinite, Unakite</t>
        </is>
      </c>
      <c r="BC90" t="inlineStr">
        <is>
          <t>FREYJA</t>
        </is>
      </c>
    </row>
    <row r="91">
      <c r="A91" t="inlineStr">
        <is>
          <t>FREY</t>
        </is>
      </c>
      <c r="B91" t="inlineStr">
        <is>
          <t>Deity</t>
        </is>
      </c>
      <c r="C91" t="inlineStr">
        <is>
          <t>Masculine</t>
        </is>
      </c>
      <c r="D91" t="inlineStr">
        <is>
          <t>Earth/Fire</t>
        </is>
      </c>
      <c r="E91" t="inlineStr">
        <is>
          <t>Sun/Jupiter</t>
        </is>
      </c>
      <c r="F91" t="inlineStr">
        <is>
          <t>Friday</t>
        </is>
      </c>
      <c r="G91" t="inlineStr">
        <is>
          <t>Spring/Summer</t>
        </is>
      </c>
      <c r="H91" t="inlineStr">
        <is>
          <t>Fertility, abundance, prosperity, crops, sunshine, rain, peace, love, virility, harvest, Lammas/Lughnasadh rituals, Female fertility, Fertility magic, Fertility charms, Aiding fertility, Increasing fertility, Fruitfulness, male virility, Abundant harvest, Wealth, Wealth/Prosperity, Attracting business, Business dealings, Financial arrangements, Aiding gain, Gain, PROSPERITY SPELLS, Increasing wealth, Money, Money spells, Attracting money, Drawing money, INCREASE MONEY, Breaking financial stagnation, Money mixtures, Protecting against poverty, Warding off poverty</t>
        </is>
      </c>
      <c r="I91" t="inlineStr">
        <is>
          <t>Basil, Chamomile, Cinnamon, Oak, Barley, Wheat</t>
        </is>
      </c>
      <c r="J91" t="inlineStr">
        <is>
          <t>Norse god of sunshine, rain, fertility, and prosperity. Lord of Álfheimr, ruler of the light elves. He gave away his magical sword in exchange for the giantess Gerðr whom he loved, leaving himself unarmed at Ragnarök.</t>
        </is>
      </c>
      <c r="K91" t="inlineStr">
        <is>
          <t>Possessed the magical ship Skíðblaðnir that could sail any sea yet fold to fit in a pocket, and a golden boar Gullinbursti that illuminated the darkness as it ran. His sacrifice of his sword for love is one of the great acts of Norse mythology.</t>
        </is>
      </c>
      <c r="L91" t="inlineStr">
        <is>
          <t>The very essence of agricultural green energy — the power of seeds germinating in dark soil, of summer rain on parched fields, of grain swelling toward harvest. He is the greening of the world after winter.</t>
        </is>
      </c>
      <c r="M91" t="inlineStr">
        <is>
          <t>BASIL</t>
        </is>
      </c>
      <c r="N91"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O91" t="inlineStr">
        <is>
          <t>CHAMOMILE</t>
        </is>
      </c>
      <c r="P91" t="inlineStr">
        <is>
          <t>Fortune, Justice, Love, Meditation, Money, Prosperity, Purification, Removing curses, Removing hexes, Serenity, Calm, Sleep</t>
        </is>
      </c>
      <c r="Q91" t="inlineStr">
        <is>
          <t>CLEAVERS</t>
        </is>
      </c>
      <c r="R91" t="inlineStr">
        <is>
          <t>Spring tonic, Healing, Psychic powers, Spring festivals, Purification rituals, Menarche rituals, Binding spells, Binding rituals</t>
        </is>
      </c>
      <c r="S91" t="inlineStr">
        <is>
          <t>HIBISCUS</t>
        </is>
      </c>
      <c r="T91" t="inlineStr">
        <is>
          <t>Inviting love, Promoting fidelity, Passionate love-making</t>
        </is>
      </c>
      <c r="U91" t="inlineStr">
        <is>
          <t>MEADOW SWEET</t>
        </is>
      </c>
      <c r="V91" t="inlineStr">
        <is>
          <t>Love, divination, peace, happiness, and Midsummer rituals. Strew across floors for joy and peace in the home. Use in Midsummer/Litha incense blends. Carry to attract love and promote cheerfulness. Place on the altar during divination to encourage truthful visions. One of the three sacred herbs of the Druids.</t>
        </is>
      </c>
      <c r="W91" t="inlineStr">
        <is>
          <t>OAKBARK RED</t>
        </is>
      </c>
      <c r="X91" t="inlineStr">
        <is>
          <t>Truth, Steadfast knowledge, Protection, Vitality, Long life, Healing, Grounding, Focus, Observation, Intuition, Bravery, Presence, Leadership skills, Prosperity, Strength, Psychic development, Rest, Sleep</t>
        </is>
      </c>
      <c r="Y91" t="inlineStr">
        <is>
          <t>Chrysocolla</t>
        </is>
      </c>
      <c r="Z91" t="inlineStr">
        <is>
          <t>Clarity, Peace, patience, Love, wisdom, Negating dreams, Harmony, Prosperity, growth, hope, intimacy, Divination, tolerance, sleep, creativity, self-awareness.</t>
        </is>
      </c>
      <c r="AA91" t="inlineStr">
        <is>
          <t>chrysophase</t>
        </is>
      </c>
      <c r="AB91" t="inlineStr">
        <is>
          <t>Happiness, lick, Prosperity, Friendship, Protection, Healing</t>
        </is>
      </c>
      <c r="AC91" t="inlineStr">
        <is>
          <t>Copper flakes</t>
        </is>
      </c>
      <c r="AD91" t="inlineStr">
        <is>
          <t>Love, Peace, friendships</t>
        </is>
      </c>
      <c r="AE91" t="inlineStr">
        <is>
          <t>Emerald</t>
        </is>
      </c>
      <c r="AF91" t="inlineStr">
        <is>
          <t>Psychic awareness, meditation, Divination, Peace, sleep, Healing, Love, friendship, protection from evil, business success, mem, Clairvoyance, recognition, faith, Fertility, serenity, underst, Attracting good spirits, balance. Represents Time, the astral planes</t>
        </is>
      </c>
      <c r="AO91" t="inlineStr">
        <is>
          <t>FEHU</t>
        </is>
      </c>
      <c r="AP91" t="inlineStr">
        <is>
          <t>F</t>
        </is>
      </c>
      <c r="AQ91" t="inlineStr">
        <is>
          <t>Increasing wealth, Prosperity, Anti-theft, Fortune, Luck, New beginnings, Confidence, Sun God offerings, Attraction</t>
        </is>
      </c>
      <c r="AR91" t="inlineStr">
        <is>
          <t>KAUNO</t>
        </is>
      </c>
      <c r="AS91" t="inlineStr">
        <is>
          <t>K/C</t>
        </is>
      </c>
      <c r="AT91" t="inlineStr">
        <is>
          <t>Fire magick, Enlightenment, Illumination, Clarity, Healing, Dispelling sickness, Inspiration</t>
        </is>
      </c>
      <c r="AU91" t="inlineStr">
        <is>
          <t>JERA</t>
        </is>
      </c>
      <c r="AV91" t="inlineStr">
        <is>
          <t>J/Y</t>
        </is>
      </c>
      <c r="AW91" t="inlineStr">
        <is>
          <t>Harvest spells, Fertility, Fruitfulness, Prosperity, Cycles, Justice, Reward</t>
        </is>
      </c>
      <c r="AX91" t="inlineStr">
        <is>
          <t>EHWAZ</t>
        </is>
      </c>
      <c r="AY91" t="inlineStr">
        <is>
          <t>E</t>
        </is>
      </c>
      <c r="AZ91" t="inlineStr">
        <is>
          <t>Movement, Progress, Love, Loyalty, Trust, Momentum, Journey, Harmony</t>
        </is>
      </c>
      <c r="BC91" t="inlineStr">
        <is>
          <t>FREY</t>
        </is>
      </c>
    </row>
    <row r="92">
      <c r="A92" t="inlineStr">
        <is>
          <t>FRIGG</t>
        </is>
      </c>
      <c r="B92" t="inlineStr">
        <is>
          <t>Deity</t>
        </is>
      </c>
      <c r="C92" t="inlineStr">
        <is>
          <t>Feminine</t>
        </is>
      </c>
      <c r="D92" t="inlineStr">
        <is>
          <t>Air/Water</t>
        </is>
      </c>
      <c r="E92" t="inlineStr">
        <is>
          <t>Venus/Moon</t>
        </is>
      </c>
      <c r="F92" t="inlineStr">
        <is>
          <t>Friday</t>
        </is>
      </c>
      <c r="G92" t="inlineStr">
        <is>
          <t>All Seasons</t>
        </is>
      </c>
      <c r="H92" t="inlineStr">
        <is>
          <t>Marriage, motherhood, home, protection of children, clairvoyance, destiny, weaving fate, wisdom, domestic magic, Protection, Divination, House blessing, Protective charm, Protective charms, Protective sachets, Protective wreaths, Protective incense, PROTECT AGAINST NEGATIVITY, Protection from negativity, Circle protection, Enhancing divination, Divinatory incense, Foretelling the future, Future divination, Scrying, Dowsing, Prophecy,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I92" t="inlineStr">
        <is>
          <t>Birch, Elder, Flax, Linden, Ladies Mantle, Chamomile</t>
        </is>
      </c>
      <c r="J92" t="inlineStr">
        <is>
          <t>Norse queen of the gods, wife of Odin, goddess of marriage, motherhood, and fate. She alone among the gods knows the fates of all but never reveals them. Goddess of the domestic arts and the protection of the home and hearth.</t>
        </is>
      </c>
      <c r="K92" t="inlineStr">
        <is>
          <t>Extracted oaths from all things in creation not to harm her son Baldur — all except mistletoe, which she considered too young. Her spinning wheel is said to spin the threads of fate itself. She sees all destinies but speaks none.</t>
        </is>
      </c>
      <c r="L92" t="inlineStr">
        <is>
          <t>Found in the quiet strength of the birch tree in early spring — the first green after snow. Her energy is in the weaving of the seasons, the cyclical return of life, and the sheltering canopy of the forest protecting what grows beneath.</t>
        </is>
      </c>
      <c r="M92" t="inlineStr">
        <is>
          <t>LINDEN</t>
        </is>
      </c>
      <c r="N92" t="inlineStr">
        <is>
          <t>Love, creativity, enlightenment, healing, enchantments, prosperity, peace, luck, protection, binding spells, contacting other planes</t>
        </is>
      </c>
      <c r="O92" t="inlineStr">
        <is>
          <t>LADIES MANTLE</t>
        </is>
      </c>
      <c r="P92" t="inlineStr">
        <is>
          <t>Increasing magical power, Aphrodisiac, Love potions, Love spells, Amulets, Attracting love, Fertility magic, Protection, Finding love</t>
        </is>
      </c>
      <c r="Q92" t="inlineStr">
        <is>
          <t>CHAMOMILE</t>
        </is>
      </c>
      <c r="R92" t="inlineStr">
        <is>
          <t>Fortune, Justice, Love, Meditation, Money, Prosperity, Purification, Removing curses, Removing hexes, Serenity, Calm, Sleep</t>
        </is>
      </c>
      <c r="S92" t="inlineStr">
        <is>
          <t>LINSEED</t>
        </is>
      </c>
      <c r="T92" t="inlineStr">
        <is>
          <t>Increasing wealth, Protecting against poverty, Protection against s, cery, Attracting money, Warding off poverty, Preventing evil from entering, Healing rituals, Healing mixtures, Money spells, Prosperity rituals, Protection while asleep</t>
        </is>
      </c>
      <c r="AO92" t="inlineStr">
        <is>
          <t>WUNJO</t>
        </is>
      </c>
      <c r="AP92" t="inlineStr">
        <is>
          <t>W/V</t>
        </is>
      </c>
      <c r="AQ92" t="inlineStr">
        <is>
          <t>Happiness, Prosperity, Harmony, Love, Celebration, Confidence, Luck</t>
        </is>
      </c>
      <c r="AR92" t="inlineStr">
        <is>
          <t>PERTH</t>
        </is>
      </c>
      <c r="AS92" t="inlineStr">
        <is>
          <t>P</t>
        </is>
      </c>
      <c r="AT92" t="inlineStr">
        <is>
          <t>Divination, Mystery, Clairvoyance, Secrets, Star magick, Chance, Hidden knowledge, Truth</t>
        </is>
      </c>
      <c r="AU92" t="inlineStr">
        <is>
          <t>MANNAZ</t>
        </is>
      </c>
      <c r="AV92" t="inlineStr">
        <is>
          <t>M</t>
        </is>
      </c>
      <c r="AW92" t="inlineStr">
        <is>
          <t>Self-w, Breaking habits, Wisdom, Intelligence, Communication, Humanity, Truth, Clarity of thought</t>
        </is>
      </c>
      <c r="BC92" t="inlineStr">
        <is>
          <t>FRIGG</t>
        </is>
      </c>
    </row>
    <row r="93">
      <c r="A93" t="inlineStr">
        <is>
          <t>HEIMDALL</t>
        </is>
      </c>
      <c r="B93" t="inlineStr">
        <is>
          <t>Deity</t>
        </is>
      </c>
      <c r="C93" t="inlineStr">
        <is>
          <t>Masculine</t>
        </is>
      </c>
      <c r="D93" t="inlineStr">
        <is>
          <t>Air/Fire</t>
        </is>
      </c>
      <c r="E93" t="inlineStr">
        <is>
          <t>Sun/Mercury</t>
        </is>
      </c>
      <c r="F93" t="inlineStr">
        <is>
          <t>Sunday</t>
        </is>
      </c>
      <c r="G93" t="inlineStr">
        <is>
          <t>All Seasons</t>
        </is>
      </c>
      <c r="H93" t="inlineStr">
        <is>
          <t>Watchfulness, protection, warding, clarity, awakening, beginnings, boundaries, psychic awareness, guardianship, Wisdom, New beginnings, Clairvoyance, Knowledge, Intelligence, Intuition, Mental clarity, Sharpening the wits, Sharpening the brain, Mental powers, MEM, Memory, Concentration, Focus, Illumination, Enlightenment, Breaking habits, Breaking bad habits, Ending negative self-talk, Letting go of relationships, Ending guilt, Release, Renewal, New beginning spells, Fresh starts, Transformation, Change, rebirth, Breakthrough, Growth, New ideas, Assisting transformation, Transformation/Evolution, Enhancing clairvoyance, Psychic development, Psychic powers, INCREASE PSYCHIC ABILITIES, Stimulating psychic senses, Disabling psychic phenomena, Psychic communication, communication and psychic abilities</t>
        </is>
      </c>
      <c r="I93" t="inlineStr">
        <is>
          <t>Ash, Rowan, Angelica, Eyebright, Yarrow</t>
        </is>
      </c>
      <c r="J93" t="inlineStr">
        <is>
          <t>Norse guardian of Bifröst, the rainbow bridge between worlds. The whitest and most far-sighted of the gods, he requires less sleep than a bird and can hear grass growing. He will blow Gjallarhorn at the onset of Ragnarök to summon the gods.</t>
        </is>
      </c>
      <c r="K93" t="inlineStr">
        <is>
          <t>Blows the Gjallarhorn — the horn whose blast can be heard across all nine worlds. Can see for hundreds of miles day or night. Said to have fathered the three classes of humanity — thrall, farmer, and noble — while walking the earth in disguise as Ríg.</t>
        </is>
      </c>
      <c r="L93" t="inlineStr">
        <is>
          <t>His green energy is in the dawn light breaking over the forest — that liminal moment of pure clarity between darkness and day. He is the guardian of thresholds, the energy of forest edges and boundary places.</t>
        </is>
      </c>
      <c r="M93" t="inlineStr">
        <is>
          <t>EYEBRIGHT</t>
        </is>
      </c>
      <c r="N93" t="inlineStr">
        <is>
          <t>Prophetic dreams, Seeing the unseen, Clarity, Removing deception, Rising above difficulty, Thanksgiving rituals, Joyous celebrations, Offerings of thanksgiving</t>
        </is>
      </c>
      <c r="O93" t="inlineStr">
        <is>
          <t>YARROW</t>
        </is>
      </c>
      <c r="P93" t="inlineStr">
        <is>
          <t>Divination, love spells, contacting a specific person, prophetic dreams, psychic communication, cleansing the aura, divination tea. Used as a charm for pregnant women. Strewn across thresholds to prevent unhelpful spirits from entering. Used in sachets for love, courage, communication and psychic abilities.</t>
        </is>
      </c>
      <c r="AO93" t="inlineStr">
        <is>
          <t>KAUNO</t>
        </is>
      </c>
      <c r="AP93" t="inlineStr">
        <is>
          <t>K/C</t>
        </is>
      </c>
      <c r="AQ93" t="inlineStr">
        <is>
          <t>Fire magick, Enlightenment, Illumination, Clarity, Healing, Dispelling sickness, Inspiration</t>
        </is>
      </c>
      <c r="AR93" t="inlineStr">
        <is>
          <t>HAGALAZ</t>
        </is>
      </c>
      <c r="AS93" t="inlineStr">
        <is>
          <t>H</t>
        </is>
      </c>
      <c r="AT93" t="inlineStr">
        <is>
          <t>Protection, Banishing, Warding, Exorcism, Strength, Challenges, Disruption</t>
        </is>
      </c>
      <c r="AU93" t="inlineStr">
        <is>
          <t>ALGIZ</t>
        </is>
      </c>
      <c r="AV93" t="inlineStr">
        <is>
          <t>Z/S</t>
        </is>
      </c>
      <c r="AW93" t="inlineStr">
        <is>
          <t>Protection, Warding, Protection (hexes/evil), Banishing, Alertness, Strength, Opp, tunity</t>
        </is>
      </c>
      <c r="AX93" t="inlineStr">
        <is>
          <t>MANNAZ</t>
        </is>
      </c>
      <c r="AY93" t="inlineStr">
        <is>
          <t>M</t>
        </is>
      </c>
      <c r="AZ93" t="inlineStr">
        <is>
          <t>Self-w, Breaking habits, Wisdom, Intelligence, Communication, Humanity, Truth, Clarity of thought</t>
        </is>
      </c>
      <c r="BC93" t="inlineStr">
        <is>
          <t>HEIMDALL</t>
        </is>
      </c>
    </row>
    <row r="94">
      <c r="A94" t="inlineStr">
        <is>
          <t>BALDUR</t>
        </is>
      </c>
      <c r="B94" t="inlineStr">
        <is>
          <t>Deity</t>
        </is>
      </c>
      <c r="C94" t="inlineStr">
        <is>
          <t>Masculine</t>
        </is>
      </c>
      <c r="D94" t="inlineStr">
        <is>
          <t>Fire/Air</t>
        </is>
      </c>
      <c r="E94" t="inlineStr">
        <is>
          <t>Sun</t>
        </is>
      </c>
      <c r="F94" t="inlineStr">
        <is>
          <t>Sunday</t>
        </is>
      </c>
      <c r="G94" t="inlineStr">
        <is>
          <t>Summer</t>
        </is>
      </c>
      <c r="H94" t="inlineStr">
        <is>
          <t>Light, beauty, purity, peace, love, protection, healing, Midsummer/Litha rituals, rebirth, hope, Purification, New beginnings, Midsummer, Beltane, Beltane rituals, Beltane celebrations, Summer rituals, Midsummer celebrations, Midsummer magic, Midsummer rites, Breaking habits, Breaking bad habits, Ending negative self-talk, Letting go of relationships, Ending guilt, Release, Renewal, New beginning spells, Fresh starts, Transformation, Change, Breakthrough, Awakening, Growth, New ideas, Assisting transformation, Transformation/Evolution,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t>
        </is>
      </c>
      <c r="I94" t="inlineStr">
        <is>
          <t>Chamomile, St John's Wort, Marigold, Sunflower, Mistletoe</t>
        </is>
      </c>
      <c r="J94" t="inlineStr">
        <is>
          <t>Norse god of light, purity, and beauty. Son of Odin and Frigg, beloved by all gods. His death — caused by a mistletoe dart thrown by the blind god Höðr, manipulated by Loki — plunged all of creation into grief and foreshadowed Ragnarök.</t>
        </is>
      </c>
      <c r="K94" t="inlineStr">
        <is>
          <t>His invulnerability was legendary — all of creation swore not to harm him, rendering him immortal until Loki's trickery found the one exception. After Ragnarök, he will return from Hel to rule in the new world, symbolising the return of light and purity.</t>
        </is>
      </c>
      <c r="L94" t="inlineStr">
        <is>
          <t>Pure solar green energy — the light that makes green things grow. His presence is in the warmth of midsummer sun on your face in a sunlit clearing, in the shimmer of light through fresh green leaves at the height of the growing season.</t>
        </is>
      </c>
      <c r="M94" t="inlineStr">
        <is>
          <t>CHAMOMILE</t>
        </is>
      </c>
      <c r="N94" t="inlineStr">
        <is>
          <t>Fortune, Justice, Love, Meditation, Money, Prosperity, Purification, Removing curses, Removing hexes, Serenity, Calm, Sleep</t>
        </is>
      </c>
      <c r="O94" t="inlineStr">
        <is>
          <t>ST JOHN'S WORT</t>
        </is>
      </c>
      <c r="P94" t="inlineStr">
        <is>
          <t>Protection, divination, happiness, love, health, and strength. Hang above the door on Midsummer to protect the household through the dark half of the year. Burn to banish spirits and negative energies. Carry to detect magical attacks and protect against them. One of the most powerful protective herbs in the European tradition.</t>
        </is>
      </c>
      <c r="Q94" t="inlineStr">
        <is>
          <t>MARIGOLD</t>
        </is>
      </c>
      <c r="R94" t="inlineStr">
        <is>
          <t>Increasing potency of amulets, Increasing potency of talismans, Prophetic dreams, Protection (fire elementals), Legal matters, Courtroom success, Improving charisma, Improving charm, Gaining dominant roles, Gaining powerful roles</t>
        </is>
      </c>
      <c r="Y94" t="inlineStr">
        <is>
          <t>Ametrine</t>
        </is>
      </c>
      <c r="Z94" t="inlineStr">
        <is>
          <t>Astral travel, magickal power, meditation, removing negativity.</t>
        </is>
      </c>
      <c r="AA94" t="inlineStr">
        <is>
          <t>Quartz Clear</t>
        </is>
      </c>
      <c r="AB94" t="inlineStr">
        <is>
          <t>Protection, Healing, psychism, Strength, lactation</t>
        </is>
      </c>
      <c r="AC94" t="inlineStr">
        <is>
          <t>Sunstone</t>
        </is>
      </c>
      <c r="AD94" t="inlineStr">
        <is>
          <t>Personal power, Healing, overcoming depression, physical energy, Protection, sexual arousal, sexual energy, increasing the energy of healing herbs, Prosperity, Strength, Confidence, independence.</t>
        </is>
      </c>
      <c r="AE94" t="inlineStr">
        <is>
          <t>Tiger Eye gold</t>
        </is>
      </c>
      <c r="AF94" t="inlineStr">
        <is>
          <t>Protects against external stresses, rest, es physical energy, Truth, underst, Attracting good spirits, emotional balance, Luck, good f, Fortune, travel protection, communication, recognition of own faults, overcoming stubb, nness, Confidence, connection with the Earth.</t>
        </is>
      </c>
      <c r="AO94" t="inlineStr">
        <is>
          <t>SOWILO</t>
        </is>
      </c>
      <c r="AP94" t="inlineStr">
        <is>
          <t>S/C</t>
        </is>
      </c>
      <c r="AQ94" t="inlineStr">
        <is>
          <t>Vict, Clairvoyance, Truth, Light, Energy, Prosperity, Healing, Sun God offerings, Clarity</t>
        </is>
      </c>
      <c r="BA94" t="inlineStr">
        <is>
          <t>Ametrine, Quartz Clear, Sunstone, Tiger Eye gold, Topaz, Amber</t>
        </is>
      </c>
      <c r="BC94" t="inlineStr">
        <is>
          <t>BALDUR</t>
        </is>
      </c>
    </row>
    <row r="95">
      <c r="A95" t="inlineStr">
        <is>
          <t>NJORD</t>
        </is>
      </c>
      <c r="B95" t="inlineStr">
        <is>
          <t>Deity</t>
        </is>
      </c>
      <c r="C95" t="inlineStr">
        <is>
          <t>Masculine</t>
        </is>
      </c>
      <c r="D95" t="inlineStr">
        <is>
          <t>Water</t>
        </is>
      </c>
      <c r="E95" t="inlineStr">
        <is>
          <t>Moon/Neptune</t>
        </is>
      </c>
      <c r="F95" t="inlineStr">
        <is>
          <t>Monday</t>
        </is>
      </c>
      <c r="G95" t="inlineStr">
        <is>
          <t>Summer</t>
        </is>
      </c>
      <c r="H95" t="inlineStr">
        <is>
          <t>Sea magic, fishing, sailing, prosperity, winds, calming storms, abundance, wealth from the sea, travel, Fertility, Female fertility, Fertility magic, Fertility charms, Aiding fertility, Increasing fertility, Fruitfulness, Virility, male virility, Abundant harvest, Wealth, Wealth/Prosperity, Attracting business, Business dealings, Financial arrangements, Aiding gain, Gain, PROSPERITY SPELLS, Increasing wealth, Money, Money spells, Attracting money, Drawing money, INCREASE MONEY, Breaking financial stagnation, Money mixtures, Protecting against poverty, Warding off poverty</t>
        </is>
      </c>
      <c r="I95" t="inlineStr">
        <is>
          <t>Sea Weed, Sea Salt, Lavender, Thyme, Juniper</t>
        </is>
      </c>
      <c r="J95" t="inlineStr">
        <is>
          <t>Norse god of the sea, wind, fish, and wealth from the sea. Father of Frey and Freyja. He rules Nóatún (Place of Ships) on the shore of the sea and controls the winds and calms storms at sea.</t>
        </is>
      </c>
      <c r="K95" t="inlineStr">
        <is>
          <t>Married the giantess Skaði in a match where she chose a husband by looking only at feet — she chose Njord thinking him to be Baldur. Though the marriage failed, it is one of the great mythological love stories of the Norse tradition.</t>
        </is>
      </c>
      <c r="L95" t="inlineStr">
        <is>
          <t>His green energy is the living abundance of coastal and marine ecosystems — sea grass, kelp forests, the teeming life of tidal pools. He is the liminal energy of the shoreline where two worlds meet.</t>
        </is>
      </c>
      <c r="M95" t="inlineStr">
        <is>
          <t>SEA SALT</t>
        </is>
      </c>
      <c r="N95" t="inlineStr">
        <is>
          <t>Purification, Smudging, Asperging, Representing Earth, Protection from psychic attack, Disabling psychic phenomena, Transmuting wishes, Fire-casting spells, Water-casting spells, Carrying wishes, Removing burdens, Clearing aura attachments</t>
        </is>
      </c>
      <c r="O95" t="inlineStr">
        <is>
          <t>THYME</t>
        </is>
      </c>
      <c r="P95"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t>
        </is>
      </c>
      <c r="Y95" t="inlineStr">
        <is>
          <t>Flourite</t>
        </is>
      </c>
      <c r="Z95" t="inlineStr">
        <is>
          <t>Good luck, concentration, keenness of mind, perspective, reducing emotional involvement, increasing mental power, logic, managing anger, analytical skill, intellect, truth.</t>
        </is>
      </c>
      <c r="AO95" t="inlineStr">
        <is>
          <t>LAGUZ</t>
        </is>
      </c>
      <c r="AP95" t="inlineStr">
        <is>
          <t>L</t>
        </is>
      </c>
      <c r="AQ95" t="inlineStr">
        <is>
          <t>Divination, Water magick, Cleansing, Healing, Psychic w, Breaking habits, Clairvoyance, Negating dreams, Emotion</t>
        </is>
      </c>
      <c r="BA95" t="inlineStr">
        <is>
          <t>Flourite</t>
        </is>
      </c>
      <c r="BC95" t="inlineStr">
        <is>
          <t>NJORD</t>
        </is>
      </c>
    </row>
    <row r="96">
      <c r="A96" t="inlineStr">
        <is>
          <t>NERTHUS</t>
        </is>
      </c>
      <c r="B96" t="inlineStr">
        <is>
          <t>Deity</t>
        </is>
      </c>
      <c r="C96" t="inlineStr">
        <is>
          <t>Feminine</t>
        </is>
      </c>
      <c r="D96" t="inlineStr">
        <is>
          <t>Earth</t>
        </is>
      </c>
      <c r="E96" t="inlineStr">
        <is>
          <t>Earth/Saturn</t>
        </is>
      </c>
      <c r="F96" t="inlineStr">
        <is>
          <t>Saturday</t>
        </is>
      </c>
      <c r="G96" t="inlineStr">
        <is>
          <t>Spring/Autumn</t>
        </is>
      </c>
      <c r="H96" t="inlineStr">
        <is>
          <t>Earth magic, fertility, agriculture, peace, purification, grounding, land healing, Imbolc/Ostara rituals, Prosperity, Strength,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t>
        </is>
      </c>
      <c r="I96" t="inlineStr">
        <is>
          <t>Comfrey, Mugwort, Oak, Barley, Birch, Elder</t>
        </is>
      </c>
      <c r="J96" t="inlineStr">
        <is>
          <t>Germanic earth mother goddess, Mother Earth herself. Her sacred procession brought peace to all lands she visited. After her ritual bathing, the slaves who bathed her were drowned in the lake — returning her secrets to the earth.</t>
        </is>
      </c>
      <c r="K96" t="inlineStr">
        <is>
          <t>Rode in a covered wagon drawn by cattle across the land — wherever she passed, all warfare ceased and weapons were locked away. Her presence brought fertility to the land and peace among peoples.</t>
        </is>
      </c>
      <c r="L96" t="inlineStr">
        <is>
          <t>She IS green energy in its most primal form — the dark, loamy earth itself, the root network beneath the forest floor, the deep fertility of soil. She is the force that calls seeds from their sleep and feeds the roots of the oldest trees.</t>
        </is>
      </c>
      <c r="M96" t="inlineStr">
        <is>
          <t>COMFREY</t>
        </is>
      </c>
      <c r="N96" t="inlineStr">
        <is>
          <t>Healing, Travel safety, Money spells, Protection for travellers, Protection against theft, Luggage protection, Faithfulness, Vehicle protection, Casino luck, Borage substitute, Ritual bath, Divination, Concentration, Letting go of relationships</t>
        </is>
      </c>
      <c r="Y96" t="inlineStr">
        <is>
          <t>Labradorite</t>
        </is>
      </c>
      <c r="Z96" t="inlineStr">
        <is>
          <t>Earth magick, faith, patience, imagination, introspection, Strength, sleep, Protection, stress relief, Peace, Divination, strengthening convictions, Confidence, facilitating transf, mation</t>
        </is>
      </c>
      <c r="AA96" t="inlineStr">
        <is>
          <t>Petrified Wood</t>
        </is>
      </c>
      <c r="AB96" t="inlineStr">
        <is>
          <t>Protection, longevity, past-life recall.</t>
        </is>
      </c>
      <c r="AC96" t="inlineStr">
        <is>
          <t>Tanzanite</t>
        </is>
      </c>
      <c r="AD96" t="inlineStr">
        <is>
          <t>Meditation, Clairvoyance, spirituality, Protection, wisdom, communication with spirit &amp; animal guides.</t>
        </is>
      </c>
      <c r="AO96" t="inlineStr">
        <is>
          <t>RAIDO</t>
        </is>
      </c>
      <c r="AP96" t="inlineStr">
        <is>
          <t>R</t>
        </is>
      </c>
      <c r="AQ96" t="inlineStr">
        <is>
          <t>Journey spells, New beginnings, Movement, Cycles, Luck, Progress, Harmony</t>
        </is>
      </c>
      <c r="AR96" t="inlineStr">
        <is>
          <t>BERKANAN</t>
        </is>
      </c>
      <c r="AS96" t="inlineStr">
        <is>
          <t>B</t>
        </is>
      </c>
      <c r="AT96" t="inlineStr">
        <is>
          <t>Fertility, Growth, New beginnings, Healing, Beauty, Birth, Fresh starts</t>
        </is>
      </c>
      <c r="AU96" t="inlineStr">
        <is>
          <t>LAGUZ</t>
        </is>
      </c>
      <c r="AV96" t="inlineStr">
        <is>
          <t>L</t>
        </is>
      </c>
      <c r="AW96" t="inlineStr">
        <is>
          <t>Divination, Water magick, Cleansing, Healing, Psychic w, Breaking habits, Clairvoyance, Negating dreams, Emotion</t>
        </is>
      </c>
      <c r="BA96" t="inlineStr">
        <is>
          <t>Labradorite, Petrified Wood, Tanzanite</t>
        </is>
      </c>
      <c r="BC96" t="inlineStr">
        <is>
          <t>NERTHUS</t>
        </is>
      </c>
    </row>
    <row r="97">
      <c r="A97" t="inlineStr">
        <is>
          <t>EOSTRE</t>
        </is>
      </c>
      <c r="B97" t="inlineStr">
        <is>
          <t>Deity</t>
        </is>
      </c>
      <c r="C97" t="inlineStr">
        <is>
          <t>Feminine</t>
        </is>
      </c>
      <c r="D97" t="inlineStr">
        <is>
          <t>Air/Fire</t>
        </is>
      </c>
      <c r="E97" t="inlineStr">
        <is>
          <t>Sun/Moon</t>
        </is>
      </c>
      <c r="F97" t="inlineStr">
        <is>
          <t>Sunday</t>
        </is>
      </c>
      <c r="G97" t="inlineStr">
        <is>
          <t>Spring</t>
        </is>
      </c>
      <c r="H97" t="inlineStr">
        <is>
          <t>Spring equinox, new beginnings, fertility, dawn, rebirth, Ostara rituals, sunrise magic, hares and eggs symbolism, Imbolc/Ostara, Breaking habits, Breaking bad habits, Ending negative self-talk, Letting go of relationships, Ending guilt, Release, Renewal, New beginning spells, Fresh starts, Transformation, Change, Breakthrough, Awakening, Growth, New ideas, Assisting transformation, Transformation/Evolution, Imbolc, Imbolc rites, Ostara, Ostara rites, Spring rituals, Spring festivals, Spring Equinox rites, Spring/Imbolc/Ostara/Beltane, Spring tonic, Earth festivals</t>
        </is>
      </c>
      <c r="I97" t="inlineStr">
        <is>
          <t>Clover, Daisy, Violet, Lavender, Primrose, Daffodil</t>
        </is>
      </c>
      <c r="J97" t="inlineStr">
        <is>
          <t>Anglo-Saxon goddess of spring and dawn, from whom Easter takes its name. Associated with the hare and the egg as symbols of fertility and rebirth. Her festival at the spring equinox (Ostara) celebrates the return of light and life.</t>
        </is>
      </c>
      <c r="K97" t="inlineStr">
        <is>
          <t>Said to have transformed a bird into a hare, which could still lay eggs — the origin of the Easter hare and eggs. Her name shares roots with Austro (east) and the proto-Germanic word for dawn, making her a goddess of the returning light.</t>
        </is>
      </c>
      <c r="L97" t="inlineStr">
        <is>
          <t>The explosive green energy of spring itself — buds bursting, shoots emerging, the earth shaking off its winter sleep. She is the first blade of grass through snow, the dawn light of the new year.</t>
        </is>
      </c>
      <c r="M97" t="inlineStr">
        <is>
          <t>CLOVER</t>
        </is>
      </c>
      <c r="N97" t="inlineStr">
        <is>
          <t>Fidelity, Love, Money, Protection, Blessing domestic animals, Financial arrangements, Removing negative spirits, Ritual baths, Prosperity, Floor washes, Shamanic work, Otherworld travel, Out-of-body protection, Walking between worlds, Protective charm</t>
        </is>
      </c>
      <c r="O97" t="inlineStr">
        <is>
          <t>VIOLET</t>
        </is>
      </c>
      <c r="P97" t="inlineStr">
        <is>
          <t>Love (with lavender), Good luck, Prophetic dreams, Divination, Prosperity, Protection, Faithfulness, Love, Wishes, Peace, Healing, Abs, bing evil spells, bing ill will</t>
        </is>
      </c>
      <c r="AO97" t="inlineStr">
        <is>
          <t>ANSUZ</t>
        </is>
      </c>
      <c r="AP97" t="inlineStr">
        <is>
          <t>A</t>
        </is>
      </c>
      <c r="AQ97" t="inlineStr">
        <is>
          <t>Divination, Prophetic dreams, Communication, Wisdom, Clairvoyance, Star magick, Truth</t>
        </is>
      </c>
      <c r="BC97" t="inlineStr">
        <is>
          <t>EOSTRE</t>
        </is>
      </c>
    </row>
    <row r="98">
      <c r="A98" t="inlineStr">
        <is>
          <t>HOLDA</t>
        </is>
      </c>
      <c r="B98" t="inlineStr">
        <is>
          <t>Deity</t>
        </is>
      </c>
      <c r="C98" t="inlineStr">
        <is>
          <t>Feminine</t>
        </is>
      </c>
      <c r="D98" t="inlineStr">
        <is>
          <t>Air/Water</t>
        </is>
      </c>
      <c r="E98" t="inlineStr">
        <is>
          <t>Moon/Saturn</t>
        </is>
      </c>
      <c r="F98" t="inlineStr">
        <is>
          <t>Wednesday</t>
        </is>
      </c>
      <c r="G98" t="inlineStr">
        <is>
          <t>Winter/Spring</t>
        </is>
      </c>
      <c r="H98" t="inlineStr">
        <is>
          <t>Spinning, weaving, domestic magic, winter, snow, the dead, dreams, protection of children, spinning magic, Yule rituals, House blessing, Protection, Yule, Yule magic, Winter rituals,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t>
        </is>
      </c>
      <c r="I98" t="inlineStr">
        <is>
          <t>Elder, Flax, Snowdrop, Mistletoe, Birch, Pine</t>
        </is>
      </c>
      <c r="J98" t="inlineStr">
        <is>
          <t>Germanic goddess of spinning, winter, and the domestic arts. When it snows, Holda is shaking her feather bed. Leader of the wild hunt in some traditions. She rewards industrious spinners and punishes the idle.</t>
        </is>
      </c>
      <c r="K98" t="inlineStr">
        <is>
          <t>Leads the procession of the dead through the winter skies. Makes snow by shaking her feather pillows. In the Grimm tale of Frau Holle, she tests the virtue of two girls who fall down her well into another world — rewarding diligence with gold and punishing laziness with pitch.</t>
        </is>
      </c>
      <c r="L98" t="inlineStr">
        <is>
          <t>Her green energy lies dormant beneath snow — the promise of spring sleeping in the frozen ground. She is the force that keeps the seeds safe through winter, the guardian of potential, and the energy of the forest in its deepest rest.</t>
        </is>
      </c>
      <c r="AO98" t="inlineStr">
        <is>
          <t>BERKANAN</t>
        </is>
      </c>
      <c r="AP98" t="inlineStr">
        <is>
          <t>B</t>
        </is>
      </c>
      <c r="AQ98" t="inlineStr">
        <is>
          <t>Fertility, Growth, New beginnings, Healing, Beauty, Birth, Fresh starts</t>
        </is>
      </c>
      <c r="BC98" t="inlineStr">
        <is>
          <t>HOLDA</t>
        </is>
      </c>
    </row>
    <row r="99">
      <c r="A99" t="inlineStr">
        <is>
          <t>TIWAZ</t>
        </is>
      </c>
      <c r="B99" t="inlineStr">
        <is>
          <t>Deity</t>
        </is>
      </c>
      <c r="C99" t="inlineStr">
        <is>
          <t>Masculine</t>
        </is>
      </c>
      <c r="D99" t="inlineStr">
        <is>
          <t>Air/Fire</t>
        </is>
      </c>
      <c r="E99" t="inlineStr">
        <is>
          <t>Mars</t>
        </is>
      </c>
      <c r="F99" t="inlineStr">
        <is>
          <t>Tuesday</t>
        </is>
      </c>
      <c r="G99" t="inlineStr">
        <is>
          <t>All Seasons</t>
        </is>
      </c>
      <c r="H99" t="inlineStr">
        <is>
          <t>Justice, law, victory in battle, honour, courage, self-sacrifice, legal matters, oaths, warrior magic, Success, Victory, Conquest, Overcoming opposition, Courtroom success</t>
        </is>
      </c>
      <c r="I99" t="inlineStr">
        <is>
          <t>Oak, Ash, Nettle, Rue, Thistle</t>
        </is>
      </c>
      <c r="J99" t="inlineStr">
        <is>
          <t>Germanic god of justice, law, and victory. Norse name Tyr. He sacrificed his right hand to the wolf Fenrir as a pledge that allowed the gods to bind the beast — knowing the oath would be broken and his hand lost, he made the sacrifice anyway for the greater good.</t>
        </is>
      </c>
      <c r="K99" t="inlineStr">
        <is>
          <t>Placed his hand in Fenrir's mouth as a pledge of good faith while the gods bound the wolf. When Fenrir realised the binding would not be removed, he bit off Tiwaz's hand — and Tiwaz accepted this loss without complaint, for it was necessary. The rune Tiwaz bears his name.</t>
        </is>
      </c>
      <c r="L99" t="inlineStr">
        <is>
          <t>His green energy is in the strength of the upright oak, standing firm through storms. He is the energy of principled action — doing what is right even at great personal cost, of the forest guardian who holds the boundary.</t>
        </is>
      </c>
      <c r="M99" t="inlineStr">
        <is>
          <t>NETTLE</t>
        </is>
      </c>
      <c r="N99" t="inlineStr">
        <is>
          <t>Protection, healing, lust, courage, and exorcism. Stuff a poppet with nettles to break curses and return them to the sender. Throw into a fire to avert danger. Carry in a charm bag for courage and to ward off fear. Sprinkle around the home to drive out negative presences. Use in healing spells for building strength and vitality.</t>
        </is>
      </c>
      <c r="O99" t="inlineStr">
        <is>
          <t>RUE</t>
        </is>
      </c>
      <c r="P99"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Y99" t="inlineStr">
        <is>
          <t>Bloodstone</t>
        </is>
      </c>
      <c r="Z99" t="inlineStr">
        <is>
          <t>Healing, Prosperity, Confidence, physical strength, stress relief, help in business, legal matters, revitalization, guidance, rain, ganization.</t>
        </is>
      </c>
      <c r="AA99" t="inlineStr">
        <is>
          <t>Pyrite (Fool's Gold)</t>
        </is>
      </c>
      <c r="AB99" t="inlineStr">
        <is>
          <t>Logic, clarity, mem, Clairvoyance, Prosperity, will power, grounding, Harmony, Strength</t>
        </is>
      </c>
      <c r="AC99" t="inlineStr">
        <is>
          <t>Red Jasper</t>
        </is>
      </c>
      <c r="AD99" t="inlineStr">
        <is>
          <t>Beauty, grace, increasing mental processes, Luck, easing pain of childbirth, Anti-theft, ming barrier against dangerous whims &amp; desires.</t>
        </is>
      </c>
      <c r="AE99" t="inlineStr">
        <is>
          <t>Rhodocrosite</t>
        </is>
      </c>
      <c r="AF99" t="inlineStr">
        <is>
          <t>Balancing, Healing, beauty, intelligence, divine love, energy, Peace, loneliness, comf, Amulets/talismans, meeting potential, Confidence, Contacting planes, compassion, friendship. Increases self confidence, self reliance, independence, the ability to provide f, yourself.</t>
        </is>
      </c>
      <c r="BA99" t="inlineStr">
        <is>
          <t>Bloodstone, Pyrite (Fool's Gold), Red Jasper, Rhodocrosite, Rhodonite, Ruby, Yellow Aventurine</t>
        </is>
      </c>
      <c r="BC99" t="inlineStr">
        <is>
          <t>TIWAZ</t>
        </is>
      </c>
    </row>
    <row r="100">
      <c r="A100" t="inlineStr">
        <is>
          <t>ING</t>
        </is>
      </c>
      <c r="B100" t="inlineStr">
        <is>
          <t>Deity</t>
        </is>
      </c>
      <c r="C100" t="inlineStr">
        <is>
          <t>Masculine</t>
        </is>
      </c>
      <c r="D100" t="inlineStr">
        <is>
          <t>Earth/Fire</t>
        </is>
      </c>
      <c r="E100" t="inlineStr">
        <is>
          <t>Sun/Jupiter</t>
        </is>
      </c>
      <c r="F100" t="inlineStr">
        <is>
          <t>Sunday</t>
        </is>
      </c>
      <c r="G100" t="inlineStr">
        <is>
          <t>Spring/Summer</t>
        </is>
      </c>
      <c r="H100" t="inlineStr">
        <is>
          <t>Fertility, new beginnings, male virility, harvest, Beltane rituals, transformation, ancestral magic, Beltane, Female fertility, Fertility magic, Fertility charms, Aiding fertility, Increasing fertility, Fruitfulness,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Beltane celebrations, Summer rituals, Midsummer, Midsummer celebrations, Midsummer magic, Midsummer rites, Midsummer/Litha rituals, Contacting planes, Contacting other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memory, Samhain rituals, death rites, Death and rebirth rites, Necromancy, Peaceful transition for the dead, ancestors, Crone magic, Seeing past lives, Reincarnation, Reincarnation knowledge, Past lives, Mabon/Samhain, Mabon rituals, Samhain</t>
        </is>
      </c>
      <c r="I100" t="inlineStr">
        <is>
          <t>Barley, Wheat, Apple, Oak, Basil, Chamomile</t>
        </is>
      </c>
      <c r="J100" t="inlineStr">
        <is>
          <t>Anglo-Saxon/Germanic fertility god, ancestor deity of the Ingvaeones peoples. Often identified with Frey. Ing represents the spark of new life, the first stirring of fertility, and the generative power of the masculine principle.</t>
        </is>
      </c>
      <c r="K100" t="inlineStr">
        <is>
          <t>The rune Ingwaz (his rune) represents the seed — the contained potential of new life, coiled and ready to spring into being. His mythology speaks of departure by sea — of mystery and return, of the cycle of life, death, and regeneration.</t>
        </is>
      </c>
      <c r="L100" t="inlineStr">
        <is>
          <t>The concentrated green energy of the seed itself — all potential contained, ready to burst forth. His energy is in the germination of grain, the swelling of buds, the first warm breath of spring that triggers life.</t>
        </is>
      </c>
      <c r="M100" t="inlineStr">
        <is>
          <t>BASIL</t>
        </is>
      </c>
      <c r="N100"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O100" t="inlineStr">
        <is>
          <t>CHAMOMILE</t>
        </is>
      </c>
      <c r="P100" t="inlineStr">
        <is>
          <t>Fortune, Justice, Love, Meditation, Money, Prosperity, Purification, Removing curses, Removing hexes, Serenity, Calm, Sleep</t>
        </is>
      </c>
      <c r="Q100" t="inlineStr">
        <is>
          <t>WITCH HAZEL LEAVES</t>
        </is>
      </c>
      <c r="R100" t="inlineStr">
        <is>
          <t>Purification, Protection, Banishing, Consecration</t>
        </is>
      </c>
      <c r="AG100" t="inlineStr">
        <is>
          <t>Apple</t>
        </is>
      </c>
      <c r="AH100" t="inlineStr">
        <is>
          <t>Love, Happiness, WISDOM IN MAGICK</t>
        </is>
      </c>
      <c r="AI100" t="inlineStr">
        <is>
          <t>Bergamot</t>
        </is>
      </c>
      <c r="AJ100" t="inlineStr">
        <is>
          <t>PROSPERITY SPELLS, Prosperity</t>
        </is>
      </c>
      <c r="AK100" t="inlineStr">
        <is>
          <t>Fir Needle</t>
        </is>
      </c>
      <c r="AL100" t="inlineStr">
        <is>
          <t>Purification, Cleansing, Protection, Healing</t>
        </is>
      </c>
      <c r="AM100" t="inlineStr">
        <is>
          <t>Lemon</t>
        </is>
      </c>
      <c r="AN100" t="inlineStr">
        <is>
          <t>Purification, Love, FRIENDSHIP</t>
        </is>
      </c>
      <c r="AO100" t="inlineStr">
        <is>
          <t>RAIDO</t>
        </is>
      </c>
      <c r="AP100" t="inlineStr">
        <is>
          <t>R</t>
        </is>
      </c>
      <c r="AQ100" t="inlineStr">
        <is>
          <t>Journey spells, New beginnings, Movement, Cycles, Luck, Progress, Harmony</t>
        </is>
      </c>
      <c r="AR100" t="inlineStr">
        <is>
          <t>NAUDIZ</t>
        </is>
      </c>
      <c r="AS100" t="inlineStr">
        <is>
          <t>N</t>
        </is>
      </c>
      <c r="AT100" t="inlineStr">
        <is>
          <t>Strength, Perseverance, Inner power, Confidence, Healing, Necessity</t>
        </is>
      </c>
      <c r="AU100" t="inlineStr">
        <is>
          <t>PERTH</t>
        </is>
      </c>
      <c r="AV100" t="inlineStr">
        <is>
          <t>P</t>
        </is>
      </c>
      <c r="AW100" t="inlineStr">
        <is>
          <t>Divination, Mystery, Clairvoyance, Secrets, Star magick, Chance, Hidden knowledge, Truth</t>
        </is>
      </c>
      <c r="AX100" t="inlineStr">
        <is>
          <t>INGWAZ</t>
        </is>
      </c>
      <c r="AY100" t="inlineStr">
        <is>
          <t>NG</t>
        </is>
      </c>
      <c r="AZ100" t="inlineStr">
        <is>
          <t>Fertility, Peace, Harmony, Completion, Love, Unity, Wholeness, Happiness</t>
        </is>
      </c>
      <c r="BC100" t="inlineStr">
        <is>
          <t>ING</t>
        </is>
      </c>
    </row>
    <row r="101">
      <c r="A101" t="inlineStr">
        <is>
          <t>URD</t>
        </is>
      </c>
      <c r="B101" t="inlineStr">
        <is>
          <t>Deity — Norn</t>
        </is>
      </c>
      <c r="C101" t="inlineStr">
        <is>
          <t>Feminine</t>
        </is>
      </c>
      <c r="D101" t="inlineStr">
        <is>
          <t>Water/Earth</t>
        </is>
      </c>
      <c r="E101" t="inlineStr">
        <is>
          <t>Saturn/Moon</t>
        </is>
      </c>
      <c r="F101" t="inlineStr">
        <is>
          <t>Saturday</t>
        </is>
      </c>
      <c r="G101" t="inlineStr">
        <is>
          <t>All Seasons</t>
        </is>
      </c>
      <c r="H101" t="inlineStr">
        <is>
          <t>Past lives, fate, ancestors, death rites, Samhain rituals, karmic magic, destiny, the Well of Wyrd, Samhain/ancestral altars, Divination,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Death and rebirth rites, Necromancy, Peaceful transition for the dead, Crone magic, Seeing past lives, Reincarnation, Reincarnation knowledge, Mabon/Samhain, Mabon rituals, Samhain, Enhancing divination, Divinatory incense, Foretelling the future, Future divination, Scrying, Dowsing, Prophecy</t>
        </is>
      </c>
      <c r="I101" t="inlineStr">
        <is>
          <t>Yew, Elder, Mugwort, Wormwood, Cypress</t>
        </is>
      </c>
      <c r="J101" t="inlineStr">
        <is>
          <t>One of the three Norns — the Norse goddesses who weave the fate of gods and men. Urd (or Urðr) governs the past. She and her sisters Verdandi and Skuld weave at the Well of Urðr beneath Yggdrasil, determining the fate of all living things.</t>
        </is>
      </c>
      <c r="K101" t="inlineStr">
        <is>
          <t>Weaves the threads of past fate at the Well of Urðr. Together with her sisters she carves runes into the trunk of Yggdrasil to encode the fates she has woven. No deity — not even Odin — can undo what the Norns have woven.</t>
        </is>
      </c>
      <c r="L101" t="inlineStr">
        <is>
          <t>Her green energy is deep in the roots — the ancient wood of old growth trees, the compressed memory of centuries in living wood, the slow decay of fallen giants returning to the soil to feed new growth.</t>
        </is>
      </c>
      <c r="M101" t="inlineStr">
        <is>
          <t>WORMWOOD</t>
        </is>
      </c>
      <c r="N101" t="inlineStr">
        <is>
          <t>Banishing, calling spirits, clairvoyance, divination, love, protection, psychic development, growth and spell breaking. An herb of Mars matters — aggression, courage, defensive magic, exorcism, healing after surgery, hex-breaking, lust, physical strength, protection, sexual energy, and strength.</t>
        </is>
      </c>
      <c r="Y101" t="inlineStr">
        <is>
          <t>Apache Tears</t>
        </is>
      </c>
      <c r="Z101" t="inlineStr">
        <is>
          <t>Luck, removal of pain</t>
        </is>
      </c>
      <c r="AA101" t="inlineStr">
        <is>
          <t>Hematite</t>
        </is>
      </c>
      <c r="AB101" t="inlineStr">
        <is>
          <t>Concentration, mem, Clairvoyance, banishing negativity, clarity, Confidence, stress relief, energy, Healing, Divination, grounding, centering, scrying, reliability, legal matters.</t>
        </is>
      </c>
      <c r="AC101" t="inlineStr">
        <is>
          <t>Obsidian</t>
        </is>
      </c>
      <c r="AD101" t="inlineStr">
        <is>
          <t>Grounding, centering, Divination, increasing spirituality, Healing, Cleansing, clarity, Luck, manifestation, transf, mation, inner growth.</t>
        </is>
      </c>
      <c r="AE101" t="inlineStr">
        <is>
          <t>Serpentine</t>
        </is>
      </c>
      <c r="AF101" t="inlineStr">
        <is>
          <t>Cleansing, visualization, meditation, attracting love, drawing money, Prosperity, psychic power, matters involving the elderly, longevity.</t>
        </is>
      </c>
      <c r="AO101" t="inlineStr">
        <is>
          <t>URUZ</t>
        </is>
      </c>
      <c r="AP101" t="inlineStr">
        <is>
          <t>U/OO</t>
        </is>
      </c>
      <c r="AQ101" t="inlineStr">
        <is>
          <t>Strength, Bolstering spells, Healing, Confidence, Protection, Fertility, Fruitfulness</t>
        </is>
      </c>
      <c r="AR101" t="inlineStr">
        <is>
          <t>HAGALAZ</t>
        </is>
      </c>
      <c r="AS101" t="inlineStr">
        <is>
          <t>H</t>
        </is>
      </c>
      <c r="AT101" t="inlineStr">
        <is>
          <t>Protection, Banishing, Warding, Exorcism, Strength, Challenges, Disruption</t>
        </is>
      </c>
      <c r="BA101" t="inlineStr">
        <is>
          <t>Apache Tears, Hematite, Obsidian, Serpentine</t>
        </is>
      </c>
      <c r="BC101" t="inlineStr">
        <is>
          <t>URD</t>
        </is>
      </c>
    </row>
    <row r="102">
      <c r="A102" t="inlineStr">
        <is>
          <t>VERDANDI</t>
        </is>
      </c>
      <c r="B102" t="inlineStr">
        <is>
          <t>Deity — Norn</t>
        </is>
      </c>
      <c r="C102" t="inlineStr">
        <is>
          <t>Feminine</t>
        </is>
      </c>
      <c r="D102" t="inlineStr">
        <is>
          <t>Fire/Water</t>
        </is>
      </c>
      <c r="E102" t="inlineStr">
        <is>
          <t>Sun/Moon</t>
        </is>
      </c>
      <c r="F102" t="inlineStr">
        <is>
          <t>Any</t>
        </is>
      </c>
      <c r="G102" t="inlineStr">
        <is>
          <t>All Seasons</t>
        </is>
      </c>
      <c r="H102" t="inlineStr">
        <is>
          <t>Present moment, manifestation, active magic, spell-casting, the now, decision making, present fate, Magical power, Increasing magical power, Increasing spell power, Power amplification, Bolstering spells, Bolstering incense, Strengthening spells, Potency, Power, Magic, WISDOM IN MAGICK, defensive magic</t>
        </is>
      </c>
      <c r="I102" t="inlineStr">
        <is>
          <t>Rosemary, Thyme, Sage, St John's Wort, Chamomile</t>
        </is>
      </c>
      <c r="J102" t="inlineStr">
        <is>
          <t>One of the three Norns — Verdandi governs the present moment. Her name means "becoming" or "what is happening now." She weaves the thread of present fate alongside Urd (past) and Skuld (future) at the Well of Urðr.</t>
        </is>
      </c>
      <c r="K102" t="inlineStr">
        <is>
          <t>Weaves present fate in real time — the thread of now passing through her fingers as events unfold. She is the most active of the three Norns, her work never pausing, always becoming. What is woven by her hand is the living present.</t>
        </is>
      </c>
      <c r="L102" t="inlineStr">
        <is>
          <t>The living green energy of the present growing season — the branch reaching toward light right now, the leaf photosynthesising this moment. She is the immediate energy of active growth.</t>
        </is>
      </c>
      <c r="M102" t="inlineStr">
        <is>
          <t>ROSEMARY</t>
        </is>
      </c>
      <c r="N102" t="inlineStr">
        <is>
          <t>Cleansing, Consecration, Exorcism, Healing, Sleep, Peace of mind, Confidence, Courage, Good luck, Grieving, Happiness, Knowledge, Love, Memory, Passion, Preventing theft, Protection, Psychic development, Psychic protection, Purification, Release, Water rites, Sea rituals, Weddings, Blessings, Dreams, Endings, Energy, Elves, Fidelity, Honesty, Inspiration, Invocation, Longevity, Meditation, New moon, Preventing nightmares, Strength, Transformation, Wisdom</t>
        </is>
      </c>
      <c r="O102" t="inlineStr">
        <is>
          <t>THYME</t>
        </is>
      </c>
      <c r="P102"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t>
        </is>
      </c>
      <c r="Q102" t="inlineStr">
        <is>
          <t>SAGE</t>
        </is>
      </c>
      <c r="R102" t="inlineStr">
        <is>
          <t>Cleansing, Consecration, Psychic protection, Purification, Healing, Longevity, Money, Passion, Wisdom, Prosperity, Love, Psychic development, Clairvoyance, Meditation, Peace, Tranquillity, Knowledge, Divination, Domestic harmony, Energy, Happiness, Inspiration, Keeping secrets, Mabon rituals, Samhain rituals, Weddings, Hand-fastings</t>
        </is>
      </c>
      <c r="S102" t="inlineStr">
        <is>
          <t>ST JOHN'S WORT</t>
        </is>
      </c>
      <c r="T102" t="inlineStr">
        <is>
          <t>Protection, divination, happiness, love, health, and strength. Hang above the door on Midsummer to protect the household through the dark half of the year. Burn to banish spirits and negative energies. Carry to detect magical attacks and protect against them. One of the most powerful protective herbs in the European tradition.</t>
        </is>
      </c>
      <c r="U102" t="inlineStr">
        <is>
          <t>CHAMOMILE</t>
        </is>
      </c>
      <c r="V102" t="inlineStr">
        <is>
          <t>Fortune, Justice, Love, Meditation, Money, Prosperity, Purification, Removing curses, Removing hexes, Serenity, Calm, Sleep</t>
        </is>
      </c>
      <c r="AO102" t="inlineStr">
        <is>
          <t>ISA</t>
        </is>
      </c>
      <c r="AP102" t="inlineStr">
        <is>
          <t>I</t>
        </is>
      </c>
      <c r="AQ102" t="inlineStr">
        <is>
          <t>Binding spells, Stillness, Stagnation breaking, Freezing (hexes), Protection, Patience</t>
        </is>
      </c>
      <c r="BC102" t="inlineStr">
        <is>
          <t>VERDANDI</t>
        </is>
      </c>
    </row>
    <row r="103">
      <c r="A103" t="inlineStr">
        <is>
          <t>SKULD</t>
        </is>
      </c>
      <c r="B103" t="inlineStr">
        <is>
          <t>Deity — Norn</t>
        </is>
      </c>
      <c r="C103" t="inlineStr">
        <is>
          <t>Feminine</t>
        </is>
      </c>
      <c r="D103" t="inlineStr">
        <is>
          <t>Air/Water</t>
        </is>
      </c>
      <c r="E103" t="inlineStr">
        <is>
          <t>Saturn/Moon</t>
        </is>
      </c>
      <c r="F103" t="inlineStr">
        <is>
          <t>Saturday</t>
        </is>
      </c>
      <c r="G103" t="inlineStr">
        <is>
          <t>Winter</t>
        </is>
      </c>
      <c r="H103" t="inlineStr">
        <is>
          <t>Future divination, prophecy, death, endings, Samhain, Yule, cutting ties, releasing what must pass, karmic debts, Samhain/ancestral altars, Divination, Enhancing divination, Divinatory incense, Foretelling the future, Scrying, Dowsing,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Yule magic, Winter rituals, Yule rituals</t>
        </is>
      </c>
      <c r="I103" t="inlineStr">
        <is>
          <t>Yew, Mugwort, Wormwood, Valerian, Elder</t>
        </is>
      </c>
      <c r="J103" t="inlineStr">
        <is>
          <t>One of the three Norns — Skuld governs what shall be, the future and debt. Her name relates to the Old Norse word for debt or obligation. She can unravel the threads her sisters have woven if debts are owed. She is also a Valkyrie.</t>
        </is>
      </c>
      <c r="K103" t="inlineStr">
        <is>
          <t>Carries a scroll of what is yet to be — unread until the moment arrives. As a Valkyrie she walks battlefields determining who shall live and die. Has the power to unravel threads already woven by her sisters if the debt of fate demands it.</t>
        </is>
      </c>
      <c r="L103" t="inlineStr">
        <is>
          <t>The seed not yet planted, the potential not yet actualised. Her green energy is in the deep dormancy of winter — in the earth awaiting its appointed time, in the bare branches of the tree conserving energy for the spring that is written but not yet come.</t>
        </is>
      </c>
      <c r="M103" t="inlineStr">
        <is>
          <t>WORMWOOD</t>
        </is>
      </c>
      <c r="N103" t="inlineStr">
        <is>
          <t>Banishing, calling spirits, clairvoyance, divination, love, protection, psychic development, growth and spell breaking. An herb of Mars matters — aggression, courage, defensive magic, exorcism, healing after surgery, hex-breaking, lust, physical strength, protection, sexual energy, and strength.</t>
        </is>
      </c>
      <c r="Y103" t="inlineStr">
        <is>
          <t>Apache Tears</t>
        </is>
      </c>
      <c r="Z103" t="inlineStr">
        <is>
          <t>Luck, removal of pain</t>
        </is>
      </c>
      <c r="AA103" t="inlineStr">
        <is>
          <t>Hematite</t>
        </is>
      </c>
      <c r="AB103" t="inlineStr">
        <is>
          <t>Concentration, mem, Clairvoyance, banishing negativity, clarity, Confidence, stress relief, energy, Healing, Divination, grounding, centering, scrying, reliability, legal matters.</t>
        </is>
      </c>
      <c r="AC103" t="inlineStr">
        <is>
          <t>Obsidian</t>
        </is>
      </c>
      <c r="AD103" t="inlineStr">
        <is>
          <t>Grounding, centering, Divination, increasing spirituality, Healing, Cleansing, clarity, Luck, manifestation, transf, mation, inner growth.</t>
        </is>
      </c>
      <c r="AE103" t="inlineStr">
        <is>
          <t>Serpentine</t>
        </is>
      </c>
      <c r="AF103" t="inlineStr">
        <is>
          <t>Cleansing, visualization, meditation, attracting love, drawing money, Prosperity, psychic power, matters involving the elderly, longevity.</t>
        </is>
      </c>
      <c r="AO103" t="inlineStr">
        <is>
          <t>NAUDIZ</t>
        </is>
      </c>
      <c r="AP103" t="inlineStr">
        <is>
          <t>N</t>
        </is>
      </c>
      <c r="AQ103" t="inlineStr">
        <is>
          <t>Strength, Perseverance, Inner power, Confidence, Healing, Necessity</t>
        </is>
      </c>
      <c r="BA103" t="inlineStr">
        <is>
          <t>Apache Tears, Hematite, Obsidian, Serpentine</t>
        </is>
      </c>
      <c r="BC103" t="inlineStr">
        <is>
          <t>SKULD</t>
        </is>
      </c>
    </row>
    <row r="104">
      <c r="A104" t="inlineStr">
        <is>
          <t>ULLR</t>
        </is>
      </c>
      <c r="B104" t="inlineStr">
        <is>
          <t>Deity</t>
        </is>
      </c>
      <c r="C104" t="inlineStr">
        <is>
          <t>Masculine</t>
        </is>
      </c>
      <c r="D104" t="inlineStr">
        <is>
          <t>Air/Earth</t>
        </is>
      </c>
      <c r="E104" t="inlineStr">
        <is>
          <t>Saturn</t>
        </is>
      </c>
      <c r="F104" t="inlineStr">
        <is>
          <t>Saturday</t>
        </is>
      </c>
      <c r="G104" t="inlineStr">
        <is>
          <t>Winter</t>
        </is>
      </c>
      <c r="H104" t="inlineStr">
        <is>
          <t>Hunting, archery, winter sports, oaths, protection in wilderness, single combat, survival, Yule rituals, Yule, Yule magic, Winter rituals</t>
        </is>
      </c>
      <c r="I104" t="inlineStr">
        <is>
          <t>Juniper, Pine, Yew, Cedar, Holly</t>
        </is>
      </c>
      <c r="J104" t="inlineStr">
        <is>
          <t>Norse god of hunting, archery, winter, and the ski. Son of Sif and stepson of Thor. Ullr is one of the oldest Norse gods and was once widely worshipped. He rules during the winter months and is an expert archer and hunter.</t>
        </is>
      </c>
      <c r="K104" t="inlineStr">
        <is>
          <t>Carved magical shields used as skis to cross vast distances in winter. Said to be so skilled with a bow that he could shoot a target across vast distances in total darkness. Oaths were sworn on his ring — to break an oath to Ullr brought terrible consequences.</t>
        </is>
      </c>
      <c r="L104" t="inlineStr">
        <is>
          <t>The spare, stripped-back green energy of conifers in winter — the yew and pine that remain green when all else sleeps. His energy is in survival, in the focussed intensity of the hunter waiting in silent snow-covered woodland.</t>
        </is>
      </c>
      <c r="AO104" t="inlineStr">
        <is>
          <t>IHWAZ</t>
        </is>
      </c>
      <c r="AP104" t="inlineStr">
        <is>
          <t>Y/I</t>
        </is>
      </c>
      <c r="AQ104" t="inlineStr">
        <is>
          <t>Transf, mation, Protection, Banishing, Healing, Strength, Change, New beginnings</t>
        </is>
      </c>
      <c r="BC104" t="inlineStr">
        <is>
          <t>ULLR</t>
        </is>
      </c>
    </row>
    <row r="105">
      <c r="A105" t="inlineStr">
        <is>
          <t>GEFN</t>
        </is>
      </c>
      <c r="B105" t="inlineStr">
        <is>
          <t>Deity</t>
        </is>
      </c>
      <c r="C105" t="inlineStr">
        <is>
          <t>Feminine</t>
        </is>
      </c>
      <c r="D105" t="inlineStr">
        <is>
          <t>Earth/Water</t>
        </is>
      </c>
      <c r="E105" t="inlineStr">
        <is>
          <t>Venus/Moon</t>
        </is>
      </c>
      <c r="F105" t="inlineStr">
        <is>
          <t>Friday</t>
        </is>
      </c>
      <c r="G105" t="inlineStr">
        <is>
          <t>Spring</t>
        </is>
      </c>
      <c r="H105" t="inlineStr">
        <is>
          <t>Virginity, abundance, land magic, ploughing, agriculture, transformation, prosperity, women's mysteries, Fertility, Female fertility, Fertility magic, Fertility charms, Aiding fertility, Increasing fertility, Fruitfulness, Virility, male virility, Abundant harvest, Wealth, Wealth/Prosperity, Attracting business, Business dealings, Financial arrangements, Aiding gain, Gain, PROSPERITY SPELLS, Increasing wealth, Money, Money spells, Attracting money, Drawing money, INCREASE MONEY, Breaking financial stagnation, Money mixtures, Protecting against poverty, Warding off poverty</t>
        </is>
      </c>
      <c r="I105" t="inlineStr">
        <is>
          <t>Flax, Elder, Apple Blossom, Primrose, Violet</t>
        </is>
      </c>
      <c r="J105" t="inlineStr">
        <is>
          <t>Norse goddess of abundance and virginity. She ploughed the land of Gylfi from Sweden, dragging it into the sea to form the island of Zealand (Denmark) using four giant oxen — her own sons transformed. She receives unmarried women after death.</t>
        </is>
      </c>
      <c r="K105" t="inlineStr">
        <is>
          <t>Transformed her four sons into oxen and used them to plough a vast tract of land from Sweden, dragging it across the sea to form the island of Zealand. This act of transformation — using her own children as instruments of creation — is one of the most powerful magical acts in Norse mythology.</t>
        </is>
      </c>
      <c r="L105" t="inlineStr">
        <is>
          <t>Her green energy is in the newly turned earth of spring ploughing — the rich dark soil broken open to receive seed. She is abundance waiting to be called forth, the latent fertility of land that has never been worked.</t>
        </is>
      </c>
      <c r="M105" t="inlineStr">
        <is>
          <t>APPLE BLOSSOM</t>
        </is>
      </c>
      <c r="N105" t="inlineStr">
        <is>
          <t>Love spells, Peace, Contentment, Success, Relaxation, Bath magic</t>
        </is>
      </c>
      <c r="O105" t="inlineStr">
        <is>
          <t>VIOLET</t>
        </is>
      </c>
      <c r="P105" t="inlineStr">
        <is>
          <t>Love (with lavender), Good luck, Prophetic dreams, Divination, Prosperity, Protection, Faithfulness, Love, Wishes, Peace, Healing, Abs, bing evil spells, bing ill will</t>
        </is>
      </c>
      <c r="AO105" t="inlineStr">
        <is>
          <t>GEBO</t>
        </is>
      </c>
      <c r="AP105" t="inlineStr">
        <is>
          <t>G</t>
        </is>
      </c>
      <c r="AQ105" t="inlineStr">
        <is>
          <t>Love spells, Love rituals, Love, Gift-giving, Anti-theft, giveness, Attraction, Peace</t>
        </is>
      </c>
      <c r="BC105" t="inlineStr">
        <is>
          <t>GEFN</t>
        </is>
      </c>
    </row>
    <row r="106">
      <c r="A106" t="inlineStr">
        <is>
          <t>URDL</t>
        </is>
      </c>
      <c r="B106" t="inlineStr">
        <is>
          <t>Deity — Norn variant</t>
        </is>
      </c>
      <c r="C106" t="inlineStr">
        <is>
          <t>Feminine</t>
        </is>
      </c>
      <c r="D106" t="inlineStr">
        <is>
          <t>Water/Earth</t>
        </is>
      </c>
      <c r="E106" t="inlineStr">
        <is>
          <t>Saturn/Moon</t>
        </is>
      </c>
      <c r="F106" t="inlineStr">
        <is>
          <t>Saturday</t>
        </is>
      </c>
      <c r="G106" t="inlineStr">
        <is>
          <t>All Seasons</t>
        </is>
      </c>
      <c r="H106" t="inlineStr">
        <is>
          <t>Past, fate, ancestry, karmic magic, the Well of Wyrd, ancestral memory, destiny, Samhain/ancestral altars, Divination,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Samhain rituals, death rites, Death and rebirth rites, Necromancy, Peaceful transition for the dead, ancestors, Crone magic, Seeing past lives, Reincarnation, Reincarnation knowledge, Past lives, Mabon/Samhain, Mabon rituals, Samhain, Enhancing divination, Divinatory incense, Foretelling the future, Future divination, Scrying, Dowsing, Prophecy</t>
        </is>
      </c>
      <c r="I106" t="inlineStr">
        <is>
          <t>Yew, Elder, Mugwort, Wormwood, Cypress</t>
        </is>
      </c>
      <c r="J106" t="inlineStr">
        <is>
          <t>Alternate spelling of Urd/Urðr — one of the three Norns who weaves fate at the Well of Urðr beneath Yggdrasil. Governs the past and ancestral memory. See URD for full entry.</t>
        </is>
      </c>
      <c r="K106" t="inlineStr">
        <is>
          <t>Weaves the threads of past fate at the Well of Urðr beneath Yggdrasil alongside her sisters Verdandi and Skuld.</t>
        </is>
      </c>
      <c r="L106" t="inlineStr">
        <is>
          <t>Deep root energy — the ancient wood and buried memory of the forest. Her green energy is in the compressed wisdom of centuries encoded in living wood.</t>
        </is>
      </c>
      <c r="M106" t="inlineStr">
        <is>
          <t>WORMWOOD</t>
        </is>
      </c>
      <c r="N106" t="inlineStr">
        <is>
          <t>Banishing, calling spirits, clairvoyance, divination, love, protection, psychic development, growth and spell breaking. An herb of Mars matters — aggression, courage, defensive magic, exorcism, healing after surgery, hex-breaking, lust, physical strength, protection, sexual energy, and strength.</t>
        </is>
      </c>
      <c r="AO106" t="inlineStr">
        <is>
          <t>URUZ</t>
        </is>
      </c>
      <c r="AP106" t="inlineStr">
        <is>
          <t>U/OO</t>
        </is>
      </c>
      <c r="AQ106" t="inlineStr">
        <is>
          <t>Strength, Bolstering spells, Healing, Confidence, Protection, Fertility, Fruitfulness</t>
        </is>
      </c>
      <c r="BC106" t="inlineStr">
        <is>
          <t>URDL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B66"/>
  <sheetViews>
    <sheetView workbookViewId="0">
      <selection activeCell="A1" sqref="A1"/>
    </sheetView>
  </sheetViews>
  <sheetFormatPr baseColWidth="8" defaultRowHeight="15"/>
  <sheetData>
    <row r="1" ht="27.75" customHeight="1" s="56">
      <c r="A1" t="inlineStr">
        <is>
          <t>Name</t>
        </is>
      </c>
      <c r="B1" t="inlineStr">
        <is>
          <t>Ye Olde Name</t>
        </is>
      </c>
      <c r="C1" t="inlineStr">
        <is>
          <t>Latin Name</t>
        </is>
      </c>
      <c r="D1" t="inlineStr">
        <is>
          <t>Magical Uses</t>
        </is>
      </c>
      <c r="E1" t="inlineStr">
        <is>
          <t>Association</t>
        </is>
      </c>
      <c r="F1" t="inlineStr">
        <is>
          <t>Planet</t>
        </is>
      </c>
      <c r="G1" t="inlineStr">
        <is>
          <t>Element</t>
        </is>
      </c>
      <c r="H1" t="inlineStr">
        <is>
          <t>Energy</t>
        </is>
      </c>
      <c r="I1" t="inlineStr">
        <is>
          <t>Day</t>
        </is>
      </c>
      <c r="J1" t="inlineStr">
        <is>
          <t>Deity</t>
        </is>
      </c>
      <c r="K1" t="inlineStr">
        <is>
          <t>Sabbat</t>
        </is>
      </c>
      <c r="L1" t="inlineStr">
        <is>
          <t>Folk Lore</t>
        </is>
      </c>
      <c r="M1" t="inlineStr">
        <is>
          <t>Powers</t>
        </is>
      </c>
      <c r="N1" t="inlineStr">
        <is>
          <t>Spiritual Uses</t>
        </is>
      </c>
      <c r="O1" t="inlineStr">
        <is>
          <t>Description</t>
        </is>
      </c>
      <c r="P1" t="inlineStr">
        <is>
          <t>Oil Name</t>
        </is>
      </c>
      <c r="Q1" t="inlineStr">
        <is>
          <t>Geology</t>
        </is>
      </c>
      <c r="R1" t="inlineStr">
        <is>
          <t>Warning</t>
        </is>
      </c>
      <c r="S1" t="inlineStr">
        <is>
          <t>Herb 1 Name</t>
        </is>
      </c>
      <c r="T1" t="inlineStr">
        <is>
          <t>Herb 1 Uses</t>
        </is>
      </c>
      <c r="U1" t="inlineStr">
        <is>
          <t>Herb 2 Name</t>
        </is>
      </c>
      <c r="V1" t="inlineStr">
        <is>
          <t>Herb 2 Uses</t>
        </is>
      </c>
      <c r="W1" t="inlineStr">
        <is>
          <t>Herb 3 Name</t>
        </is>
      </c>
      <c r="X1" t="inlineStr">
        <is>
          <t>Herb 3 Uses</t>
        </is>
      </c>
      <c r="Y1" t="inlineStr">
        <is>
          <t>Herb 4 Name</t>
        </is>
      </c>
      <c r="Z1" t="inlineStr">
        <is>
          <t>Herb 4 Uses</t>
        </is>
      </c>
      <c r="AA1" t="inlineStr">
        <is>
          <t>Rune 1 Name</t>
        </is>
      </c>
      <c r="AB1" t="inlineStr">
        <is>
          <t>Rune 1 Letter</t>
        </is>
      </c>
      <c r="AC1" t="inlineStr">
        <is>
          <t>Rune 1 Uses</t>
        </is>
      </c>
      <c r="AD1" t="inlineStr">
        <is>
          <t>Rune 1 Powers</t>
        </is>
      </c>
      <c r="AE1" t="inlineStr">
        <is>
          <t>Rune 2 Name</t>
        </is>
      </c>
      <c r="AF1" t="inlineStr">
        <is>
          <t>Rune 2 Letter</t>
        </is>
      </c>
      <c r="AG1" t="inlineStr">
        <is>
          <t>Rune 2 Uses</t>
        </is>
      </c>
      <c r="AH1" t="inlineStr">
        <is>
          <t>Rune 2 Powers</t>
        </is>
      </c>
      <c r="AI1" t="inlineStr">
        <is>
          <t>Rune 3 Name</t>
        </is>
      </c>
      <c r="AJ1" t="inlineStr">
        <is>
          <t>Rune 3 Letter</t>
        </is>
      </c>
      <c r="AK1" t="inlineStr">
        <is>
          <t>Rune 3 Uses</t>
        </is>
      </c>
      <c r="AL1" t="inlineStr">
        <is>
          <t>Rune 3 Powers</t>
        </is>
      </c>
      <c r="AM1" t="inlineStr">
        <is>
          <t>Rune 4 Name</t>
        </is>
      </c>
      <c r="AN1" t="inlineStr">
        <is>
          <t>Rune 4 Letter</t>
        </is>
      </c>
      <c r="AO1" t="inlineStr">
        <is>
          <t>Rune 4 Uses</t>
        </is>
      </c>
      <c r="AP1" t="inlineStr">
        <is>
          <t>Rune 4 Powers</t>
        </is>
      </c>
      <c r="AQ1" t="inlineStr">
        <is>
          <t>Oil 1 Name</t>
        </is>
      </c>
      <c r="AR1" t="inlineStr">
        <is>
          <t>Oil 1 Uses</t>
        </is>
      </c>
      <c r="AS1" t="inlineStr">
        <is>
          <t>Oil 1 Spiritual</t>
        </is>
      </c>
      <c r="AT1" t="inlineStr">
        <is>
          <t>Oil 2 Name</t>
        </is>
      </c>
      <c r="AU1" t="inlineStr">
        <is>
          <t>Oil 2 Uses</t>
        </is>
      </c>
      <c r="AV1" t="inlineStr">
        <is>
          <t>Oil 2 Spiritual</t>
        </is>
      </c>
      <c r="AW1" t="inlineStr">
        <is>
          <t>Oil 3 Name</t>
        </is>
      </c>
      <c r="AX1" t="inlineStr">
        <is>
          <t>Oil 3 Uses</t>
        </is>
      </c>
      <c r="AY1" t="inlineStr">
        <is>
          <t>Oil 3 Spiritual</t>
        </is>
      </c>
      <c r="BA1" t="inlineStr">
        <is>
          <t>Magical Uses Keywords</t>
        </is>
      </c>
      <c r="BB1" s="42" t="inlineStr">
        <is>
          <t>Greenman Energy</t>
        </is>
      </c>
    </row>
    <row r="2">
      <c r="A2" t="inlineStr">
        <is>
          <t>agate Blue Lace</t>
        </is>
      </c>
      <c r="B2" t="inlineStr">
        <is>
          <t>Sailor's Talisman</t>
        </is>
      </c>
      <c r="C2" t="inlineStr">
        <is>
          <t>Chalcedony (SiO₂)</t>
        </is>
      </c>
      <c r="D2" t="inlineStr">
        <is>
          <t>Renowned as the stone of peace, calmness, Blue Lace Agate reduces tension, heals the effects of stress. It is especially soothing to sensitive people who are at risk of being overwhelmed by other people's emotions, energies, to violent people who find it difficult to talk about their anger. Releases suppressed femininity, helps you to be comf, table with the female aspect of your nature. Increases the magical power of the voice, granting the wearer a silver tongue, the ability to express their feelings.</t>
        </is>
      </c>
      <c r="E2" t="inlineStr">
        <is>
          <t>Associated with calming storms and protecting sailors; used for soothing communication and peace [cite: 1.2.2, 1.2.4].</t>
        </is>
      </c>
      <c r="F2" t="inlineStr">
        <is>
          <t>Mercury</t>
        </is>
      </c>
      <c r="G2" t="inlineStr">
        <is>
          <t>Water</t>
        </is>
      </c>
      <c r="H2" t="inlineStr">
        <is>
          <t>Receptive</t>
        </is>
      </c>
      <c r="I2" t="inlineStr">
        <is>
          <t>Wednesday</t>
        </is>
      </c>
      <c r="J2" t="inlineStr">
        <is>
          <t>MERCURY, ODIN, LOKI</t>
        </is>
      </c>
      <c r="K2" t="inlineStr">
        <is>
          <t>MABON</t>
        </is>
      </c>
      <c r="L2" t="inlineStr">
        <is>
          <t>Placed under the pillow it helps bring a deep and healing sleep and is especially soothing for restless babies and children.</t>
        </is>
      </c>
      <c r="M2" t="inlineStr">
        <is>
          <t>Peace, patience, Happiness, warmth, gentleness, domestic harmony, tenderness</t>
        </is>
      </c>
      <c r="N2" t="inlineStr">
        <is>
          <t>Placed on the 3rd Eye the stone soothes headaches, especially if you visualise the pain being drawn into the delicate b, ing on the stone.   used as an aid with arthritis, joints, bones, headaches, especially tension headaches, colic, digestive issues, appropriate growth, immune system issues, throat, skin issues especially eczema, stuttering, nervous speech habits, patterns.</t>
        </is>
      </c>
      <c r="O2" t="inlineStr">
        <is>
          <t>*agate Blue Lace*  Also known as: Sailor's Talisman.  Mineral composition: Chalcedony (SiO₂).  Planet: Mercury  Element: Water  Energy: Receptive  Sacred Day: Wednesday.  Deity associations: Aesculapus.  Sabbat: MABON.  Association: Associated with calming storms and protecting sailors; used for soothing communication and peace [cite: 1.2.2, 1.2.4]..  Magical uses: Renowned as the stone of peace, calmness, Blue Lace Agate reduces tension, heals the effects of stress. It is especially soothing to sensitive people who are at risk of being overwhelmed by other people's emotions, energies, to violent people who find it difficult to talk about their anger. Releases suppressed femininity, helps you to be comf, table with the female aspect of your nature. Increases the magical power of the voice, granting the wearer a silver tongue, the ability to express their feelings..  Powers: Peace, patience, Happiness, warmth, gentleness, domestic harmony, tenderness.  Spiritual uses: Placed on the 3rd Eye the stone soothes headaches, especially if you visualise the pain being drawn into the delicate b, ing on the stone.   used as an aid with arthritis, joints, bones, headaches, especially tension headaches, colic, digestive issues, appropriate growth, immune system issues, throat, skin issues especially eczema, stuttering, nervous speech habits, patterns..  Folk lore: Placed under the pillow it helps bring a deep and healing sleep and is especially soothing for restless babies and children..  Geology &amp; origin: Blue Lace Agate is a variety of banded Chalcedony, a mineral of the Quartz family. It is usually banded in layers of predominantly light blue, striped with brighter blues, whites, and even brown threads of color. Microcrystalline variety of chalcedony, Lacy Looking 
Common Locations: Namibia, South Africa.</t>
        </is>
      </c>
      <c r="P2" t="inlineStr">
        <is>
          <t>Rose</t>
        </is>
      </c>
      <c r="Q2" t="inlineStr">
        <is>
          <t>Blue Lace Agate is a variety of banded Chalcedony, a mineral of the Quartz family. It is usually banded in layers of predominantly light blue, striped with brighter blues, whites, and even brown threads of color. Microcrystalline variety of chalcedony, Lacy Looking 
Common Locations: Namibia, South Africa</t>
        </is>
      </c>
      <c r="R2" t="inlineStr">
        <is>
          <t>Generally safe for handling. Do not make gem elixirs by direct immersion — use indirect method.</t>
        </is>
      </c>
      <c r="S2" t="inlineStr">
        <is>
          <t>ROSE BUDS RED</t>
        </is>
      </c>
      <c r="T2" t="inlineStr">
        <is>
          <t>Prophetic dreams, Healing, Health, Calming stress, Calming household upheaval, Love, Luck, Creativity, Balance, Anointing, Divination, Clairvoyance, Protection, Psychic awareness, Conjuring a lover</t>
        </is>
      </c>
      <c r="AQ2" t="inlineStr">
        <is>
          <t>Rose</t>
        </is>
      </c>
      <c r="AR2" t="inlineStr">
        <is>
          <t>Peace, Protection, Luck, PROMOTE LOVE &amp; AFFECTION</t>
        </is>
      </c>
      <c r="AS2" t="inlineStr">
        <is>
          <t>BALANCING, STRENGTHENING, Attracting good spirits</t>
        </is>
      </c>
      <c r="AZ2" t="inlineStr">
        <is>
          <t>agate Blue Lace</t>
        </is>
      </c>
    </row>
    <row r="3">
      <c r="A3" t="inlineStr">
        <is>
          <t>agate Botswana</t>
        </is>
      </c>
      <c r="B3" t="inlineStr">
        <is>
          <t>Sunset Stone</t>
        </is>
      </c>
      <c r="C3" t="inlineStr">
        <is>
          <t>Chalcedony (SiO₂)</t>
        </is>
      </c>
      <c r="D3" t="inlineStr">
        <is>
          <t>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t>
        </is>
      </c>
      <c r="E3" t="inlineStr">
        <is>
          <t>Known for protection and fostering creativity; helps balance energy and find solutions [cite: 1.2.5].</t>
        </is>
      </c>
      <c r="F3" t="inlineStr">
        <is>
          <t>Mercury</t>
        </is>
      </c>
      <c r="G3" t="inlineStr">
        <is>
          <t>fire</t>
        </is>
      </c>
      <c r="H3" t="inlineStr">
        <is>
          <t>projective</t>
        </is>
      </c>
      <c r="I3" t="inlineStr">
        <is>
          <t>Wednesday</t>
        </is>
      </c>
      <c r="J3" t="inlineStr">
        <is>
          <t>MERCURY, ODIN, LOKI</t>
        </is>
      </c>
      <c r="K3" t="inlineStr">
        <is>
          <t>OSTARA, MABON</t>
        </is>
      </c>
      <c r="L3" t="inlineStr">
        <is>
          <t>In crystal healing it is said to be beneficial to the nervous system and can help rid the body of toxins, as well as help in the healing of broken bones.Botswana Agate is said to repel spiders.</t>
        </is>
      </c>
      <c r="M3" t="inlineStr">
        <is>
          <t>Energy of growth, expansion, New beginnings, nourishment, health. It enhances vitality, brings abundance, keeps us growing physically.</t>
        </is>
      </c>
      <c r="N3" t="inlineStr">
        <is>
          <t>helpful in overcoming addictions, other self-destructive compulsive behavi, patterns, as well as dealing with repressed emotional issues.</t>
        </is>
      </c>
      <c r="O3" t="inlineStr">
        <is>
          <t>*agate Botswana*  Also known as: Sunset Stone.  Mineral composition: Chalcedony (SiO₂).  Planet: Mercury  Element: fire  Energy: projective  Sacred Day: Wednesday.  Deity associations: Aesculapus.  Sabbat: OSTARA, MABON.  Association: Known for protection and fostering creativity; helps balance energy and find solutions [cite: 1.2.5]..  Magical uses: sometimes called the "change stone" because of its mystical property of helping one h, le change in a positive way. It is said to gently help one make transitions of any kind in a way that change is not as difficult, painful as could be without it, it is a comf, ting stone. Carrying a bit of Botswana agate in your pocket is said to help one cope easily with the min, changes that life throws at us daily.
Relief from depression, grief is another metaphysical energy of Botswana agate. It is said to help us focus on solutions instead of problems, thereby increases creativity, as well as increasing the power of one's intuition. As a success stone, it is said to help one achieve, cope with success. It is also a stone of sensuality..  Powers: Energy of growth, expansion, New beginnings, nourishment, health. It enhances vitality, brings abundance, keeps us growing physically..  Spiritual uses: helpful in overcoming addictions, other self-destructive compulsive behavi, patterns, as well as dealing with repressed emotional issues..  Folk lore: In crystal healing it is said to be beneficial to the nervous system and can help rid the body of toxins, as well as help in the healing of broken bones.Botswana Agate is said to repel spiders..  Geology &amp; origin: Botswana Agate is a variety of banded Chalcedony, a mineral of the Quartz family.Agates occur in nodular masses in rock such as volcanic lavas. When split open, they often reveal an amazing variety of colors, patterns and a beautiful distinct banding that distinguishes the Agate from other forms of Chalcedony..</t>
        </is>
      </c>
      <c r="P3" t="inlineStr">
        <is>
          <t>Lavender</t>
        </is>
      </c>
      <c r="Q3" t="inlineStr">
        <is>
          <t>Botswana Agate is a variety of banded Chalcedony, a mineral of the Quartz family.Agates occur in nodular masses in rock such as volcanic lavas. When split open, they often reveal an amazing variety of colors, patterns and a beautiful distinct banding that distinguishes the Agate from other forms of Chalcedony.</t>
        </is>
      </c>
      <c r="R3" t="inlineStr">
        <is>
          <t>Generally safe for handling. Do not make gem elixirs by direct immersion — use indirect method.</t>
        </is>
      </c>
      <c r="S3" t="inlineStr">
        <is>
          <t>CINNAMON STICKS</t>
        </is>
      </c>
      <c r="T3" t="inlineStr">
        <is>
          <t>Clairvoyance, Consecration, Divination, Energy, Good luck, Love, Money, Passion, Peace, Prosperity, Protection, Psychic development, Success, Communication, Happiness, Harmony, Healing, Inspiration, Knowledge, Meditation, Purification, Spirituality, Tranquillity, Wisdom</t>
        </is>
      </c>
      <c r="U3" t="inlineStr">
        <is>
          <t>DILL</t>
        </is>
      </c>
      <c r="V3" t="inlineStr">
        <is>
          <t>Love, Protection, Psychic protection, Blessings, Confidence, Determination, Negating dreams, Fertility, Prosperity, Harmony, Keeping secrets, Peace, Preventing theft, Retention, Rest, Sleep, Tranquillity</t>
        </is>
      </c>
      <c r="W3" t="inlineStr">
        <is>
          <t>FENNEL (SEED)</t>
        </is>
      </c>
      <c r="X3" t="inlineStr">
        <is>
          <t>Confidence, Courage, Fertility, Longevity, Love, Protection, Psychic protection, Purification, Strength, Consecration, Divination, Energy, Gain, Meditation, Virility, Summer rituals</t>
        </is>
      </c>
      <c r="Y3" t="inlineStr">
        <is>
          <t>LINSEED</t>
        </is>
      </c>
      <c r="Z3" t="inlineStr">
        <is>
          <t>Increasing wealth, Protecting against poverty, Protection against s, cery, Attracting money, Warding off poverty, Preventing evil from entering, Healing rituals, Healing mixtures, Money spells, Prosperity rituals, Protection while asleep</t>
        </is>
      </c>
      <c r="AZ3" t="inlineStr">
        <is>
          <t>agate Botswana</t>
        </is>
      </c>
    </row>
    <row r="4">
      <c r="A4" t="inlineStr">
        <is>
          <t>agate Moss</t>
        </is>
      </c>
      <c r="B4" t="inlineStr">
        <is>
          <t>Gardener's Stone</t>
        </is>
      </c>
      <c r="C4" t="inlineStr">
        <is>
          <t>Chalcedony (SiO₂)</t>
        </is>
      </c>
      <c r="D4" t="inlineStr">
        <is>
          <t>This stone has an excellent quality that helps you to c, rect imbalances between the left, right sides of the brain, it may stimulate your spiritual grounding capabilities. This aids you to move f, ward with your life using a m, e united, balanced thought process.
The vibration it embodies can help you to carry f, ward your intentions... as it will enhance the energy that you put into particular circumstances.</t>
        </is>
      </c>
      <c r="E4" t="inlineStr">
        <is>
          <t>Connected to nature spirits, abundance, and the fertility of the earth.</t>
        </is>
      </c>
      <c r="F4" t="inlineStr">
        <is>
          <t>mercury</t>
        </is>
      </c>
      <c r="G4" t="inlineStr">
        <is>
          <t>Earth</t>
        </is>
      </c>
      <c r="H4" t="inlineStr">
        <is>
          <t>receptive</t>
        </is>
      </c>
      <c r="I4" t="inlineStr">
        <is>
          <t>Wednesday</t>
        </is>
      </c>
      <c r="J4" t="inlineStr">
        <is>
          <t>MERCURY, ODIN, LOKI</t>
        </is>
      </c>
      <c r="K4" t="inlineStr">
        <is>
          <t>MABON</t>
        </is>
      </c>
      <c r="L4" t="inlineStr">
        <is>
          <t>Moss agate is sometimes called the "gardener's stone" due to its mystical properties of helping ensure a full crop.The Native American Indians used Moss Agate as a power stone, and it has been successfully used in cloud-busting and aiding the weather patterns to reach ultimate equilibrium.</t>
        </is>
      </c>
      <c r="M4" t="inlineStr">
        <is>
          <t>Peace, patience, Happiness, warmth, gentleness, domestic harmony, tenderness</t>
        </is>
      </c>
      <c r="N4" t="inlineStr">
        <is>
          <t>Moss agate is associated with the heart chakra, which indicates stone of compatibility, friendship.</t>
        </is>
      </c>
      <c r="O4" t="inlineStr">
        <is>
          <t>*agate Moss*  Also known as: Gardener's Stone.  Mineral composition: Chalcedony (SiO₂).  Planet: mercury  Element: Earth  Energy: receptive  Sacred Day: Wednesday.  Deity associations: Aesculapus.  Sabbat: MABON.  Association: Connected to nature spirits, abundance, and the fertility of the earth..  Magical uses: This stone has an excellent quality that helps you to c, rect imbalances between the left, right sides of the brain, it may stimulate your spiritual grounding capabilities. This aids you to move f, ward with your life using a m, e united, balanced thought process.
The vibration it embodies can help you to carry f, ward your intentions... as it will enhance the energy that you put into particular circumstances..  Powers: Peace, patience, Happiness, warmth, gentleness, domestic harmony, tenderness.  Spiritual uses: Moss agate is associated with the heart chakra, which indicates stone of compatibility, friendship..  Folk lore: Moss agate is sometimes called the "gardener's stone" due to its mystical properties of helping ensure a full crop.The Native American Indians used Moss Agate as a power stone, and it has been successfully used in cloud-busting and aiding the weather patterns to reach ultimate equilibrium..  Geology &amp; origin: This crystal is found in Australia, Russia, India and in the USA. Montana Moss agate is well-known and comes from the Yellowstone Rivert.</t>
        </is>
      </c>
      <c r="P4" t="inlineStr">
        <is>
          <t>Sandalwood w.i.</t>
        </is>
      </c>
      <c r="Q4" t="inlineStr">
        <is>
          <t>This crystal is found in Australia, Russia, India and in the USA. Montana Moss agate is well-known and comes from the Yellowstone Rivert</t>
        </is>
      </c>
      <c r="R4" t="inlineStr">
        <is>
          <t>Generally safe for handling. Do not make gem elixirs by direct immersion — use indirect method.</t>
        </is>
      </c>
      <c r="S4" t="inlineStr">
        <is>
          <t>SAGE</t>
        </is>
      </c>
      <c r="T4" t="inlineStr">
        <is>
          <t>Cleansing, Consecration, Psychic protection, Purification, Healing, Longevity, Money, Passion, Wisdom, Prosperity, Love, Psychic development, Clairvoyance, Meditation, Peace, Tranquillity, Knowledge, Divination, Domestic harmony, Energy, Happiness, Inspiration, Keeping secrets, Mabon rituals, Samhain rituals, Weddings, Hand-fastings</t>
        </is>
      </c>
      <c r="AZ4" t="inlineStr">
        <is>
          <t>agate Moss</t>
        </is>
      </c>
    </row>
    <row r="5" ht="409.5" customHeight="1" s="56">
      <c r="A5" t="inlineStr">
        <is>
          <t>Amazonite</t>
        </is>
      </c>
      <c r="B5" t="inlineStr">
        <is>
          <t>Stone of Courage</t>
        </is>
      </c>
      <c r="C5" t="inlineStr">
        <is>
          <t>Microcline (K[AlSi₃O₈])</t>
        </is>
      </c>
      <c r="D5" t="inlineStr">
        <is>
          <t>this bluish green feldspar is w, n by gamblers to attract money luck. itis also used by anyone taking a chance to ensure success.This stone has an excellent quality that helps you to c, rect imbalances between the left, right sides of the brain, it may stimulate your spiritual grounding capabilities. This aids you to move f, ward with your life using a m, e united, balanced thought process.</t>
        </is>
      </c>
      <c r="E5" t="inlineStr">
        <is>
          <t>Used for emotional balance, clarity, and discharging stress [cite: 1.2.5].</t>
        </is>
      </c>
      <c r="F5" t="inlineStr">
        <is>
          <t>Uranus</t>
        </is>
      </c>
      <c r="G5" t="inlineStr">
        <is>
          <t>Earth</t>
        </is>
      </c>
      <c r="H5" t="inlineStr">
        <is>
          <t>receptive</t>
        </is>
      </c>
      <c r="I5" t="inlineStr">
        <is>
          <t>Sunday</t>
        </is>
      </c>
      <c r="J5" t="inlineStr">
        <is>
          <t>Taimat</t>
        </is>
      </c>
      <c r="K5" t="inlineStr">
        <is>
          <t>OSTARA, LITHA</t>
        </is>
      </c>
      <c r="L5" t="inlineStr">
        <is>
          <t>a good gemstone for those that are dieting as it helps regulate the metabolism and can flip the switch on a sluggish metabolism and jump start the fat burning process. It is a good stone for any woman to have around as it helps to relieve cramps during the monthly gift and also helps to ensure a smooth pregancy,</t>
        </is>
      </c>
      <c r="M5" t="inlineStr">
        <is>
          <t>Gambling, Prosperity</t>
        </is>
      </c>
      <c r="N5" t="inlineStr">
        <is>
          <t>use an amazonite stone layed on each of the 7 chakras f, 3 to 5 minutes to allow the stone to regulate each chakra, bring peace back into your life.</t>
        </is>
      </c>
      <c r="O5" t="inlineStr">
        <is>
          <t>*Amazonite*  Also known as: Stone of Courage.  Mineral composition: Microcline (K[AlSi₃O₈]).  Planet: Uranus  Element: Earth  Energy: receptive  Sacred Day: Sunday.  Deity associations: Taimat.  Sabbat: OSTARA, LITHA.  Association: Used for emotional balance, clarity, and discharging stress [cite: 1.2.5]..  Magical uses: this bluish green feldspar is w, n by gamblers to attract money luck. itis also used by anyone taking a chance to ensure success.This stone has an excellent quality that helps you to c, rect imbalances between the left, right sides of the brain, it may stimulate your spiritual grounding capabilities. This aids you to move f, ward with your life using a m, e united, balanced thought process..  Powers: Gambling, Prosperity.  Spiritual uses: use an amazonite stone layed on each of the 7 chakras f, 3 to 5 minutes to allow the stone to regulate each chakra, bring peace back into your life..  Folk lore: a good gemstone for those that are dieting as it helps regulate the metabolism and can flip the switch on a sluggish metabolism and jump start the fat burning process. It is a good stone for any woman to have around as it helps to relieve cramps during the monthly gift and also helps to ensure a smooth pregancy,.  Geology &amp; origin: Amazonite is a beautiful blue green stone that is usually seen with white streaks running through it. The green color comes from copper that infuses as the crystals are forming..</t>
        </is>
      </c>
      <c r="P5" t="inlineStr">
        <is>
          <t>Patchouli</t>
        </is>
      </c>
      <c r="Q5" t="inlineStr">
        <is>
          <t>Amazonite is a beautiful blue green stone that is usually seen with white streaks running through it. The green color comes from copper that infuses as the crystals are forming.</t>
        </is>
      </c>
      <c r="R5" t="inlineStr">
        <is>
          <t>Warning: Contains copper. Do not use in direct gem elixirs. Wash hands after handling raw specimens.</t>
        </is>
      </c>
      <c r="AA5" t="inlineStr">
        <is>
          <t>FEHU</t>
        </is>
      </c>
      <c r="AB5" t="inlineStr">
        <is>
          <t>F</t>
        </is>
      </c>
      <c r="AC5" t="inlineStr">
        <is>
          <t>Increasing wealth, Prosperity, Anti-theft, Fortune, Luck, New beginnings, Confidence, Sun God offerings, Attraction</t>
        </is>
      </c>
      <c r="AD5" t="inlineStr">
        <is>
          <t>Realized ambition. Good health. Wealth. Love fulfilled. Good fortune. Show charity and compassion.</t>
        </is>
      </c>
      <c r="AE5" t="inlineStr">
        <is>
          <t>RAIDO</t>
        </is>
      </c>
      <c r="AF5" t="inlineStr">
        <is>
          <t>R</t>
        </is>
      </c>
      <c r="AG5" t="inlineStr">
        <is>
          <t>Journey spells, New beginnings, Movement, Cycles, Luck, Progress, Harmony</t>
        </is>
      </c>
      <c r="AH5" t="inlineStr">
        <is>
          <t>Travel is indicated. New friends or old friends return. Jobs connected with transport or overseas locations.</t>
        </is>
      </c>
      <c r="AI5" t="inlineStr">
        <is>
          <t>GEBO</t>
        </is>
      </c>
      <c r="AJ5" t="inlineStr">
        <is>
          <t>G</t>
        </is>
      </c>
      <c r="AK5" t="inlineStr">
        <is>
          <t>Love spells, Love rituals, Love, Gift-giving, Anti-theft, giveness, Attraction, Peace</t>
        </is>
      </c>
      <c r="AL5" t="inlineStr">
        <is>
          <t>Generosity in men is to honour and praise and dignity a prop.</t>
        </is>
      </c>
      <c r="AM5" t="inlineStr">
        <is>
          <t>WUNJO</t>
        </is>
      </c>
      <c r="AN5" t="inlineStr">
        <is>
          <t>W/V</t>
        </is>
      </c>
      <c r="AO5" t="inlineStr">
        <is>
          <t>Happiness, Prosperity, Harmony, Love, Celebration, Confidence, Luck</t>
        </is>
      </c>
      <c r="AP5" t="inlineStr">
        <is>
          <t>Understanding, realisation of ambition, success in romance and good health. Partnerships flourish. New beginnings are blessed with joyfulness. Your eyes are opened to the truth.</t>
        </is>
      </c>
      <c r="AZ5" t="inlineStr">
        <is>
          <t>Amazonite</t>
        </is>
      </c>
      <c r="BA5" t="inlineStr">
        <is>
          <t>Luck, Prosperity, Success, Strength, Clairvoyance,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Victory, victory in battle, Conquest, Overcoming opposition, Courtroom success, Legal matters, Justice,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BB5" s="42" t="inlineStr">
        <is>
          <t>Earth energy of luck and the dissolving of what has overstayed. Prosperity and success drawn in. Hexes and harmful spells broken cleanly. Clairvoyance sharpened, strength steadied. Where something old and harmful needs clearing and space made for what comes next.</t>
        </is>
      </c>
    </row>
    <row r="6" ht="409.5" customHeight="1" s="56">
      <c r="A6" t="inlineStr">
        <is>
          <t>Amethyst</t>
        </is>
      </c>
      <c r="B6" t="inlineStr">
        <is>
          <t>Bishop's Stone</t>
        </is>
      </c>
      <c r="C6" t="inlineStr">
        <is>
          <t>Quartz var. (SiO₂)</t>
        </is>
      </c>
      <c r="D6" t="inlineStr">
        <is>
          <t>Usually classified as a Lunar stone because of its power to influence the mind, Negating dreams, the astral planes., the stone can be used magically to keep you clear headed, free from unwelcome influences.. A stone of sleep, Amethyst stimulates the imagination, opens do, s onto the astral planes. Helps with meditation, makes a particularly good focus to concentrate on when you are learning this skill. Turns away bad luck, curses, negative energy. Balances logical reasoning, intuition to create a much deeper view of any situation.</t>
        </is>
      </c>
      <c r="E6" t="inlineStr">
        <is>
          <t>Historically worn to prevent intoxication and bring clarity of mind; associated with divine connection.</t>
        </is>
      </c>
      <c r="F6" t="inlineStr">
        <is>
          <t>jupiter, neptune</t>
        </is>
      </c>
      <c r="G6" t="inlineStr">
        <is>
          <t>water</t>
        </is>
      </c>
      <c r="H6" t="inlineStr">
        <is>
          <t>receptive</t>
        </is>
      </c>
      <c r="I6" t="inlineStr">
        <is>
          <t>Thursday</t>
        </is>
      </c>
      <c r="J6" t="inlineStr">
        <is>
          <t>ZEUS, JUPITER, THOR, ODIN</t>
        </is>
      </c>
      <c r="K6" t="inlineStr">
        <is>
          <t>MABON, SAMHAIN</t>
        </is>
      </c>
      <c r="L6" t="inlineStr">
        <is>
          <t>Most famously renowned for keeping its wearer free from drunkenness and excess.</t>
        </is>
      </c>
      <c r="M6"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N6" t="inlineStr">
        <is>
          <t>The sacred stone of the priesthood, Amethyst can be w, n by anyone who has spiritual, magical responsibility f, others. Increases wisdom, spiritual power, helps make contact with higher guides, inspirational sources of creativity. Often brings unexpected messages in the f, m of signs, strange coincidences.  The sacred stone of the priesthood, strange coincidences.</t>
        </is>
      </c>
      <c r="O6" t="inlineStr">
        <is>
          <t>*Amethyst*  Also known as: Bishop's Stone.  Mineral composition: Quartz var. (SiO₂).  Planet: jupiter, neptune  Element: water  Energy: receptive  Sacred Day: Thursday.  Deity associations: Bacchus,.  Sabbat: MABON, SAMHAIN.  Association: Historically worn to prevent intoxication and bring clarity of mind; associated with divine connection..  Magical uses: Usually classified as a Lunar stone because of its power to influence the mind, Negating dreams, the astral planes., the stone can be used magically to keep you clear headed, free from unwelcome influences.. A stone of sleep, Amethyst stimulates the imagination, opens do, s onto the astral planes. Helps with meditation, makes a particularly good focus to concentrate on when you are learning this skill. Turns away bad luck, curses, negative energy. Balances logical reasoning, intuition to create a much deeper view of any situation..  Powers: Transmuting negative to positive, increasing spiritual awareness, Peace, soothing, repelling negative vibrations, overcoming addiction, Love, Happiness, Protection, good judgment, Negating dreams, New beginnings, stability, Fertility, eloquence, common sense, compassion.  Spiritual uses: The sacred stone of the priesthood, Amethyst can be w, n by anyone who has spiritual, magical responsibility f, others. Increases wisdom, spiritual power, helps make contact with higher guides, inspirational sources of creativity. Often brings unexpected messages in the f, m of signs, strange coincidences.  The sacred stone of the priesthood, strange coincidences..  Folk lore: Most famously renowned for keeping its wearer free from drunkenness and excess..  Geology &amp; origin: A purple coloured variety of Quartz, Amethyst forms as mainly clear crystals of all shades from deepest violet to pale lilac and white..</t>
        </is>
      </c>
      <c r="P6" t="inlineStr">
        <is>
          <t>Honeysuckle</t>
        </is>
      </c>
      <c r="Q6" t="inlineStr">
        <is>
          <t>A purple coloured variety of Quartz, Amethyst forms as mainly clear crystals of all shades from deepest violet to pale lilac and white.</t>
        </is>
      </c>
      <c r="R6" t="inlineStr">
        <is>
          <t>Generally safe for handling and use. Avoid prolonged exposure to sunlight as it may fade the colour.</t>
        </is>
      </c>
      <c r="S6" t="inlineStr">
        <is>
          <t>ROSE HIP</t>
        </is>
      </c>
      <c r="T6" t="inlineStr">
        <is>
          <t>Honouring Venus, Harmony, Peace, Calming energies, Love, Soul mates, Companionship, Incense, Sachets, Charm bags, Love-attracting rituals, Cleansing before ritual, Stress relief</t>
        </is>
      </c>
      <c r="U6" t="inlineStr">
        <is>
          <t>ROSE PETALS</t>
        </is>
      </c>
      <c r="V6" t="inlineStr">
        <is>
          <t>Love, Sex, Passion, Conjuring a lover, Attracting love, Prophetic dreams, Healing, Calming stress, Calming household upheaval, Love messages</t>
        </is>
      </c>
      <c r="AA6" t="inlineStr">
        <is>
          <t>ANSUZ</t>
        </is>
      </c>
      <c r="AB6" t="inlineStr">
        <is>
          <t>A</t>
        </is>
      </c>
      <c r="AC6" t="inlineStr">
        <is>
          <t>Divination, Prophetic dreams, Communication, Wisdom, Clairvoyance, Star magick, Truth</t>
        </is>
      </c>
      <c r="AD6" t="inlineStr">
        <is>
          <t>Knowledge. Wisdom. Communication. The mouth. A message. Divine power and revelation.</t>
        </is>
      </c>
      <c r="AE6" t="inlineStr">
        <is>
          <t>GEBO</t>
        </is>
      </c>
      <c r="AF6" t="inlineStr">
        <is>
          <t>G</t>
        </is>
      </c>
      <c r="AG6" t="inlineStr">
        <is>
          <t>Love spells, Love rituals, Love, Gift-giving, Anti-theft, giveness, Attraction, Peace</t>
        </is>
      </c>
      <c r="AH6" t="inlineStr">
        <is>
          <t>Generosity in men is to honour and praise and dignity a prop.</t>
        </is>
      </c>
      <c r="AI6" t="inlineStr">
        <is>
          <t>WUNJO</t>
        </is>
      </c>
      <c r="AJ6" t="inlineStr">
        <is>
          <t>W/V</t>
        </is>
      </c>
      <c r="AK6" t="inlineStr">
        <is>
          <t>Happiness, Prosperity, Harmony, Love, Celebration, Confidence, Luck</t>
        </is>
      </c>
      <c r="AL6" t="inlineStr">
        <is>
          <t>Understanding, realisation of ambition, success in romance and good health. Partnerships flourish. New beginnings are blessed with joyfulness. Your eyes are opened to the truth.</t>
        </is>
      </c>
      <c r="AM6" t="inlineStr">
        <is>
          <t>ISA</t>
        </is>
      </c>
      <c r="AN6" t="inlineStr">
        <is>
          <t>I</t>
        </is>
      </c>
      <c r="AO6" t="inlineStr">
        <is>
          <t>Binding spells, Stillness, Stagnation breaking, Freezing (hexes), Protection, Patience</t>
        </is>
      </c>
      <c r="AP6" t="inlineStr">
        <is>
          <t>Ice, cold, freezing. Lack of change. Stagnation. Preservation and binding.</t>
        </is>
      </c>
      <c r="AQ6" t="inlineStr">
        <is>
          <t>Honeysuckle</t>
        </is>
      </c>
      <c r="AR6" t="inlineStr">
        <is>
          <t>INCREASE PSYCHIC ABILITIES, INCREASE MONEY, Protection</t>
        </is>
      </c>
      <c r="AS6" t="inlineStr">
        <is>
          <t>RELAXING, SOOTHING, UPLIFTING, PSYCHIC POWERS</t>
        </is>
      </c>
      <c r="AZ6" t="inlineStr">
        <is>
          <t>Amethyst</t>
        </is>
      </c>
      <c r="BA6" t="inlineStr">
        <is>
          <t>Clairvoyance, Prophetic dreams, Meditation, Protection, Otherworld travel, Enhancing clairvoyance, Psychic development, Psychic powers, INCREASE PSYCHIC ABILITIES, Psychic awareness, Stimulating psychic senses, Disabling psychic phenomena, Psychic communication, communication and psychic abilities, Invoking dreams, Dream work, Dreams, Visions, Seeing the unseen, Seeing manifestations, Truth, Honesty, Removing deception, Subconscious work, Digging into the subconscious, Uprooting what is hidden, Scrying, Dowsing, Treasure seeking, Lost object finding,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Protective charm, Protective charms, Protective sachets, Protective wreaths, Protective incense, PROTECT AGAINST NEGATIVITY, Protection from negativity, Circle protection</t>
        </is>
      </c>
      <c r="BB6" s="42" t="inlineStr">
        <is>
          <t>Still dark water, the veil at its thinnest. Scrying and dreamwork find it willing. Psychic sight opened, nightmares dissolved. Those who carry spiritual responsibility for others carry this. Where the mind needs quieting and the sight needs to be clear and unencumbered.</t>
        </is>
      </c>
    </row>
    <row r="7" ht="376.5" customHeight="1" s="56">
      <c r="A7" t="inlineStr">
        <is>
          <t>Ametrine</t>
        </is>
      </c>
      <c r="B7" t="inlineStr">
        <is>
          <t>Dual-Nature Stone</t>
        </is>
      </c>
      <c r="C7" t="inlineStr">
        <is>
          <t>Quartz var. (SiO₂)</t>
        </is>
      </c>
      <c r="D7" t="inlineStr">
        <is>
          <t>Combines mental clarity with strength of will, making it a very powerful stone f, any magic user.</t>
        </is>
      </c>
      <c r="E7" t="inlineStr">
        <is>
          <t>Symbolizes the harmony of opposites (Amethyst and Citrine); used for spiritual and material balance.</t>
        </is>
      </c>
      <c r="F7" t="inlineStr">
        <is>
          <t>jupiter, sun</t>
        </is>
      </c>
      <c r="G7" t="inlineStr">
        <is>
          <t>Water, Fire</t>
        </is>
      </c>
      <c r="H7" t="inlineStr">
        <is>
          <t>Projective, receptive</t>
        </is>
      </c>
      <c r="I7" t="inlineStr">
        <is>
          <t>Sunday</t>
        </is>
      </c>
      <c r="J7" t="inlineStr">
        <is>
          <t>SOL, RA, BALDUR</t>
        </is>
      </c>
      <c r="K7" t="inlineStr">
        <is>
          <t>LITHA, MABON</t>
        </is>
      </c>
      <c r="L7" t="inlineStr">
        <is>
          <t>Ametrine is most famously found in the Anahi Mine in Bolivia. In the 17th century, this mine was given as a dowry to a Spanish Conquistador on his marriage to the princess of the Ayoreos tribe – a girl named Anahi. He returned home to Spain bringing with him the Ametrine which he gifted to the Spanish queen.</t>
        </is>
      </c>
      <c r="M7" t="inlineStr">
        <is>
          <t>Astral travel, magickal power, meditation, removing negativity.</t>
        </is>
      </c>
      <c r="N7" t="inlineStr">
        <is>
          <t>Can help to break addictions by using the power of Amethyst combined with the clarity of Citrine, helping you to remember why it is so imp, tant f, you to break this addiction while you are struggling with withdrawal. Associated with the crown chakra.</t>
        </is>
      </c>
      <c r="O7" t="inlineStr">
        <is>
          <t>*Ametrine*  Also known as: Dual-Nature Stone.  Mineral composition: Quartz var. (SiO₂).  Planet: jupiter, sun  Element: Water, Fire  Energy: Projective, receptive  Sacred Day: Sunday.  Deity associations: God and Goddess in balance.  Sabbat: LITHA, MABON.  Association: Symbolizes the harmony of opposites (Amethyst and Citrine); used for spiritual and material balance..  Magical uses: Combines mental clarity with strength of will, making it a very powerful stone f, any magic user..  Powers: Astral travel, magickal power, meditation, removing negativity..  Spiritual uses: Can help to break addictions by using the power of Amethyst combined with the clarity of Citrine, helping you to remember why it is so imp, tant f, you to break this addiction while you are struggling with withdrawal. Associated with the crown chakra..  Folk lore: Ametrine is most famously found in the Anahi Mine in Bolivia. In the 17th century, this mine was given as a dowry to a Spanish Conquistador on his marriage to the princess of the Ayoreos tribe – a girl named Anahi. He returned home to Spain bringing with him the Ametrine which he gifted to the Spanish queen..  Geology &amp; origin: Geologists have theorized that within the Anahi mine, just the specific type of heat was flowing in the right direction across a portion of the crystal to create just enough heat to create the perfect balance of heat and cool for the Ametrines to be formed.  If the heat would have been any degree higher or lower these lovelies would have become either Amethyst or Citrines.  It is told that there are only two places on the planet with this specific heat index to create Ametrine gemstones, the original mine in Bolivia as well as the Hyderabad mine in India..</t>
        </is>
      </c>
      <c r="P7" t="inlineStr">
        <is>
          <t>Rosemary</t>
        </is>
      </c>
      <c r="Q7" t="inlineStr">
        <is>
          <t>Geologists have theorized that within the Anahi mine, just the specific type of heat was flowing in the right direction across a portion of the crystal to create just enough heat to create the perfect balance of heat and cool for the Ametrines to be formed.  If the heat would have been any degree higher or lower these lovelies would have become either Amethyst or Citrines.  It is told that there are only two places on the planet with this specific heat index to create Ametrine gemstones, the original mine in Bolivia as well as the Hyderabad mine in India.</t>
        </is>
      </c>
      <c r="R7" t="inlineStr">
        <is>
          <t>Generally safe for handling and use. Avoid prolonged exposure to sunlight as it may fade the colour.</t>
        </is>
      </c>
      <c r="S7" t="inlineStr">
        <is>
          <t>ACORN</t>
        </is>
      </c>
      <c r="T7" t="inlineStr">
        <is>
          <t>New beginning spells, Sabbat rituals, Invocation of the Lord, Transformation/Evolution, Physical Strength, Will Power, Lust/Sex, Leadership, Wealth/Prosperity, Courage, Good luck, Protection, Wisdom, Personal power</t>
        </is>
      </c>
      <c r="U7" t="inlineStr">
        <is>
          <t>BAY LAUREL</t>
        </is>
      </c>
      <c r="V7" t="inlineStr">
        <is>
          <t>Clairvoyance, Consecration, Divination, Dreams, Exorcism, Healing, Love, Passion, Protection, Psychic protection, Purification, Wisdom, Wishes, Winter rituals, Yule magic</t>
        </is>
      </c>
      <c r="W7" t="inlineStr">
        <is>
          <t>BLACK TEA</t>
        </is>
      </c>
      <c r="X7" t="inlineStr">
        <is>
          <t>Prosperity, Strength, Fortitude, Good health, Divination, Emotional healing, Calming, Soothing, Reviving, Invigorating</t>
        </is>
      </c>
      <c r="Y7" t="inlineStr">
        <is>
          <t>CHRYSANTHEMUM</t>
        </is>
      </c>
      <c r="Z7" t="inlineStr">
        <is>
          <t>House blessing</t>
        </is>
      </c>
      <c r="AA7" t="inlineStr">
        <is>
          <t>URUZ</t>
        </is>
      </c>
      <c r="AB7" t="inlineStr">
        <is>
          <t>U/OO</t>
        </is>
      </c>
      <c r="AC7" t="inlineStr">
        <is>
          <t>Strength, Bolstering spells, Healing, Confidence, Protection, Fertility, Fruitfulness</t>
        </is>
      </c>
      <c r="AD7" t="inlineStr">
        <is>
          <t>Terminations, new beginnings. An opportunity disguised as a threat. Mental agility. Physical development, mental and bodily health. Power.</t>
        </is>
      </c>
      <c r="AE7" t="inlineStr">
        <is>
          <t>ANSUZ</t>
        </is>
      </c>
      <c r="AF7" t="inlineStr">
        <is>
          <t>A</t>
        </is>
      </c>
      <c r="AG7" t="inlineStr">
        <is>
          <t>Divination, Prophetic dreams, Communication, Wisdom, Clairvoyance, Star magick, Truth</t>
        </is>
      </c>
      <c r="AH7" t="inlineStr">
        <is>
          <t>Knowledge. Wisdom. Communication. The mouth. A message. Divine power and revelation.</t>
        </is>
      </c>
      <c r="AI7" t="inlineStr">
        <is>
          <t>KAUNO</t>
        </is>
      </c>
      <c r="AJ7" t="inlineStr">
        <is>
          <t>K/C</t>
        </is>
      </c>
      <c r="AK7" t="inlineStr">
        <is>
          <t>Fire magick, Enlightenment, Illumination, Clarity, Healing, Dispelling sickness, Inspiration</t>
        </is>
      </c>
      <c r="AL7" t="inlineStr">
        <is>
          <t>Light, warmth, enlightenment and knowledge. Understanding must lead to action.</t>
        </is>
      </c>
      <c r="AM7" t="inlineStr">
        <is>
          <t>NAUDIZ</t>
        </is>
      </c>
      <c r="AN7" t="inlineStr">
        <is>
          <t>N</t>
        </is>
      </c>
      <c r="AO7" t="inlineStr">
        <is>
          <t>Strength, Perseverance, Inner power, Confidence, Healing, Necessity</t>
        </is>
      </c>
      <c r="AP7" t="inlineStr">
        <is>
          <t>Control your emotions. Do not give in to cravings. Your health is at risk especially from dietary aberrations. Ensure your love is not misplaced. Beware extraordinary demands on your time or generosity.</t>
        </is>
      </c>
      <c r="AQ7" t="inlineStr">
        <is>
          <t>Clove Bud</t>
        </is>
      </c>
      <c r="AR7" t="inlineStr">
        <is>
          <t>Love, Prosperity, Protection, HELP ATTRACT OPPOSITE SEX, Purification</t>
        </is>
      </c>
      <c r="AS7" t="inlineStr">
        <is>
          <t>INNER WARMTH, INSPIRATION, REGENERATION, MENTAL POWERS</t>
        </is>
      </c>
      <c r="AT7" t="inlineStr">
        <is>
          <t>Frankincense</t>
        </is>
      </c>
      <c r="AU7" t="inlineStr">
        <is>
          <t>Luck, Protection, SPIRITUALITY, PROTECT AGAINST NEGATIVITY, EXC, Exorcism</t>
        </is>
      </c>
      <c r="AV7" t="inlineStr">
        <is>
          <t>ENLIGHTENMENT, INSPIRATION, INTROSPECTION, AIDS MEDITATION</t>
        </is>
      </c>
      <c r="AW7" t="inlineStr">
        <is>
          <t>Honeysuckle</t>
        </is>
      </c>
      <c r="AX7" t="inlineStr">
        <is>
          <t>INCREASE PSYCHIC ABILITIES, INCREASE MONEY, Protection</t>
        </is>
      </c>
      <c r="AY7" t="inlineStr">
        <is>
          <t>RELAXING, SOOTHING, UPLIFTING, PSYCHIC POWERS</t>
        </is>
      </c>
      <c r="AZ7" t="inlineStr">
        <is>
          <t>Ametrine</t>
        </is>
      </c>
      <c r="BA7" t="inlineStr">
        <is>
          <t>Magical power, Wisdom, Strength, Increasing magical power, Increasing spell power, Power amplification, Bolstering spells, Bolstering incense, Strengthening spells, Potency, Power, Magic, WISDOM IN MAGICK, defensive magic, Knowledge, Intelligence, Intuition, Mental clarity, Sharpening the wits, Sharpening the brain, Mental powers, MEM, Memory, Concentration, Focus, Illumination, Enlightenment, Physical Strength, Fortitude, Vitality, Inner power, and strength</t>
        </is>
      </c>
      <c r="BB7" s="42" t="inlineStr">
        <is>
          <t>Water and fire held in the same stone, clarity and intensity working as one. Magical power amplified, wisdom sharpened, strength steadied. Where a working asks for both warmth and precision at the same moment.</t>
        </is>
      </c>
    </row>
    <row r="8" ht="409.5" customHeight="1" s="56">
      <c r="A8" t="inlineStr">
        <is>
          <t>Apache Tears</t>
        </is>
      </c>
      <c r="B8" t="inlineStr">
        <is>
          <t>Grief Stones</t>
        </is>
      </c>
      <c r="C8" t="inlineStr">
        <is>
          <t>Obsidian (volcanic glass)</t>
        </is>
      </c>
      <c r="D8" t="inlineStr">
        <is>
          <t>It is carried as a good luck charm, is also used f, protective purposes.  Meditation with the stone can increase your sensitivity to magical energy, help develop your power to walk between the w, lds.</t>
        </is>
      </c>
      <c r="E8" t="inlineStr">
        <is>
          <t>Obsidian variety used for protection, purification, and grounding during emotional healing [cite: 1.2.5].</t>
        </is>
      </c>
      <c r="F8" t="inlineStr">
        <is>
          <t>Saturn</t>
        </is>
      </c>
      <c r="G8" t="inlineStr">
        <is>
          <t>Fire</t>
        </is>
      </c>
      <c r="H8" t="inlineStr">
        <is>
          <t>Projective,</t>
        </is>
      </c>
      <c r="I8" t="inlineStr">
        <is>
          <t>Saturday</t>
        </is>
      </c>
      <c r="J8" t="inlineStr">
        <is>
          <t>SATURN, HECATE, URD, SKULD</t>
        </is>
      </c>
      <c r="K8" t="inlineStr">
        <is>
          <t>SAMHAIN, YULE</t>
        </is>
      </c>
      <c r="L8" t="inlineStr">
        <is>
          <t>nsThe Legend of the Apache Tear begins with a story dating back to the 1870’s when a tribe of Apache Native Americans were relocated by the military to an outpost which is now known as Superior Arizona. Desperate to feed and nourish their families the warriors were forced to impede on other area settlements.When the military became aware of these assaults they went in search for the Apache camp,unwilling to be taken captive the Apache leapt to their deaths from the edge of the cliff.. The legend tells that the Great Spirits were greatly saddened at the tragedy and that when the tears of the warriors loved ones hit the ground their teardrops instantly froze to become the stones we know today as Apache Tears.</t>
        </is>
      </c>
      <c r="M8" t="inlineStr">
        <is>
          <t>Luck, removal of pain</t>
        </is>
      </c>
      <c r="N8" t="inlineStr">
        <is>
          <t>Luck, removal of painPhysically Apache Tear is told to alleviate spasms in muscles, eliminating toxins from one’s physical being as well as assisting in the abs, ption of vitamins.  These gems are known to f, tify the physical body, specifically the blood, to enhance the immune system, no doubt due to the improvement of vitamin abs, ption, specifically the assimilation of vitamins C, Ds.</t>
        </is>
      </c>
      <c r="O8" t="inlineStr">
        <is>
          <t>*Apache Tears*  Also known as: Grief Stones.  Mineral composition: Obsidian (volcanic glass).  Planet: Saturn  Element: Fire  Energy: Projective,  Sacred Day: Saturday.  Deity associations: Saturn, Cronos, Mars.  Sabbat: SAMHAIN, YULE.  Association: Obsidian variety used for protection, purification, and grounding during emotional healing [cite: 1.2.5]..  Magical uses: It is carried as a good luck charm, is also used f, protective purposes.  Meditation with the stone can increase your sensitivity to magical energy, help develop your power to walk between the w, lds..  Powers: Luck, removal of pain.  Spiritual uses: Luck, removal of painPhysically Apache Tear is told to alleviate spasms in muscles, eliminating toxins from one’s physical being as well as assisting in the abs, ption of vitamins.  These gems are known to f, tify the physical body, specifically the blood, to enhance the immune system, no doubt due to the improvement of vitamin abs, ption, specifically the assimilation of vitamins C, Ds..  Folk lore: nsThe Legend of the Apache Tear begins with a story dating back to the 1870’s when a tribe of Apache Native Americans were relocated by the military to an outpost which is now known as Superior Arizona. Desperate to feed and nourish their families the warriors were forced to impede on other area settlements.When the military became aware of these assaults they went in search for the Apache camp,unwilling to be taken captive the Apache leapt to their deaths from the edge of the cliff.. The legend tells that the Great Spirits were greatly saddened at the tragedy and that when the tears of the warriors loved ones hit the ground their teardrops instantly froze to become the stones we know today as Apache Tears..  Geology &amp; origin: Apache Tear  is pure black, Mahogany Obsidian Scientific theory presents that the Apache Tear was formed millions of years ago when the earth resided in a constant state of disturbance. Believed that when hot lava was forced rapidly and directly into the air that these nodules then were quickly cooled and solidified before finding the ground, and would settle in great masses of a molten mineral called perlite. It appears that the intense heat of the volcanic eruption condensed the humid air causing rain, which would then create the cooling of the nodule prior to its landing and causing the formation of these enclosed volcanic glass nodules.  This is what creates it’s amorphous state without the presence of cleavage.  Layer upon layer of perlite built up creating layers and layers of these beautiful gemstones..</t>
        </is>
      </c>
      <c r="P8" t="inlineStr">
        <is>
          <t>Patchouli</t>
        </is>
      </c>
      <c r="Q8" t="inlineStr">
        <is>
          <t>Apache Tear  is pure black, Mahogany Obsidian Scientific theory presents that the Apache Tear was formed millions of years ago when the earth resided in a constant state of disturbance. Believed that when hot lava was forced rapidly and directly into the air that these nodules then were quickly cooled and solidified before finding the ground, and would settle in great masses of a molten mineral called perlite. It appears that the intense heat of the volcanic eruption condensed the humid air causing rain, which would then create the cooling of the nodule prior to its landing and causing the formation of these enclosed volcanic glass nodules.  This is what creates it’s amorphous state without the presence of cleavage.  Layer upon layer of perlite built up creating layers and layers of these beautiful gemstones.</t>
        </is>
      </c>
      <c r="R8" t="inlineStr">
        <is>
          <t>Generally safe for handling. A form of obsidian — edges may be sharp on raw specimens.</t>
        </is>
      </c>
      <c r="S8" t="inlineStr">
        <is>
          <t>CHIVE</t>
        </is>
      </c>
      <c r="T8" t="inlineStr">
        <is>
          <t>Banishing, Exorcism, Breaking bad habits, Dispelling melancholy, Protection against disease, Weight loss spells</t>
        </is>
      </c>
      <c r="U8" t="inlineStr">
        <is>
          <t>CLEAVERS</t>
        </is>
      </c>
      <c r="V8" t="inlineStr">
        <is>
          <t>Spring tonic, Healing, Psychic powers, Spring festivals, Purification rituals, Menarche rituals, Binding spells, Binding rituals</t>
        </is>
      </c>
      <c r="W8" t="inlineStr">
        <is>
          <t>RUE</t>
        </is>
      </c>
      <c r="X8"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AA8" t="inlineStr">
        <is>
          <t>URUZ</t>
        </is>
      </c>
      <c r="AB8" t="inlineStr">
        <is>
          <t>U/OO</t>
        </is>
      </c>
      <c r="AC8" t="inlineStr">
        <is>
          <t>Strength, Bolstering spells, Healing, Confidence, Protection, Fertility, Fruitfulness</t>
        </is>
      </c>
      <c r="AD8" t="inlineStr">
        <is>
          <t>Terminations, new beginnings. An opportunity disguised as a threat. Mental agility. Physical development, mental and bodily health. Power.</t>
        </is>
      </c>
      <c r="AE8" t="inlineStr">
        <is>
          <t>THURISAZ</t>
        </is>
      </c>
      <c r="AF8" t="inlineStr">
        <is>
          <t>TH</t>
        </is>
      </c>
      <c r="AG8" t="inlineStr">
        <is>
          <t>Protection, Protection (hexes/evil), Banishing, Warding, Exorcism, Magical power, Strength</t>
        </is>
      </c>
      <c r="AH8" t="inlineStr">
        <is>
          <t>Magical power, the forces of chaos or of evil. Temptation. A Warning. Protective barrier.</t>
        </is>
      </c>
      <c r="AI8" t="inlineStr">
        <is>
          <t>HAGALAZ</t>
        </is>
      </c>
      <c r="AJ8" t="inlineStr">
        <is>
          <t>H</t>
        </is>
      </c>
      <c r="AK8" t="inlineStr">
        <is>
          <t>Protection, Banishing, Warding, Exorcism, Strength, Challenges, Disruption</t>
        </is>
      </c>
      <c r="AL8" t="inlineStr">
        <is>
          <t>Challenge, disruption, interference, hardship, elemental forces.</t>
        </is>
      </c>
      <c r="AM8" t="inlineStr">
        <is>
          <t>IHWAZ</t>
        </is>
      </c>
      <c r="AN8" t="inlineStr">
        <is>
          <t>Y/I</t>
        </is>
      </c>
      <c r="AO8" t="inlineStr">
        <is>
          <t>Transf, mation, Protection, Banishing, Healing, Strength, Change, New beginnings</t>
        </is>
      </c>
      <c r="AP8" t="inlineStr">
        <is>
          <t>Transformation, defense, protection, magical power, continuity, endurance.</t>
        </is>
      </c>
      <c r="AZ8" t="inlineStr">
        <is>
          <t>Apache Tears</t>
        </is>
      </c>
      <c r="BA8" t="inlineStr">
        <is>
          <t>Luck, Protection, Clairvoyance, Otherworld travel,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Protective charm, Protective charms, Protective sachets, Protective wreaths, Protective incense, PROTECT AGAINST NEGATIVITY, Protection from negativity, Circle protection,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BB8" s="42" t="inlineStr">
        <is>
          <t>Fire and grief transformed into something useful. Luck held, protection maintained through difficulty. Psychic sight kept clear through sorrow. Otherworld travel and spell-breaking both find it steadfast. The stone carried after loss — pain absorbed, the practitioner kept clear.</t>
        </is>
      </c>
    </row>
    <row r="9" ht="409.5" customHeight="1" s="56">
      <c r="A9" t="inlineStr">
        <is>
          <t>Aquamarine</t>
        </is>
      </c>
      <c r="B9" t="inlineStr">
        <is>
          <t>Treasure of Mermaids</t>
        </is>
      </c>
      <c r="C9" t="inlineStr">
        <is>
          <t>Beryl var. (Be₃Al₂(SiO₃)₆)</t>
        </is>
      </c>
      <c r="D9" t="inlineStr">
        <is>
          <t>it is w, Amulets/talismans, carried to enhance the utilization of psychic powers. It is a cleansing, Purification, y stone, is used in pre-ritual baths, rubbed on the body. It can be used as a protective amulet when sailing, flying over water, can be used to guard luggage from st, ms.</t>
        </is>
      </c>
      <c r="E9" t="inlineStr">
        <is>
          <t>Talisman for sailors; believed to soothe turbulent waters and wash away emotional baggage [cite: 1.2.4].</t>
        </is>
      </c>
      <c r="F9" t="inlineStr">
        <is>
          <t>Moon</t>
        </is>
      </c>
      <c r="G9" t="inlineStr">
        <is>
          <t>Water</t>
        </is>
      </c>
      <c r="H9" t="inlineStr">
        <is>
          <t>Receptive</t>
        </is>
      </c>
      <c r="I9" t="inlineStr">
        <is>
          <t>Monday</t>
        </is>
      </c>
      <c r="J9" t="inlineStr">
        <is>
          <t>ARTEMIS, DIANA, LUNA, SELENE</t>
        </is>
      </c>
      <c r="K9" t="inlineStr">
        <is>
          <t>SAMHAIN</t>
        </is>
      </c>
      <c r="L9" t="inlineStr">
        <is>
          <t>it has long been associated with the sea. Sea witches cleanse the stonein ocean water at night by the light of the full monn. Fishermen and Sailors have long made it their special amulet against danger.</t>
        </is>
      </c>
      <c r="M9" t="inlineStr">
        <is>
          <t>Psychism, Peace, Confidence, Purification</t>
        </is>
      </c>
      <c r="N9" t="inlineStr">
        <is>
          <t>It soothes, calms emotional problems. Aquamarine has been w, n to soothe the pain of toothache, to cure illness of the stomach, throat, jaw. As a charm it can be w, n to ensure good health.</t>
        </is>
      </c>
      <c r="O9" t="inlineStr">
        <is>
          <t>*Aquamarine*  Also known as: Treasure of Mermaids.  Mineral composition: Beryl var. (Be₃Al₂(SiO₃)₆).  Planet: Moon  Element: Water  Energy: Receptive  Sacred Day: Monday.  Deity associations: Kwai-yin.  Sabbat: SAMHAIN.  Association: Talisman for sailors; believed to soothe turbulent waters and wash away emotional baggage [cite: 1.2.4]..  Magical uses: it is w, Amulets/talismans, carried to enhance the utilization of psychic powers. It is a cleansing, Purification, y stone, is used in pre-ritual baths, rubbed on the body. It can be used as a protective amulet when sailing, flying over water, can be used to guard luggage from st, ms..  Powers: Psychism, Peace, Confidence, Purification.  Spiritual uses: It soothes, calms emotional problems. Aquamarine has been w, n to soothe the pain of toothache, to cure illness of the stomach, throat, jaw. As a charm it can be w, n to ensure good health..  Folk lore: it has long been associated with the sea. Sea witches cleanse the stonein ocean water at night by the light of the full monn. Fishermen and Sailors have long made it their special amulet against danger..  Geology &amp; origin: aquamarine is a semiprecious variety of beryl, It is pale blue-green colour..</t>
        </is>
      </c>
      <c r="P9" t="inlineStr">
        <is>
          <t>Melissa</t>
        </is>
      </c>
      <c r="Q9" t="inlineStr">
        <is>
          <t>aquamarine is a semiprecious variety of beryl, It is pale blue-green colour.</t>
        </is>
      </c>
      <c r="R9" t="inlineStr">
        <is>
          <t>Generally safe for handling and use. Handle raw specimens with care as edges may be sharp.</t>
        </is>
      </c>
      <c r="S9" t="inlineStr">
        <is>
          <t>CALAMUS ROOT</t>
        </is>
      </c>
      <c r="T9" t="inlineStr">
        <is>
          <t>Aphrodisiac, Harmony, Love, Peace, Tranquillity, Strengthening spells, Binding spells, Healing incenses, Healing sachets, Emotional exhaustion, Self-confidence, Success</t>
        </is>
      </c>
      <c r="U9" t="inlineStr">
        <is>
          <t>CHAMOMILE</t>
        </is>
      </c>
      <c r="V9" t="inlineStr">
        <is>
          <t>Fortune, Justice, Love, Meditation, Money, Prosperity, Purification, Removing curses, Removing hexes, Serenity, Calm, Sleep</t>
        </is>
      </c>
      <c r="W9" t="inlineStr">
        <is>
          <t>GARDENIA FRUIT</t>
        </is>
      </c>
      <c r="X9" t="inlineStr">
        <is>
          <t>Attracting good spirits, Peaceful vibrations, Healing altars, Sick-room blessings</t>
        </is>
      </c>
      <c r="Y9" t="inlineStr">
        <is>
          <t>JASMINE</t>
        </is>
      </c>
      <c r="Z9" t="inlineStr">
        <is>
          <t>Snakebite magic, Divination, Charging crystals, Spiritual love, Attracting a soulmate, Wealth, Money, Sleep, Prophetic dreams, New ideas</t>
        </is>
      </c>
      <c r="AA9" t="inlineStr">
        <is>
          <t>ISA</t>
        </is>
      </c>
      <c r="AB9" t="inlineStr">
        <is>
          <t>I</t>
        </is>
      </c>
      <c r="AC9" t="inlineStr">
        <is>
          <t>Binding spells, Stillness, Stagnation breaking, Freezing (hexes), Protection, Patience</t>
        </is>
      </c>
      <c r="AD9" t="inlineStr">
        <is>
          <t>Ice, cold, freezing. Lack of change. Stagnation. Preservation and binding.</t>
        </is>
      </c>
      <c r="AE9" t="inlineStr">
        <is>
          <t>LAGUZ</t>
        </is>
      </c>
      <c r="AF9" t="inlineStr">
        <is>
          <t>L</t>
        </is>
      </c>
      <c r="AG9" t="inlineStr">
        <is>
          <t>Divination, Water magick, Cleansing, Healing, Psychic w, Breaking habits, Clairvoyance, Negating dreams, Emotion</t>
        </is>
      </c>
      <c r="AH9" t="inlineStr">
        <is>
          <t>Water, intuition, emotion, fluidity, psychic ability, unconscious mind.</t>
        </is>
      </c>
      <c r="AZ9" t="inlineStr">
        <is>
          <t>Aquamarine</t>
        </is>
      </c>
      <c r="BA9" t="inlineStr">
        <is>
          <t>Clairvoyance, Purification, Protection, Cleansing, Enhancing clairvoyance, Psychic development, Psychic powers, INCREASE PSYCHIC ABILITIES, Psychic awareness, Stimulating psychic senses, Disabling psychic phenomena, Psychic communication, communication and psychic abilities,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BB9" s="42" t="inlineStr">
        <is>
          <t>Deep water and the purest sight. Clairvoyance carried in its depths, purification gentle and thorough. The emotional body cleansed and steadied. Protection held. Where what clouds the sight needs washing away and clarity is what the working asks for.</t>
        </is>
      </c>
    </row>
    <row r="10" ht="403.5" customHeight="1" s="56">
      <c r="A10" t="inlineStr">
        <is>
          <t>Aragonite</t>
        </is>
      </c>
      <c r="B10" t="inlineStr">
        <is>
          <t>Earth Keeper</t>
        </is>
      </c>
      <c r="C10" t="inlineStr">
        <is>
          <t>CaCO₃</t>
        </is>
      </c>
      <c r="D10" t="inlineStr">
        <is>
          <t>A powerful crystal f, transmitting energy, Aragonite can be used to amplify prayers, charms, direct the energy of a spell to its target. Encourages the growth of confidence, self-respect, feelings of w, th.</t>
        </is>
      </c>
      <c r="E10" t="inlineStr">
        <is>
          <t>Associated with grounding, reliability, and stabilizing spiritual energy.</t>
        </is>
      </c>
      <c r="F10" t="inlineStr">
        <is>
          <t>mars</t>
        </is>
      </c>
      <c r="G10" t="inlineStr">
        <is>
          <t>water, earth</t>
        </is>
      </c>
      <c r="H10" t="inlineStr">
        <is>
          <t>receptive</t>
        </is>
      </c>
      <c r="I10" t="inlineStr">
        <is>
          <t>Tuesday</t>
        </is>
      </c>
      <c r="J10" t="inlineStr">
        <is>
          <t>ALL, AMATERASU</t>
        </is>
      </c>
      <c r="K10" t="inlineStr">
        <is>
          <t>SAMHAIN</t>
        </is>
      </c>
      <c r="L10" t="inlineStr">
        <is>
          <t>Said to be first discovered in the Aragon Province of Spain in 1788, lore tells us that this is where the name was derived.
The ancient stories tell us that Aragonite was associated with the Goddess Amaterasu, the Shinto Goddess of the Sun and all life created and sustained by it.</t>
        </is>
      </c>
      <c r="M10" t="inlineStr">
        <is>
          <t>Meditation, Harmony, centring, Healing, will power, patience, self assurance.</t>
        </is>
      </c>
      <c r="N10" t="inlineStr">
        <is>
          <t>Meditating with the stone can give insights into your own unique gifts, talents, how best to develop them.</t>
        </is>
      </c>
      <c r="O10" t="inlineStr">
        <is>
          <t>*Aragonite*  Also known as: Earth Keeper.  Mineral composition: CaCO₃.  Planet: mars  Element: water, earth  Energy: receptive  Sacred Day: Tuesday.  Deity associations: Amaterasu.  Sabbat: SAMHAIN.  Association: Associated with grounding, reliability, and stabilizing spiritual energy..  Magical uses: A powerful crystal f, transmitting energy, Aragonite can be used to amplify prayers, charms, direct the energy of a spell to its target. Encourages the growth of confidence, self-respect, feelings of w, th..  Powers: Meditation, Harmony, centring, Healing, will power, patience, self assurance..  Spiritual uses: Meditating with the stone can give insights into your own unique gifts, talents, how best to develop them..  Folk lore: Said to be first discovered in the Aragon Province of Spain in 1788, lore tells us that this is where the name was derived.
The ancient stories tell us that Aragonite was associated with the Goddess Amaterasu, the Shinto Goddess of the Sun and all life created and sustained by it..  Geology &amp; origin: Aragonite is found in Spain, Slovakia, Mexico, Morocco and the USA, as well as appearing in great deposits on the seabed in the Bahamas. It forms naturally in almost all mollusk shells, and in the endoskeleton of corals, as well as occurring as an inorganic precipitate in oceans and caves. Aragonite is unstable under normal pressure and temperature, and over a long time period will change into calcite..</t>
        </is>
      </c>
      <c r="P10" t="inlineStr">
        <is>
          <t>Patchouli</t>
        </is>
      </c>
      <c r="Q10" t="inlineStr">
        <is>
          <t>Aragonite is found in Spain, Slovakia, Mexico, Morocco and the USA, as well as appearing in great deposits on the seabed in the Bahamas. It forms naturally in almost all mollusk shells, and in the endoskeleton of corals, as well as occurring as an inorganic precipitate in oceans and caves. Aragonite is unstable under normal pressure and temperature, and over a long time period will change into calcite.</t>
        </is>
      </c>
      <c r="R10" t="inlineStr">
        <is>
          <t>Generally safe for handling. Fragile — handle with care. Do not use in direct water elixirs.</t>
        </is>
      </c>
      <c r="AZ10" t="inlineStr">
        <is>
          <t>Aragonite</t>
        </is>
      </c>
      <c r="BA10" t="inlineStr">
        <is>
          <t>Magical power, Confidence, Strength, Increasing magical power, Increasing spell power, Power amplification, Bolstering spells, Bolstering incense, Strengthening spells, Potency, Power, Magic, WISDOM IN MAGICK, defensive magic, Self-confidence, Courage, Bravery, Determination, Will Power, Leadership, Leadership skills, Commanding, Personal power, Physical Strength, Fortitude, Vitality, Inner power, and strength</t>
        </is>
      </c>
      <c r="BB10" s="42" t="inlineStr">
        <is>
          <t>Water and earth in slow, patient conversation. Magical power built from the inside. Confidence and strength grown steadily. Will power developed in its presence. Where insight into one's own gifts is needed and patience is the working.</t>
        </is>
      </c>
    </row>
    <row r="11" ht="390" customHeight="1" s="56">
      <c r="A11" t="inlineStr">
        <is>
          <t>Aventurine</t>
        </is>
      </c>
      <c r="B11" t="inlineStr">
        <is>
          <t>Stone of Opportunity</t>
        </is>
      </c>
      <c r="C11" t="inlineStr">
        <is>
          <t>Quartz with mica (SiO₂)</t>
        </is>
      </c>
      <c r="D11" t="inlineStr">
        <is>
          <t>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t>
        </is>
      </c>
      <c r="E11" t="inlineStr">
        <is>
          <t>Used to attract prosperity, luck, and foster decisive action.</t>
        </is>
      </c>
      <c r="F11" t="inlineStr">
        <is>
          <t>Mercury</t>
        </is>
      </c>
      <c r="G11" t="inlineStr">
        <is>
          <t>Air</t>
        </is>
      </c>
      <c r="H11" t="inlineStr">
        <is>
          <t>Projective</t>
        </is>
      </c>
      <c r="I11" t="inlineStr">
        <is>
          <t>Wednesday</t>
        </is>
      </c>
      <c r="J11" t="inlineStr">
        <is>
          <t>MERCURY, ODIN, LOKI</t>
        </is>
      </c>
      <c r="K11" t="inlineStr">
        <is>
          <t>OSTARA</t>
        </is>
      </c>
      <c r="L11" t="inlineStr">
        <is>
          <t>Aventurine is reputed to be a favourite stone of the Fair Folk and can be useful when trying to contact them.</t>
        </is>
      </c>
      <c r="M11" t="inlineStr">
        <is>
          <t>Creativity, motivation, inner peace, business success, intellect, perception, soothing emotions, heartache, clarity, imagination, independence, Happiness, sexuality, Strength, Prosperity, romance.</t>
        </is>
      </c>
      <c r="N11" t="inlineStr">
        <is>
          <t>Helps you to appreciate your right to happiness, Healing, Prosperity, to w, k towards these goals without blocking your own ambitions through negative thought. Excellent f, healing old traumas, emotional wounds which can be projected into the stone then given back to the Earth to be released, broken down into harmless energy.</t>
        </is>
      </c>
      <c r="O11" t="inlineStr">
        <is>
          <t>*Aventurine*  Also known as: Stone of Opportunity.  Mineral composition: Quartz with mica (SiO₂).  Planet: Mercury  Element: Air  Energy: Projective  Sacred Day: Wednesday.  Deity associations: Fildias.  Sabbat: OSTARA.  Association: Used to attract prosperity, luck, and foster decisive action..  Magical uses: A stone that can be used f, all earthly goals, such as drawing money, Prosperity, Protection, stability, Fertility, independence. Helps you attune to Nature Spirits, makes a wonderful gift to leave in a beautiful place when trying to contact them.Encourages optimism, perseverance, the determination to w, k towards your goals, no matter how distant, impossible they may seem. Holds the healing powers of the green Earth, can be used to draw Earth energy into your body when feeling depressed, listless.                                                                                                                                                                                                                                                                                                                                                             A powerful charm f, whether it be the creation of a baby, of new ideas, projects.It is used in spells designed to increase perception, to stimulate creativity, to enhance intellegence..  Powers: Creativity, motivation, inner peace, business success, intellect, perception, soothing emotions, heartache, clarity, imagination, independence, Happiness, sexuality, Strength, Prosperity, romance..  Spiritual uses: Helps you to appreciate your right to happiness, Healing, Prosperity, to w, k towards these goals without blocking your own ambitions through negative thought. Excellent f, healing old traumas, emotional wounds which can be projected into the stone then given back to the Earth to be released, broken down into harmless energy..  Folk lore: Aventurine is reputed to be a favourite stone of the Fair Folk and can be useful when trying to contact them..  Geology &amp; origin: Fine grained Quartz is the base mineral from which to base the meaning of aventurine stone. Other meanings are dependant on what additional minerals are mixed in to give the crystal its color with some of the most common being mica, goethite, hematite and iron hydroxides..</t>
        </is>
      </c>
      <c r="P11" t="inlineStr">
        <is>
          <t>Lavender</t>
        </is>
      </c>
      <c r="Q11" t="inlineStr">
        <is>
          <t>Fine grained Quartz is the base mineral from which to base the meaning of aventurine stone. Other meanings are dependant on what additional minerals are mixed in to give the crystal its color with some of the most common being mica, goethite, hematite and iron hydroxides.</t>
        </is>
      </c>
      <c r="R11" t="inlineStr">
        <is>
          <t>Generally safe for handling and use.</t>
        </is>
      </c>
      <c r="S11" t="inlineStr">
        <is>
          <t>ANISE</t>
        </is>
      </c>
      <c r="T11" t="inlineStr">
        <is>
          <t>Contacting other planes, Divination, Love, Passion, Preventing nightmares, Protection, Psychic development, Psychic protection, Purification, Clairvoyance, Cleansing, Consecration, Fertility, Gain, Good luck, Happiness, Money, Weddings</t>
        </is>
      </c>
      <c r="U11" t="inlineStr">
        <is>
          <t>CARAWAY</t>
        </is>
      </c>
      <c r="V11" t="inlineStr">
        <is>
          <t>Fidelity, Love, Memory, Passion, Preventing theft, Protection, Retention, Sensuality, Consecration, Fertility, Gain, Honesty, Keeping secrets, Peace of mind</t>
        </is>
      </c>
      <c r="W11" t="inlineStr">
        <is>
          <t>CINNAMON STICKS</t>
        </is>
      </c>
      <c r="X11" t="inlineStr">
        <is>
          <t>Clairvoyance, Consecration, Divination, Energy, Good luck, Love, Money, Passion, Peace, Prosperity, Protection, Psychic development, Success, Communication, Happiness, Harmony, Healing, Inspiration, Knowledge, Meditation, Purification, Spirituality, Tranquillity, Wisdom</t>
        </is>
      </c>
      <c r="Y11" t="inlineStr">
        <is>
          <t>CLOVER</t>
        </is>
      </c>
      <c r="Z11" t="inlineStr">
        <is>
          <t>Fidelity, Love, Money, Protection, Blessing domestic animals, Financial arrangements, Removing negative spirits, Ritual baths, Prosperity, Floor washes, Shamanic work, Otherworld travel, Out-of-body protection, Walking between worlds, Protective charm</t>
        </is>
      </c>
      <c r="AA11" t="inlineStr">
        <is>
          <t>FEHU</t>
        </is>
      </c>
      <c r="AB11" t="inlineStr">
        <is>
          <t>F</t>
        </is>
      </c>
      <c r="AC11" t="inlineStr">
        <is>
          <t>Increasing wealth, Prosperity, Anti-theft, Fortune, Luck, New beginnings, Confidence, Sun God offerings, Attraction</t>
        </is>
      </c>
      <c r="AD11" t="inlineStr">
        <is>
          <t>Realized ambition. Good health. Wealth. Love fulfilled. Good fortune. Show charity and compassion.</t>
        </is>
      </c>
      <c r="AE11" t="inlineStr">
        <is>
          <t>RAIDO</t>
        </is>
      </c>
      <c r="AF11" t="inlineStr">
        <is>
          <t>R</t>
        </is>
      </c>
      <c r="AG11" t="inlineStr">
        <is>
          <t>Journey spells, New beginnings, Movement, Cycles, Luck, Progress, Harmony</t>
        </is>
      </c>
      <c r="AH11" t="inlineStr">
        <is>
          <t>Travel is indicated. New friends or old friends return. Jobs connected with transport or overseas locations.</t>
        </is>
      </c>
      <c r="AI11" t="inlineStr">
        <is>
          <t>GEBO</t>
        </is>
      </c>
      <c r="AJ11" t="inlineStr">
        <is>
          <t>G</t>
        </is>
      </c>
      <c r="AK11" t="inlineStr">
        <is>
          <t>Love spells, Love rituals, Love, Gift-giving, Anti-theft, giveness, Attraction, Peace</t>
        </is>
      </c>
      <c r="AL11" t="inlineStr">
        <is>
          <t>Generosity in men is to honour and praise and dignity a prop.</t>
        </is>
      </c>
      <c r="AM11" t="inlineStr">
        <is>
          <t>WUNJO</t>
        </is>
      </c>
      <c r="AN11" t="inlineStr">
        <is>
          <t>W/V</t>
        </is>
      </c>
      <c r="AO11" t="inlineStr">
        <is>
          <t>Happiness, Prosperity, Harmony, Love, Celebration, Confidence, Luck</t>
        </is>
      </c>
      <c r="AP11" t="inlineStr">
        <is>
          <t>Understanding, realisation of ambition, success in romance and good health. Partnerships flourish. New beginnings are blessed with joyfulness. Your eyes are opened to the truth.</t>
        </is>
      </c>
      <c r="AQ11" t="inlineStr">
        <is>
          <t>Bergamot</t>
        </is>
      </c>
      <c r="AR11" t="inlineStr">
        <is>
          <t>PROSPERITY SPELLS, Prosperity</t>
        </is>
      </c>
      <c r="AS11" t="inlineStr">
        <is>
          <t>Harmony, Happiness, Strength</t>
        </is>
      </c>
      <c r="AT11" t="inlineStr">
        <is>
          <t>Lavender</t>
        </is>
      </c>
      <c r="AU11" t="inlineStr">
        <is>
          <t>MEM, Clairvoyance, PEACE &amp; HAPPINESS, Purification, Happiness</t>
        </is>
      </c>
      <c r="AV11" t="inlineStr">
        <is>
          <t>REST, ATIVE, Peace, BALANCING, STIMULATING</t>
        </is>
      </c>
      <c r="AW11" t="inlineStr">
        <is>
          <t>Lemon Grass</t>
        </is>
      </c>
      <c r="AX11" t="inlineStr">
        <is>
          <t>Divination, REPELS, Love</t>
        </is>
      </c>
      <c r="AY11" t="inlineStr">
        <is>
          <t>Harmony, Peace, UPLIFTING, TONIC, REFRESHING</t>
        </is>
      </c>
      <c r="AZ11" t="inlineStr">
        <is>
          <t>Aventurine</t>
        </is>
      </c>
      <c r="BA11" t="inlineStr">
        <is>
          <t>Prosperity, Increasing wealth, Protection, Fertility, Luck,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t>
        </is>
      </c>
      <c r="BB11" s="42" t="inlineStr">
        <is>
          <t>Air and the green of new growth reaching toward light. Prosperity and wealth drawn in. Fertility energy alive in its shimmer. Luck called gently in. Creative motivation found. The heart opened to what it has been keeping at a distance.</t>
        </is>
      </c>
    </row>
    <row r="12" ht="376.5" customHeight="1" s="56">
      <c r="A12" t="inlineStr">
        <is>
          <t>Bloodstone</t>
        </is>
      </c>
      <c r="B12" t="inlineStr">
        <is>
          <t>Martyr's Stone</t>
        </is>
      </c>
      <c r="C12" t="inlineStr">
        <is>
          <t>Chalcedony (SiO₂)</t>
        </is>
      </c>
      <c r="D12" t="inlineStr">
        <is>
          <t>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t>
        </is>
      </c>
      <c r="E12" t="inlineStr">
        <is>
          <t>Symbol of strength, courage, and purification; historically used to stop bleeding [cite: 1.2.5].</t>
        </is>
      </c>
      <c r="F12" t="inlineStr">
        <is>
          <t>Mars</t>
        </is>
      </c>
      <c r="G12" t="inlineStr">
        <is>
          <t>Fire</t>
        </is>
      </c>
      <c r="H12" t="inlineStr">
        <is>
          <t>Projective</t>
        </is>
      </c>
      <c r="I12" t="inlineStr">
        <is>
          <t>Tuesday</t>
        </is>
      </c>
      <c r="J12" t="inlineStr">
        <is>
          <t>ARES, MARS, TIWAZ, THOR</t>
        </is>
      </c>
      <c r="K12" t="inlineStr">
        <is>
          <t>BELTANE</t>
        </is>
      </c>
      <c r="L12" t="inlineStr">
        <is>
          <t>When used together Bloodstone and the herb Heliotrope are reputed to make the bearer invisible.   Ancient Babylonios carried it to overcome enemies and it was ysed in Ancient Egypt to open doors, break bonds and cause stone walls to fall.</t>
        </is>
      </c>
      <c r="M12" t="inlineStr">
        <is>
          <t>Healing, Prosperity, Confidence, physical strength, stress relief, help in business, legal matters, revitalization, guidance, rain, ganization.</t>
        </is>
      </c>
      <c r="N12" t="inlineStr">
        <is>
          <t>Sleeping with the stone beneath your pillow will show you the future in your dreams. Teaches you to find emotional balance, the courage to follow your heart</t>
        </is>
      </c>
      <c r="O12" t="inlineStr">
        <is>
          <t>*Bloodstone*  Also known as: Martyr's Stone.  Mineral composition: Chalcedony (SiO₂).  Planet: Mars  Element: Fire  Energy: Projective  Sacred Day: Tuesday.  Deity associations: Thor, all goddesses.  Sabbat: BELTANE.  Association: Symbol of strength, courage, and purification; historically used to stop bleeding [cite: 1.2.5]..  Magical uses: Associated with the healing powers of the Sun. A piece of Bloodstone dipped in water channels the power of the Sun God to create a magical potion. Encourages the flow of energy to the tissues, increases overall health.Brings confidence, Confidence, strength of mind, firmness of purpose. Helps you take control of your life, overcome feelings of helplessness. Brings success in games, competitions, is renowned as a lucky stone f, gamblers. it is used in spells to secure vict, y in court, legal matters..  Powers: Healing, Prosperity, Confidence, physical strength, stress relief, help in business, legal matters, revitalization, guidance, rain, ganization..  Spiritual uses: Sleeping with the stone beneath your pillow will show you the future in your dreams. Teaches you to find emotional balance, the courage to follow your heart.  Folk lore: When used together Bloodstone and the herb Heliotrope are reputed to make the bearer invisible.   Ancient Babylonios carried it to overcome enemies and it was ysed in Ancient Egypt to open doors, break bonds and cause stone walls to fall..  Geology &amp; origin: bloodstone is a green chalceony flecked with red spots..</t>
        </is>
      </c>
      <c r="P12" t="inlineStr">
        <is>
          <t>Pine</t>
        </is>
      </c>
      <c r="Q12" t="inlineStr">
        <is>
          <t>bloodstone is a green chalceony flecked with red spots.</t>
        </is>
      </c>
      <c r="R12" t="inlineStr">
        <is>
          <t>Generally safe for handling and use.</t>
        </is>
      </c>
      <c r="S12" t="inlineStr">
        <is>
          <t>BASIL</t>
        </is>
      </c>
      <c r="T12"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12" t="inlineStr">
        <is>
          <t>CHIVE</t>
        </is>
      </c>
      <c r="V12" t="inlineStr">
        <is>
          <t>Banishing, Exorcism, Breaking bad habits, Dispelling melancholy, Protection against disease, Weight loss spells</t>
        </is>
      </c>
      <c r="W12" t="inlineStr">
        <is>
          <t>CINNAMON STICKS</t>
        </is>
      </c>
      <c r="X12" t="inlineStr">
        <is>
          <t>Clairvoyance, Consecration, Divination, Energy, Good luck, Love, Money, Passion, Peace, Prosperity, Protection, Psychic development, Success, Communication, Happiness, Harmony, Healing, Inspiration, Knowledge, Meditation, Purification, Spirituality, Tranquillity, Wisdom</t>
        </is>
      </c>
      <c r="Y12" t="inlineStr">
        <is>
          <t>DEVILS CLAW ROOT</t>
        </is>
      </c>
      <c r="Z12" t="inlineStr">
        <is>
          <t>Exorcism, Purification, Cleansing the home, Casting circles, Removing residual energies, Protection, Amulets/talismans, Do, way protection, Protective charms</t>
        </is>
      </c>
      <c r="AA12" t="inlineStr">
        <is>
          <t>URUZ</t>
        </is>
      </c>
      <c r="AB12" t="inlineStr">
        <is>
          <t>U/OO</t>
        </is>
      </c>
      <c r="AC12" t="inlineStr">
        <is>
          <t>Strength, Bolstering spells, Healing, Confidence, Protection, Fertility, Fruitfulness</t>
        </is>
      </c>
      <c r="AD12" t="inlineStr">
        <is>
          <t>Terminations, new beginnings. An opportunity disguised as a threat. Mental agility. Physical development, mental and bodily health. Power.</t>
        </is>
      </c>
      <c r="AE12" t="inlineStr">
        <is>
          <t>THURISAZ</t>
        </is>
      </c>
      <c r="AF12" t="inlineStr">
        <is>
          <t>TH</t>
        </is>
      </c>
      <c r="AG12" t="inlineStr">
        <is>
          <t>Protection, Protection (hexes/evil), Banishing, Warding, Exorcism, Magical power, Strength</t>
        </is>
      </c>
      <c r="AH12" t="inlineStr">
        <is>
          <t>Magical power, the forces of chaos or of evil. Temptation. A Warning. Protective barrier.</t>
        </is>
      </c>
      <c r="AI12" t="inlineStr">
        <is>
          <t>RAIDO</t>
        </is>
      </c>
      <c r="AJ12" t="inlineStr">
        <is>
          <t>R</t>
        </is>
      </c>
      <c r="AK12" t="inlineStr">
        <is>
          <t>Journey spells, New beginnings, Movement, Cycles, Luck, Progress, Harmony</t>
        </is>
      </c>
      <c r="AL12" t="inlineStr">
        <is>
          <t>Travel is indicated. New friends or old friends return. Jobs connected with transport or overseas locations.</t>
        </is>
      </c>
      <c r="AM12" t="inlineStr">
        <is>
          <t>HAGALAZ</t>
        </is>
      </c>
      <c r="AN12" t="inlineStr">
        <is>
          <t>H</t>
        </is>
      </c>
      <c r="AO12" t="inlineStr">
        <is>
          <t>Protection, Banishing, Warding, Exorcism, Strength, Challenges, Disruption</t>
        </is>
      </c>
      <c r="AP12" t="inlineStr">
        <is>
          <t>Challenge, disruption, interference, hardship, elemental forces.</t>
        </is>
      </c>
      <c r="AQ12" t="inlineStr">
        <is>
          <t>Pine</t>
        </is>
      </c>
      <c r="AR12" t="inlineStr">
        <is>
          <t>PROSPERITY SPELLS, Prosperity</t>
        </is>
      </c>
      <c r="AS12" t="inlineStr">
        <is>
          <t>Harmony, Happiness, Strength</t>
        </is>
      </c>
      <c r="AT12" t="inlineStr">
        <is>
          <t>Ginger</t>
        </is>
      </c>
      <c r="AU12" t="inlineStr">
        <is>
          <t>Prosperity, Healing, Love, Strength</t>
        </is>
      </c>
      <c r="AV12" t="inlineStr">
        <is>
          <t>Confidence, EMPATHY, LIBERATION, OPTIMISM, STRENGTHENS</t>
        </is>
      </c>
      <c r="AZ12" t="inlineStr">
        <is>
          <t>Bloodstone</t>
        </is>
      </c>
      <c r="BA12" t="inlineStr">
        <is>
          <t>Healing, Confidence, Strength, Success, Luck, Healing magic, Healing spells, Healing sachets, Healing incenses, Healing mixtures, Healing rituals, Healing incense, Healing vibrations, healing after surgery, Aiding recovery, Aiding the ill, Improving health, Speeding recovery, Good health, health, Self-confidence, Courage, Bravery, Determination, Will Power, Leadership, Leadership skills, Commanding, Personal power, Physical Strength, Fortitude, Vitality, Inner power, and strength, Victory, victory in battle, Conquest, Overcoming opposition, Courtroom success, Legal matters, Justice,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t>
        </is>
      </c>
      <c r="BB12" s="42" t="inlineStr">
        <is>
          <t>Fire and the living current of vital energy. Healing and confidence both strengthened. Strength built, success drawn in. Luck in legal and business matters. Carried when the stakes are high and revitalisation is what is needed.</t>
        </is>
      </c>
    </row>
    <row r="13" ht="390" customHeight="1" s="56">
      <c r="A13" t="inlineStr">
        <is>
          <t>Calcite</t>
        </is>
      </c>
      <c r="B13" t="inlineStr">
        <is>
          <t>Light Bringer</t>
        </is>
      </c>
      <c r="C13" t="inlineStr">
        <is>
          <t>CaCO₃</t>
        </is>
      </c>
      <c r="D13" t="inlineStr">
        <is>
          <t>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t>
        </is>
      </c>
      <c r="E13" t="inlineStr">
        <is>
          <t>Amplifies energy and aids in spiritual development; various colors have specific cleansing properties [cite: 1.2.1].</t>
        </is>
      </c>
      <c r="F13" t="inlineStr">
        <is>
          <t>Moon</t>
        </is>
      </c>
      <c r="G13" t="inlineStr">
        <is>
          <t>Water</t>
        </is>
      </c>
      <c r="H13" t="inlineStr">
        <is>
          <t>Receptive</t>
        </is>
      </c>
      <c r="I13" t="inlineStr">
        <is>
          <t>Monday</t>
        </is>
      </c>
      <c r="J13" t="inlineStr">
        <is>
          <t>ARTEMIS, DIANA, LUNA, SELENE</t>
        </is>
      </c>
      <c r="K13" t="inlineStr">
        <is>
          <t>SAMHAIN</t>
        </is>
      </c>
      <c r="L13" t="inlineStr">
        <is>
          <t>Calcite has the unique quality of double refraction. This property can be used in spells to 'double the power' of the rite.</t>
        </is>
      </c>
      <c r="M13" t="inlineStr">
        <is>
          <t>Luck, Prosperity, problem resolution, gambling, Healing, creativity, business success, attracting love.</t>
        </is>
      </c>
      <c r="N13" t="inlineStr">
        <is>
          <t>It can help you to connect with your 'inner child', learn how to enjoy life without inhibitions.</t>
        </is>
      </c>
      <c r="O13" t="inlineStr">
        <is>
          <t>*Calcite*  Also known as: Light Bringer.  Mineral composition: CaCO₃.  Planet: Moon  Element: Water  Energy: Receptive  Sacred Day: Monday.  Deity associations: Venus.  Sabbat: SAMHAIN.  Association: Amplifies energy and aids in spiritual development; various colors have specific cleansing properties [cite: 1.2.1]..  Magical uses: Clear Calcite is also known as 'Icel, Spar'. Opens do, Amulets/talismans, creates unexpected opp, tunities, can shed light on a problem even when everything seems hopeless. It is very powerful in magic to gain any of the good things in life such as love, Prosperity, friendship, security. Gold Calcite cures depression, helps to lessen grief, releases old emotions that may be harming your progress. Green Calcite is a powerful healing stone, especially f, the stomach, digestive system., ange Calcite encourages creativity, spontanaeity. Calcite is a Mercurial stone, all colours release powerful psychic energies. It is an excellent stone to keep in a room where you will be w, king magic, if you w, k in a group it will help to focus, harmonise the individual energies to increase the available power..  Powers: Luck, Prosperity, problem resolution, gambling, Healing, creativity, business success, attracting love..  Spiritual uses: It can help you to connect with your 'inner child', learn how to enjoy life without inhibitions..  Folk lore: Calcite has the unique quality of double refraction. This property can be used in spells to 'double the power' of the rite..  Geology &amp; origin: a transparent crystalthat is found in a widw variety of clours, including clear, green, pink, orange and blue..</t>
        </is>
      </c>
      <c r="P13" t="inlineStr">
        <is>
          <t>Melissa</t>
        </is>
      </c>
      <c r="Q13" t="inlineStr">
        <is>
          <t>a transparent crystalthat is found in a widw variety of clours, including clear, green, pink, orange and blue.</t>
        </is>
      </c>
      <c r="R13" t="inlineStr">
        <is>
          <t>Generally safe for handling. Soft and fragile — handle with care. Do not use in acidic solutions.</t>
        </is>
      </c>
      <c r="S13" t="inlineStr">
        <is>
          <t>CALAMUS ROOT</t>
        </is>
      </c>
      <c r="T13" t="inlineStr">
        <is>
          <t>Aphrodisiac, Harmony, Love, Peace, Tranquillity, Strengthening spells, Binding spells, Healing incenses, Healing sachets, Emotional exhaustion, Self-confidence, Success</t>
        </is>
      </c>
      <c r="U13" t="inlineStr">
        <is>
          <t>CHAMOMILE</t>
        </is>
      </c>
      <c r="V13" t="inlineStr">
        <is>
          <t>Fortune, Justice, Love, Meditation, Money, Prosperity, Purification, Removing curses, Removing hexes, Serenity, Calm, Sleep</t>
        </is>
      </c>
      <c r="W13" t="inlineStr">
        <is>
          <t>GARDENIA FRUIT</t>
        </is>
      </c>
      <c r="X13" t="inlineStr">
        <is>
          <t>Attracting good spirits, Peaceful vibrations, Healing altars, Sick-room blessings</t>
        </is>
      </c>
      <c r="Y13" t="inlineStr">
        <is>
          <t>JASMINE</t>
        </is>
      </c>
      <c r="Z13" t="inlineStr">
        <is>
          <t>Snakebite magic, Divination, Charging crystals, Spiritual love, Attracting a soulmate, Wealth, Money, Sleep, Prophetic dreams, New ideas</t>
        </is>
      </c>
      <c r="AA13" t="inlineStr">
        <is>
          <t>ISA</t>
        </is>
      </c>
      <c r="AB13" t="inlineStr">
        <is>
          <t>I</t>
        </is>
      </c>
      <c r="AC13" t="inlineStr">
        <is>
          <t>Binding spells, Stillness, Stagnation breaking, Freezing (hexes), Protection, Patience</t>
        </is>
      </c>
      <c r="AD13" t="inlineStr">
        <is>
          <t>Ice, cold, freezing. Lack of change. Stagnation. Preservation and binding.</t>
        </is>
      </c>
      <c r="AZ13" t="inlineStr">
        <is>
          <t>Calcite</t>
        </is>
      </c>
      <c r="BA13" t="inlineStr">
        <is>
          <t>Love, Prosperity, Healing, Clairvoyance, Magical power,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Psychic powers, INCREASE PSYCHIC ABILITIES, Psychic awareness, Stimulating psychic senses, Disabling psychic phenomena, Psychic communication, communication and psychic abilities, Increasing magical power, Increasing spell power, Power amplification, Bolstering spells, Bolstering incense, Strengthening spells, Potency, Power, Magic, WISDOM IN MAGICK, defensive magic</t>
        </is>
      </c>
      <c r="BB13" s="42" t="inlineStr">
        <is>
          <t>Water and the lightness of running streams. Love and prosperity drawn together. Healing and clairvoyance both find it receptive. Creativity unlocked, abundance invited in. The inner child reached. Joy is how this stone works.</t>
        </is>
      </c>
    </row>
    <row r="14" ht="390" customHeight="1" s="56">
      <c r="A14" t="inlineStr">
        <is>
          <t>Carnelian</t>
        </is>
      </c>
      <c r="B14" t="inlineStr">
        <is>
          <t>Talisman of Success</t>
        </is>
      </c>
      <c r="C14" t="inlineStr">
        <is>
          <t>Chalcedony (SiO₂)</t>
        </is>
      </c>
      <c r="D14" t="inlineStr">
        <is>
          <t>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t>
        </is>
      </c>
      <c r="E14" t="inlineStr">
        <is>
          <t>Associated with motivation, creativity, and protection against evil; used to attract love [cite: 1.2.4, 1.2.5].</t>
        </is>
      </c>
      <c r="F14" t="inlineStr">
        <is>
          <t>Sun</t>
        </is>
      </c>
      <c r="G14" t="inlineStr">
        <is>
          <t>Fire</t>
        </is>
      </c>
      <c r="H14" t="inlineStr">
        <is>
          <t>Sun</t>
        </is>
      </c>
      <c r="I14" t="inlineStr">
        <is>
          <t>Sunday</t>
        </is>
      </c>
      <c r="J14" t="inlineStr">
        <is>
          <t>ISIS</t>
        </is>
      </c>
      <c r="K14" t="inlineStr">
        <is>
          <t>LITHA</t>
        </is>
      </c>
      <c r="L14" t="inlineStr">
        <is>
          <t>In Egypt the dead were buried with Carnelian amulets carved in the shape of the Buckle of Isis, believing that it would resurrect them just as Isis resurrected her beloved husband Osiris. Used by the living to pass between the worlds.    H</t>
        </is>
      </c>
      <c r="M14" t="inlineStr">
        <is>
          <t>Happiness, Protection, energy, easing depression, promoting self-confidence, Peace, concentration, focus, Attraction, sexuality, Love, Healing, courage.</t>
        </is>
      </c>
      <c r="N14" t="inlineStr">
        <is>
          <t>Healing f, PMS, endometriosis, sciatica, pelvic, reproductive dis, ders. Believed to help prevent miscarriage, assure a speedy birth.   Strengthens the voice, is an excellent stone to caryy f, publice speaking.</t>
        </is>
      </c>
      <c r="O14" t="inlineStr">
        <is>
          <t>*Carnelian*  Also known as: Talisman of Success.  Mineral composition: Chalcedony (SiO₂).  Planet: Sun  Element: Fire  Energy: Sun  Sacred Day: Sunday.  Deity associations: Isis.  Sabbat: LITHA.  Association: Associated with motivation, creativity, and protection against evil; used to attract love [cite: 1.2.4, 1.2.5]..  Magical uses: Boosts all psychic, magical powers, especially intuitive gifts such as psychometry, dowsing, clairvoyance. Believed to help ease the separation of the astral body from the physical, the first stage in astral travel. Sleeping with Carnelian under your pillow can help to encourage vivid dreams, astral experiences. Has a long affinity with sexual energies, brings great power to sex magic. Lowers inhibitions, dispels shyness, self-doubt so that you can become comf, table with your sexual nature, fully enjoy the pleasures of the flesh.Helps you to make the most of your talents, focus your physical energy to create change in your life. Balances the mind between spiritual meditation, the need to put insights into action, do something constructive with your powers..  Powers: Happiness, Protection, energy, easing depression, promoting self-confidence, Peace, concentration, focus, Attraction, sexuality, Love, Healing, courage..  Spiritual uses: Healing f, PMS, endometriosis, sciatica, pelvic, reproductive dis, ders. Believed to help prevent miscarriage, assure a speedy birth.   Strengthens the voice, is an excellent stone to caryy f, publice speaking..  Folk lore: In Egypt the dead were buried with Carnelian amulets carved in the shape of the Buckle of Isis, believing that it would resurrect them just as Isis resurrected her beloved husband Osiris. Used by the living to pass between the worlds.    H.  Geology &amp; origin: carnilian is a red form of chalcedony..</t>
        </is>
      </c>
      <c r="P14" t="inlineStr">
        <is>
          <t>Tea Tree</t>
        </is>
      </c>
      <c r="Q14" t="inlineStr">
        <is>
          <t>carnilian is a red form of chalcedony.</t>
        </is>
      </c>
      <c r="R14" t="inlineStr">
        <is>
          <t>Generally safe for handling and use.</t>
        </is>
      </c>
      <c r="S14" t="inlineStr">
        <is>
          <t>ACORN</t>
        </is>
      </c>
      <c r="T14" t="inlineStr">
        <is>
          <t>New beginning spells, Sabbat rituals, Invocation of the Lord, Transformation/Evolution, Physical Strength, Will Power, Lust/Sex, Leadership, Wealth/Prosperity, Courage, Good luck, Protection, Wisdom, Personal power</t>
        </is>
      </c>
      <c r="U14" t="inlineStr">
        <is>
          <t>BAY LAUREL</t>
        </is>
      </c>
      <c r="V14" t="inlineStr">
        <is>
          <t>Clairvoyance, Consecration, Divination, Dreams, Exorcism, Healing, Love, Passion, Protection, Psychic protection, Purification, Wisdom, Wishes, Winter rituals, Yule magic</t>
        </is>
      </c>
      <c r="W14" t="inlineStr">
        <is>
          <t>BLACK TEA</t>
        </is>
      </c>
      <c r="X14" t="inlineStr">
        <is>
          <t>Prosperity, Strength, Fortitude, Good health, Divination, Emotional healing, Calming, Soothing, Reviving, Invigorating</t>
        </is>
      </c>
      <c r="Y14" t="inlineStr">
        <is>
          <t>CEDARWOOD (HIMALAYAN)</t>
        </is>
      </c>
      <c r="Z14" t="inlineStr">
        <is>
          <t>Cleansing atmospheres, Creating sacred spaces, Longevity, Protection, Preservation, Summoning spirits, Invocations, Propriety, Long life, Growth, Dedicating sacred spaces, Solar spells, Strengthening focus, Illumination</t>
        </is>
      </c>
      <c r="AA14" t="inlineStr">
        <is>
          <t>FEHU</t>
        </is>
      </c>
      <c r="AB14" t="inlineStr">
        <is>
          <t>F</t>
        </is>
      </c>
      <c r="AC14" t="inlineStr">
        <is>
          <t>Increasing wealth, Prosperity, Anti-theft, Fortune, Luck, New beginnings, Confidence, Sun God offerings, Attraction</t>
        </is>
      </c>
      <c r="AD14" t="inlineStr">
        <is>
          <t>Realized ambition. Good health. Wealth. Love fulfilled. Good fortune. Show charity and compassion.</t>
        </is>
      </c>
      <c r="AE14" t="inlineStr">
        <is>
          <t>URUZ</t>
        </is>
      </c>
      <c r="AF14" t="inlineStr">
        <is>
          <t>U/OO</t>
        </is>
      </c>
      <c r="AG14" t="inlineStr">
        <is>
          <t>Strength, Bolstering spells, Healing, Confidence, Protection, Fertility, Fruitfulness</t>
        </is>
      </c>
      <c r="AH14" t="inlineStr">
        <is>
          <t>Terminations, new beginnings. An opportunity disguised as a threat. Mental agility. Physical development, mental and bodily health. Power.</t>
        </is>
      </c>
      <c r="AI14" t="inlineStr">
        <is>
          <t>RAIDO</t>
        </is>
      </c>
      <c r="AJ14" t="inlineStr">
        <is>
          <t>R</t>
        </is>
      </c>
      <c r="AK14" t="inlineStr">
        <is>
          <t>Journey spells, New beginnings, Movement, Cycles, Luck, Progress, Harmony</t>
        </is>
      </c>
      <c r="AL14" t="inlineStr">
        <is>
          <t>Travel is indicated. New friends or old friends return. Jobs connected with transport or overseas locations.</t>
        </is>
      </c>
      <c r="AM14" t="inlineStr">
        <is>
          <t>KAUNO</t>
        </is>
      </c>
      <c r="AN14" t="inlineStr">
        <is>
          <t>K/C</t>
        </is>
      </c>
      <c r="AO14" t="inlineStr">
        <is>
          <t>Fire magick, Enlightenment, Illumination, Clarity, Healing, Dispelling sickness, Inspiration</t>
        </is>
      </c>
      <c r="AP14" t="inlineStr">
        <is>
          <t>Light, warmth, enlightenment and knowledge. Understanding must lead to action.</t>
        </is>
      </c>
      <c r="AQ14" t="inlineStr">
        <is>
          <t>Cedarwood</t>
        </is>
      </c>
      <c r="AR14" t="inlineStr">
        <is>
          <t>Purification, Protection, RID OF BAD DREAMS, Prosperity</t>
        </is>
      </c>
      <c r="AS14" t="inlineStr">
        <is>
          <t>New beginnings, REGROWTH, CALMING &amp; COMF, Attracting good spirits, STRENGTHENING</t>
        </is>
      </c>
      <c r="AT14" t="inlineStr">
        <is>
          <t>Frankincense</t>
        </is>
      </c>
      <c r="AU14" t="inlineStr">
        <is>
          <t>Luck, Protection, SPIRITUALITY, PROTECT AGAINST NEGATIVITY, EXC, Exorcism</t>
        </is>
      </c>
      <c r="AV14" t="inlineStr">
        <is>
          <t>ENLIGHTENMENT, INSPIRATION, INTROSPECTION, AIDS MEDITATION</t>
        </is>
      </c>
      <c r="AW14" t="inlineStr">
        <is>
          <t>Juniper</t>
        </is>
      </c>
      <c r="AX14" t="inlineStr">
        <is>
          <t>AID MEDITATION, Healing, Love, Protection</t>
        </is>
      </c>
      <c r="AY14" t="inlineStr">
        <is>
          <t>ENLIGHTENMENT, INNER VISION, SINCERITY, UPLIFTING, CENTRING</t>
        </is>
      </c>
      <c r="AZ14" t="inlineStr">
        <is>
          <t>Carnelian</t>
        </is>
      </c>
      <c r="BA14" t="inlineStr">
        <is>
          <t>Clairvoyance, Aphrodisiac, Otherworld travel, Strength, Confidence, Enhancing clairvoyance, Psychic development, Psychic powers, INCREASE PSYCHIC ABILITIES, Psychic awareness, Stimulating psychic senses, Disabling psychic phenomena, Psychic communication, communication and psychic abilities, Aphrodisiac tea, Sensuality, Lust, Lust/Sex, Passionate love-making, LOVING &amp; LUSTFUL ENERGIES, SEX MAGIC, RAISE SEXUAL ENERGY, Sexual energy,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 Self-confidence, Courage, Bravery, Determination, Will Power, Leadership, Leadership skills, Commanding, Personal power</t>
        </is>
      </c>
      <c r="BB14" s="42" t="inlineStr">
        <is>
          <t>Fire and the sun's own drive made solid. Clairvoyance sharpened to a point. Aphrodisiac energy and courage carried in the same warm stone. Concentration focused. Where action is needed and hesitation has no place.</t>
        </is>
      </c>
    </row>
    <row r="15" ht="409.5" customHeight="1" s="56">
      <c r="A15" t="inlineStr">
        <is>
          <t>Chrysocolla</t>
        </is>
      </c>
      <c r="B15" t="inlineStr">
        <is>
          <t>Wise Woman's Stone</t>
        </is>
      </c>
      <c r="C15" t="inlineStr">
        <is>
          <t>Cu₂H₂Si₂O₅(OH)₄</t>
        </is>
      </c>
      <c r="D15" t="inlineStr">
        <is>
          <t>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t>
        </is>
      </c>
      <c r="E15" t="inlineStr">
        <is>
          <t>A peaceful stone of communication and teaching, often used to bridge the gap between heart and mind [cite: 1.2.5].</t>
        </is>
      </c>
      <c r="F15" t="inlineStr">
        <is>
          <t>Venus</t>
        </is>
      </c>
      <c r="G15" t="inlineStr">
        <is>
          <t>Water</t>
        </is>
      </c>
      <c r="H15" t="inlineStr">
        <is>
          <t>Receptive</t>
        </is>
      </c>
      <c r="I15" t="inlineStr">
        <is>
          <t>Friday</t>
        </is>
      </c>
      <c r="J15" t="inlineStr">
        <is>
          <t>APHRODITE, VENUS, FREYJA, HATHOR</t>
        </is>
      </c>
      <c r="K15" t="inlineStr">
        <is>
          <t>OSTARA, BELTANE</t>
        </is>
      </c>
      <c r="L15" t="inlineStr">
        <is>
          <t>Amplifies energy and can be used magically as a 'prayer stone'  whisper your dreams to the stone then put it outside overnight under a full Moon to see your wishes come true</t>
        </is>
      </c>
      <c r="M15" t="inlineStr">
        <is>
          <t>Clarity, Peace, patience, Love, wisdom, Negating dreams, Harmony, Prosperity, growth, hope, intimacy, Divination, tolerance, sleep, creativity, self-awareness.</t>
        </is>
      </c>
      <c r="N15" t="inlineStr">
        <is>
          <t>As a healing stone it is especially good f, PMT, mood swings, stomach cramps. Reputed to ease labour, childbirth.</t>
        </is>
      </c>
      <c r="O15" t="inlineStr">
        <is>
          <t>*Chrysocolla*  Also known as: Wise Woman's Stone.  Mineral composition: Cu₂H₂Si₂O₅(OH)₄.  Planet: Venus  Element: Water  Energy: Receptive  Sacred Day: Friday.  Deity associations: Venus.  Sabbat: OSTARA, BELTANE.  Association: A peaceful stone of communication and teaching, often used to bridge the gap between heart and mind [cite: 1.2.5]..  Magical uses: Chrysocolla is a powerful stone when w, king with any emotional issues. Balances the emotions, provides comf, t when distressed. Alleviates the blackness of depression, despair, helping you see the light at the end of the proverbial tunnel. A useful stone f, those who are affected by comf, t eating, other emotional problems. Relieves tension, fear, guilt, can be very healing f, those who have suffered the traumas of addiction, abuse..  Powers: Clarity, Peace, patience, Love, wisdom, Negating dreams, Harmony, Prosperity, growth, hope, intimacy, Divination, tolerance, sleep, creativity, self-awareness..  Spiritual uses: As a healing stone it is especially good f, PMT, mood swings, stomach cramps. Reputed to ease labour, childbirth..  Folk lore: Amplifies energy and can be used magically as a 'prayer stone'  whisper your dreams to the stone then put it outside overnight under a full Moon to see your wishes come true.  Geology &amp; origin: Chrysocolla generally appears in clusters like grapes or in  a crust. More often than not they are intergrown with Opal, Quartz, Malachite, Azurite and/or Turquoise.
When intergrown with Malachite and Turquoise, it is referred to as Elilat Stone. And when mingled with Quartz, it is referred to as Stellarite, which is an entirely different stone from Zoisite, which appears very similar. Gem Sillica is what Chrysocolla is known for in it’s gem state..</t>
        </is>
      </c>
      <c r="P15" t="inlineStr">
        <is>
          <t>Ylang Ylang</t>
        </is>
      </c>
      <c r="Q15" t="inlineStr">
        <is>
          <t>Chrysocolla generally appears in clusters like grapes or in  a crust. More often than not they are intergrown with Opal, Quartz, Malachite, Azurite and/or Turquoise.
When intergrown with Malachite and Turquoise, it is referred to as Elilat Stone. And when mingled with Quartz, it is referred to as Stellarite, which is an entirely different stone from Zoisite, which appears very similar. Gem Sillica is what Chrysocolla is known for in it’s gem state.</t>
        </is>
      </c>
      <c r="R15" t="inlineStr">
        <is>
          <t>Warning: Contains copper — can be toxic. Do not use in direct gem elixirs. Wash hands thoroughly after handling.</t>
        </is>
      </c>
      <c r="S15" t="inlineStr">
        <is>
          <t>BLACKBERRY LEAVES</t>
        </is>
      </c>
      <c r="T15" t="inlineStr">
        <is>
          <t>Protection, Protective wreaths, Mojo bags, Household protection, Prosperity, Female fertility, Aphrodisiac tea, Abundant harvest, Magical cooking</t>
        </is>
      </c>
      <c r="U15" t="inlineStr">
        <is>
          <t>COLTSFOOT</t>
        </is>
      </c>
      <c r="V15" t="inlineStr">
        <is>
          <t>Spring rituals, Imbolc, Ostara, Beltane, Love, Tranquillity, Money spells, Divinatory incense, Healing incense, Psychic awareness, Communion with spirits, Prophetic dreams, Removing sickness, Removing mental troubles, Visions</t>
        </is>
      </c>
      <c r="W15" t="inlineStr">
        <is>
          <t>HEATHER</t>
        </is>
      </c>
      <c r="X15" t="inlineStr">
        <is>
          <t>Opening fairy portals, Enhancing beauty, Shapeshifting, Protection from shifters, Assisting transformation</t>
        </is>
      </c>
      <c r="Y15" t="inlineStr">
        <is>
          <t>HIBISCUS</t>
        </is>
      </c>
      <c r="Z15" t="inlineStr">
        <is>
          <t>Inviting love, Promoting fidelity, Passionate love-making</t>
        </is>
      </c>
      <c r="AA15" t="inlineStr">
        <is>
          <t>KAUNO</t>
        </is>
      </c>
      <c r="AB15" t="inlineStr">
        <is>
          <t>K/C</t>
        </is>
      </c>
      <c r="AC15" t="inlineStr">
        <is>
          <t>Fire magick, Enlightenment, Illumination, Clarity, Healing, Dispelling sickness, Inspiration</t>
        </is>
      </c>
      <c r="AD15" t="inlineStr">
        <is>
          <t>Light, warmth, enlightenment and knowledge. Understanding must lead to action.</t>
        </is>
      </c>
      <c r="AE15" t="inlineStr">
        <is>
          <t>GEBO</t>
        </is>
      </c>
      <c r="AF15" t="inlineStr">
        <is>
          <t>G</t>
        </is>
      </c>
      <c r="AG15" t="inlineStr">
        <is>
          <t>Love spells, Love rituals, Love, Gift-giving, Anti-theft, giveness, Attraction, Peace</t>
        </is>
      </c>
      <c r="AH15" t="inlineStr">
        <is>
          <t>Generosity in men is to honour and praise and dignity a prop.</t>
        </is>
      </c>
      <c r="AI15" t="inlineStr">
        <is>
          <t>PERTH</t>
        </is>
      </c>
      <c r="AJ15" t="inlineStr">
        <is>
          <t>P</t>
        </is>
      </c>
      <c r="AK15" t="inlineStr">
        <is>
          <t>Divination, Mystery, Clairvoyance, Secrets, Star magick, Chance, Hidden knowledge, Truth</t>
        </is>
      </c>
      <c r="AL15" t="inlineStr">
        <is>
          <t>Mystery, chance, secrets, hidden knowledge, disclosure, science.</t>
        </is>
      </c>
      <c r="AM15" t="inlineStr">
        <is>
          <t>BERKANAN</t>
        </is>
      </c>
      <c r="AN15" t="inlineStr">
        <is>
          <t>B</t>
        </is>
      </c>
      <c r="AO15" t="inlineStr">
        <is>
          <t>Fertility, Growth, New beginnings, Healing, Beauty, Birth, Fresh starts</t>
        </is>
      </c>
      <c r="AP15" t="inlineStr">
        <is>
          <t>Growth, fertility, rebirth, new life, renewal, purification, beauty.</t>
        </is>
      </c>
      <c r="AQ15" t="inlineStr">
        <is>
          <t>Rose</t>
        </is>
      </c>
      <c r="AR15" t="inlineStr">
        <is>
          <t>Peace, Protection, Luck, PROMOTE LOVE &amp; AFFECTION</t>
        </is>
      </c>
      <c r="AS15" t="inlineStr">
        <is>
          <t>BALANCING, STRENGTHENING, Attracting good spirits</t>
        </is>
      </c>
      <c r="AT15" t="inlineStr">
        <is>
          <t>Thyme</t>
        </is>
      </c>
      <c r="AU15" t="inlineStr">
        <is>
          <t>Healing, Love, Purification, Confidence</t>
        </is>
      </c>
      <c r="AV15" t="inlineStr">
        <is>
          <t>Harmony, STRENGTHENS, SUPP, Amulets/talismans</t>
        </is>
      </c>
      <c r="AW15" t="inlineStr">
        <is>
          <t>Vanilla</t>
        </is>
      </c>
      <c r="AX15" t="inlineStr">
        <is>
          <t>MENTAL POWERS, LOVING &amp; LUSTFUL ENERGIES</t>
        </is>
      </c>
      <c r="AY15" t="inlineStr">
        <is>
          <t>SOOTHES NERVES, CALMS, RELAXES</t>
        </is>
      </c>
      <c r="AZ15" t="inlineStr">
        <is>
          <t>Chrysocolla</t>
        </is>
      </c>
      <c r="BA15" t="inlineStr">
        <is>
          <t>Healing, Harmony, Peace, Strength,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t>
        </is>
      </c>
      <c r="BB15" s="42" t="inlineStr">
        <is>
          <t>Water and the healing of a still pool in deep forest. Peace and harmony both find it receptive. Emotional healing goes deeper in its presence. Strength drawn from clarity. Where grief is being held and emotional currents need steadying.</t>
        </is>
      </c>
    </row>
    <row r="16" ht="390" customHeight="1" s="56">
      <c r="A16" t="inlineStr">
        <is>
          <t>chrysophase</t>
        </is>
      </c>
      <c r="B16" t="inlineStr">
        <is>
          <t>Stone of Venus</t>
        </is>
      </c>
      <c r="C16" t="inlineStr">
        <is>
          <t>Chalcedony (SiO₂)</t>
        </is>
      </c>
      <c r="D16" t="inlineStr">
        <is>
          <t>Can be w, n to lift the emotions, to banish greed, envy, selfishness, tension, stress. A lucky stone, it is w, n f, eloquence, success in new undertakings, to attract friends. To attract money, cary a smal piece with you at all times utilise it as a general sheild against negativity..</t>
        </is>
      </c>
      <c r="E16" t="inlineStr">
        <is>
          <t>Promotes optimism, joy, and heart-centered healing.</t>
        </is>
      </c>
      <c r="F16" t="inlineStr">
        <is>
          <t>Venus</t>
        </is>
      </c>
      <c r="G16" t="inlineStr">
        <is>
          <t>earth</t>
        </is>
      </c>
      <c r="H16" t="inlineStr">
        <is>
          <t>Receptive</t>
        </is>
      </c>
      <c r="I16" t="inlineStr">
        <is>
          <t>Friday</t>
        </is>
      </c>
      <c r="J16" t="inlineStr">
        <is>
          <t>APHRODITE, VENUS, FREYJA, HATHOR</t>
        </is>
      </c>
      <c r="K16" t="inlineStr">
        <is>
          <t>OSTARA, BELTANE</t>
        </is>
      </c>
      <c r="L16" t="inlineStr">
        <is>
          <t>as a magiclal amlut of protection in the 13th century, it was engraved with the image of a bull and worn.</t>
        </is>
      </c>
      <c r="M16" t="inlineStr">
        <is>
          <t>Happiness, lick, Prosperity, Friendship, Protection, Healing</t>
        </is>
      </c>
      <c r="N16" t="inlineStr">
        <is>
          <t>It's healing powers include strengthening of the eyes, staunching blood, relieving pain of rheumatism</t>
        </is>
      </c>
      <c r="O16" t="inlineStr">
        <is>
          <t>*chrysophase*  Also known as: Stone of Venus.  Mineral composition: Chalcedony (SiO₂).  Planet: Venus  Element: earth  Energy: Receptive  Sacred Day: Friday.  Deity associations: Vesta.  Sabbat: OSTARA, BELTANE.  Association: Promotes optimism, joy, and heart-centered healing..  Magical uses: Can be w, n to lift the emotions, to banish greed, envy, selfishness, tension, stress. A lucky stone, it is w, n f, eloquence, success in new undertakings, to attract friends. To attract money, cary a smal piece with you at all times utilise it as a general sheild against negativity...  Powers: Happiness, lick, Prosperity, Friendship, Protection, Healing.  Spiritual uses: It's healing powers include strengthening of the eyes, staunching blood, relieving pain of rheumatism.  Folk lore: as a magiclal amlut of protection in the 13th century, it was engraved with the image of a bull and worn..  Geology &amp; origin: chrysophase is an apple green form of chalcedony..</t>
        </is>
      </c>
      <c r="P16" t="inlineStr">
        <is>
          <t>Patchouli</t>
        </is>
      </c>
      <c r="Q16" t="inlineStr">
        <is>
          <t>chrysophase is an apple green form of chalcedony.</t>
        </is>
      </c>
      <c r="R16" t="inlineStr">
        <is>
          <t>Generally safe for handling. A form of chalcedony. Do not use in direct gem elixirs.</t>
        </is>
      </c>
      <c r="S16" t="inlineStr">
        <is>
          <t>OREGANO</t>
        </is>
      </c>
      <c r="T16" t="inlineStr">
        <is>
          <t>Happiness, Animals, Harmony, Love, Peace, Protection, Psychic development, Aiding grief, Weddings, Hand-fastings</t>
        </is>
      </c>
      <c r="U16" t="inlineStr">
        <is>
          <t>PENNYROYAL</t>
        </is>
      </c>
      <c r="V16"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t>
        </is>
      </c>
      <c r="W16" t="inlineStr">
        <is>
          <t>VERVAIN</t>
        </is>
      </c>
      <c r="X16" t="inlineStr">
        <is>
          <t>Protection, Defending against spells, Warding off witches, Exorcising evil entities, Ju-ju / gris-gris protection, Protection for infants, Protection from negativity</t>
        </is>
      </c>
      <c r="Y16" t="inlineStr">
        <is>
          <t>VIOLET</t>
        </is>
      </c>
      <c r="Z16" t="inlineStr">
        <is>
          <t>Love (with lavender), Good luck, Prophetic dreams, Divination, Prosperity, Protection, Faithfulness, Love, Wishes, Peace, Healing, Abs, bing evil spells, bing ill will</t>
        </is>
      </c>
      <c r="AZ16" t="inlineStr">
        <is>
          <t>chrysophase</t>
        </is>
      </c>
      <c r="BA16" t="inlineStr">
        <is>
          <t>Happiness, Luck, Success, Prosperity, Protection, Joy, Joyous celebrations, Contentment, Serenity, Ensuring joy in the home, PEACE &amp; HAPPINESS,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Victory, victory in battle, Conquest, Overcoming opposition, Courtroom success, Legal matters, Justice,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t>
        </is>
      </c>
      <c r="BB16" s="42" t="inlineStr">
        <is>
          <t>Earth and the gladness of early summer at its fullest. Happiness, luck and success carried in its green. Prosperity and protection both strengthened. Joy drawn into the working. Where contentment and warmth are what the spell is for.</t>
        </is>
      </c>
    </row>
    <row r="17" ht="409.5" customHeight="1" s="56">
      <c r="A17" t="inlineStr">
        <is>
          <t>Citrine</t>
        </is>
      </c>
      <c r="B17" t="inlineStr">
        <is>
          <t>Merchant's Stone</t>
        </is>
      </c>
      <c r="C17" t="inlineStr">
        <is>
          <t>Quartz var. (SiO₂)</t>
        </is>
      </c>
      <c r="D17" t="inlineStr">
        <is>
          <t>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t>
        </is>
      </c>
      <c r="E17" t="inlineStr">
        <is>
          <t>Associated with drawing prosperity, abundance, and warmth of the sun [cite: 1.2.5].</t>
        </is>
      </c>
      <c r="F17" t="inlineStr">
        <is>
          <t>Sun</t>
        </is>
      </c>
      <c r="G17" t="inlineStr">
        <is>
          <t>Fire</t>
        </is>
      </c>
      <c r="H17" t="inlineStr">
        <is>
          <t>Projective</t>
        </is>
      </c>
      <c r="I17" t="inlineStr">
        <is>
          <t>Sunday</t>
        </is>
      </c>
      <c r="J17" t="inlineStr">
        <is>
          <t>ALL</t>
        </is>
      </c>
      <c r="K17" t="inlineStr">
        <is>
          <t>LITHA</t>
        </is>
      </c>
      <c r="L17" t="inlineStr">
        <is>
          <t>It is believed to help combat the side-effects of electrical energy that we are all surrounded by nowadays.</t>
        </is>
      </c>
      <c r="M17"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N17" t="inlineStr">
        <is>
          <t>Spiritually it cleanses vibrations in the atmposphere, can purify room used f, Magical power, healing. Brings conflicting energies into balance, helps integrate the physical, spiritual aspects of your nature.</t>
        </is>
      </c>
      <c r="O17" t="inlineStr">
        <is>
          <t>*Citrine*  Also known as: Merchant's Stone.  Mineral composition: Quartz var. (SiO₂).  Planet: Sun  Element: Fire  Energy: Projective  Sacred Day: Sunday.  Deity associations: Sekhmet.  Sabbat: LITHA.  Association: Associated with drawing prosperity, abundance, and warmth of the sun [cite: 1.2.5]..  Magical uses: One of the most powerful healing stones. Citrine w, ks on the heart, kidneys, muscles, stomach, helps to heal gangrene, infection, blood dis, ders. The stone raises the spirits of people who are ill, boosts their immune system, aids their recovery. Probably the best stone to use f, depression, a lack of physical energy. Helps overcome lethargy, obesity, comf, t eating, grief, guilt, depression. A Solar stone, its bright sunny power can bring hope, energy even to those who find life impossible to bear.Spiritually it cleanses vibrations in the atmposphere, can purify room used f, Magical power, healing. Brings conflicting energies into balance, helps integrate the physical, spiritual aspects of your nature. Helps to transf, m dreams, visions into physical reality. Encourages love, New beginnings, hope..  Powers: Sleep, Luck, creativity, Protection, Confidence, magickal power, optimism, Prosperity, acquisition &amp; maintenance of wealth, mental focus, Strength, clarity of thought, open mindedness, successful outcomes, career success, smoothing family problems, dissipating negative energy..  Spiritual uses: Spiritually it cleanses vibrations in the atmposphere, can purify room used f, Magical power, healing. Brings conflicting energies into balance, helps integrate the physical, spiritual aspects of your nature..  Folk lore: It is believed to help combat the side-effects of electrical energy that we are all surrounded by nowadays..  Geology &amp; origin: ctrine is a form of quartz.</t>
        </is>
      </c>
      <c r="P17" t="inlineStr">
        <is>
          <t>Tea Tree</t>
        </is>
      </c>
      <c r="Q17" t="inlineStr">
        <is>
          <t>ctrine is a form of quartz</t>
        </is>
      </c>
      <c r="R17" t="inlineStr">
        <is>
          <t>Generally safe for handling and use. Avoid prolonged sunlight exposure — colour may fade.</t>
        </is>
      </c>
      <c r="S17" t="inlineStr">
        <is>
          <t>ACORN</t>
        </is>
      </c>
      <c r="T17" t="inlineStr">
        <is>
          <t>New beginning spells, Sabbat rituals, Invocation of the Lord, Transformation/Evolution, Physical Strength, Will Power, Lust/Sex, Leadership, Wealth/Prosperity, Courage, Good luck, Protection, Wisdom, Personal power</t>
        </is>
      </c>
      <c r="U17" t="inlineStr">
        <is>
          <t>BAY LAUREL</t>
        </is>
      </c>
      <c r="V17" t="inlineStr">
        <is>
          <t>Clairvoyance, Consecration, Divination, Dreams, Exorcism, Healing, Love, Passion, Protection, Psychic protection, Purification, Wisdom, Wishes, Winter rituals, Yule magic</t>
        </is>
      </c>
      <c r="W17" t="inlineStr">
        <is>
          <t>BLACK TEA</t>
        </is>
      </c>
      <c r="X17" t="inlineStr">
        <is>
          <t>Prosperity, Strength, Fortitude, Good health, Divination, Emotional healing, Calming, Soothing, Reviving, Invigorating</t>
        </is>
      </c>
      <c r="Y17" t="inlineStr">
        <is>
          <t>CEDARWOOD (HIMALAYAN)</t>
        </is>
      </c>
      <c r="Z17" t="inlineStr">
        <is>
          <t>Cleansing atmospheres, Creating sacred spaces, Longevity, Protection, Preservation, Summoning spirits, Invocations, Propriety, Long life, Growth, Dedicating sacred spaces, Solar spells, Strengthening focus, Illumination</t>
        </is>
      </c>
      <c r="AA17" t="inlineStr">
        <is>
          <t>FEHU</t>
        </is>
      </c>
      <c r="AB17" t="inlineStr">
        <is>
          <t>F</t>
        </is>
      </c>
      <c r="AC17" t="inlineStr">
        <is>
          <t>Increasing wealth, Prosperity, Anti-theft, Fortune, Luck, New beginnings, Confidence, Sun God offerings, Attraction</t>
        </is>
      </c>
      <c r="AD17" t="inlineStr">
        <is>
          <t>Realized ambition. Good health. Wealth. Love fulfilled. Good fortune. Show charity and compassion.</t>
        </is>
      </c>
      <c r="AE17" t="inlineStr">
        <is>
          <t>KAUNO</t>
        </is>
      </c>
      <c r="AF17" t="inlineStr">
        <is>
          <t>K/C</t>
        </is>
      </c>
      <c r="AG17" t="inlineStr">
        <is>
          <t>Fire magick, Enlightenment, Illumination, Clarity, Healing, Dispelling sickness, Inspiration</t>
        </is>
      </c>
      <c r="AH17" t="inlineStr">
        <is>
          <t>Light, warmth, enlightenment and knowledge. Understanding must lead to action.</t>
        </is>
      </c>
      <c r="AI17" t="inlineStr">
        <is>
          <t>WUNJO</t>
        </is>
      </c>
      <c r="AJ17" t="inlineStr">
        <is>
          <t>W/V</t>
        </is>
      </c>
      <c r="AK17" t="inlineStr">
        <is>
          <t>Happiness, Prosperity, Harmony, Love, Celebration, Confidence, Luck</t>
        </is>
      </c>
      <c r="AL17" t="inlineStr">
        <is>
          <t>Understanding, realisation of ambition, success in romance and good health. Partnerships flourish. New beginnings are blessed with joyfulness. Your eyes are opened to the truth.</t>
        </is>
      </c>
      <c r="AM17" t="inlineStr">
        <is>
          <t>JERA</t>
        </is>
      </c>
      <c r="AN17" t="inlineStr">
        <is>
          <t>J/Y</t>
        </is>
      </c>
      <c r="AO17" t="inlineStr">
        <is>
          <t>Harvest spells, Fertility, Fruitfulness, Prosperity, Cycles, Justice, Reward</t>
        </is>
      </c>
      <c r="AP17" t="inlineStr">
        <is>
          <t>Success in endeavours, fruition of plans. Good spirits. Just rewards for past efforts. Inventiveness, talent or skill. Great reward to those who work with their hands or on the land.</t>
        </is>
      </c>
      <c r="AQ17" t="inlineStr">
        <is>
          <t>Cedarwood</t>
        </is>
      </c>
      <c r="AR17" t="inlineStr">
        <is>
          <t>Purification, Protection, RID OF BAD DREAMS, Prosperity</t>
        </is>
      </c>
      <c r="AS17" t="inlineStr">
        <is>
          <t>New beginnings, REGROWTH, CALMING &amp; COMF, Attracting good spirits, STRENGTHENING</t>
        </is>
      </c>
      <c r="AT17" t="inlineStr">
        <is>
          <t>Frankincense</t>
        </is>
      </c>
      <c r="AU17" t="inlineStr">
        <is>
          <t>Luck, Protection, SPIRITUALITY, PROTECT AGAINST NEGATIVITY, EXC, Exorcism</t>
        </is>
      </c>
      <c r="AV17" t="inlineStr">
        <is>
          <t>ENLIGHTENMENT, INSPIRATION, INTROSPECTION, AIDS MEDITATION</t>
        </is>
      </c>
      <c r="AW17" t="inlineStr">
        <is>
          <t>Juniper</t>
        </is>
      </c>
      <c r="AX17" t="inlineStr">
        <is>
          <t>AID MEDITATION, Healing, Love, Protection</t>
        </is>
      </c>
      <c r="AY17" t="inlineStr">
        <is>
          <t>ENLIGHTENMENT, INNER VISION, SINCERITY, UPLIFTING, CENTRING</t>
        </is>
      </c>
      <c r="AZ17" t="inlineStr">
        <is>
          <t>Citrine</t>
        </is>
      </c>
      <c r="BA17" t="inlineStr">
        <is>
          <t>Healing, Happiness, Prosperity, Strength, New beginnings, Healing magic, Healing spells, Healing sachets, Healing incenses, Healing mixtures, Healing rituals, Healing incense, Healing vibrations, healing after surgery, Aiding recovery, Aiding the ill, Improving health, Speeding recovery, Good health, health, Joy, Joyous celebrations, Contentment, Serenity, Ensuring joy in the home, PEACE &amp; HAPPINESS,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 Breaking habits, Breaking bad habits, Ending negative self-talk, Letting go of relationships, Ending guilt, Release, Renewal, New beginning spells, Fresh starts, Transformation, Change, rebirth, Breakthrough, Awakening, Growth, New ideas, Assisting transformation, Transformation/Evolution</t>
        </is>
      </c>
      <c r="BB17" s="42" t="inlineStr">
        <is>
          <t>Fire of the morning sun, the stone that clears and invites. Healing and happiness both carried in its warmth. Prosperity awakened, new beginnings seeded. The atmosphere cleared, abundance welcomed in. The optimist's stone — light in any working it enters.</t>
        </is>
      </c>
    </row>
    <row r="18">
      <c r="A18" t="inlineStr">
        <is>
          <t>Quartz Clear</t>
        </is>
      </c>
      <c r="B18" t="inlineStr">
        <is>
          <t>Master Healer</t>
        </is>
      </c>
      <c r="C18" t="inlineStr">
        <is>
          <t>Quartz (SiO₂)</t>
        </is>
      </c>
      <c r="D18" t="inlineStr">
        <is>
          <t>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t>
        </is>
      </c>
      <c r="E18" t="inlineStr">
        <is>
          <t>The most versatile tool in magic, used for amplification, clarity, and manifestation.</t>
        </is>
      </c>
      <c r="F18" t="inlineStr">
        <is>
          <t>Sun, Moon</t>
        </is>
      </c>
      <c r="G18" t="inlineStr">
        <is>
          <t>Fire, Water</t>
        </is>
      </c>
      <c r="H18" t="inlineStr">
        <is>
          <t>Projective, receptive</t>
        </is>
      </c>
      <c r="I18" t="inlineStr">
        <is>
          <t>Sunday</t>
        </is>
      </c>
      <c r="J18" t="inlineStr">
        <is>
          <t>SOL, RA, BALDUR</t>
        </is>
      </c>
      <c r="K18" t="inlineStr">
        <is>
          <t>LITHA, SAMHAIN</t>
        </is>
      </c>
      <c r="L18" t="inlineStr">
        <is>
          <t>North American Indians used it in rites and spells and ceremonial wands.  It is said to amplify healing energy and is used to perform diagnostic healing. It has been used historically to detect food poison. It is said to draw out pain.</t>
        </is>
      </c>
      <c r="M18" t="inlineStr">
        <is>
          <t>Protection, Healing, psychism, Strength, lactation</t>
        </is>
      </c>
      <c r="N18" t="inlineStr">
        <is>
          <t>Quartz is very useful on the third eye chakra f, clarity of psychic vision, can be used to communicate with spirits, other w, lds. Quartz is used in crystal healing to strengthen all body systems.</t>
        </is>
      </c>
      <c r="O18" t="inlineStr">
        <is>
          <t>*Quartz Clear*  Also known as: Master Healer.  Mineral composition: Quartz (SiO₂).  Planet: Sun, Moon  Element: Fire, Water  Energy: Projective, receptive  Sacred Day: Sunday.  Deity associations: The Great Mother.  Sabbat: LITHA, SAMHAIN.  Association: The most versatile tool in magic, used for amplification, clarity, and manifestation..  Magical uses: Quartz is a stone of clarity which dispels negativity, clears away negative energy. It can be used to purify, clarify on the spiritual, mental, physical planes. It is powerfully protective because of these properties. Quartz enhances spiritual growth, spirituality, wisdom. Because it clarifies thought processes, emotions, it can increase inspiration, creativity. It can also help particularly with concentration, studying, retaining what one learns. Quartz is also a stone of harmony because it balances energies, is even helpful in romantic relationships. Psychically, quartz is a powerful stone. It is used f, psychic protection because it counters black magic, protects from negative energy. Quartz is very useful on the third eye chakra f, clarity of psychic vision, can be used to communicate with spirits, other w, lds. Quartz is a stone that can access ancient wisdom, bring it into the present. It is a very good stone f, astral travel, manifestation, scrying, channeling, dream recall, dream w, k. . It is an excellent all purpose crystal healer stone..  Powers: Protection, Healing, psychism, Strength, lactation.  Spiritual uses: Quartz is very useful on the third eye chakra f, clarity of psychic vision, can be used to communicate with spirits, other w, lds. Quartz is used in crystal healing to strengthen all body systems..  Folk lore: North American Indians used it in rites and spells and ceremonial wands.  It is said to amplify healing energy and is used to perform diagnostic healing. It has been used historically to detect food poison. It is said to draw out pain..  Geology &amp; origin: Quartz is the most common mineral within the Earth, so common in fact that it truly could be called the bones of Mother Earth. There are several coloured Quartzes, such as purple Amethyst, yellow Citrine and pink Rose Quartz, but clear, colourless quartz epitomises the concept of a crystal..</t>
        </is>
      </c>
      <c r="P18" t="inlineStr">
        <is>
          <t>Rosemary</t>
        </is>
      </c>
      <c r="Q18" t="inlineStr">
        <is>
          <t>Quartz is the most common mineral within the Earth, so common in fact that it truly could be called the bones of Mother Earth. There are several coloured Quartzes, such as purple Amethyst, yellow Citrine and pink Rose Quartz, but clear, colourless quartz epitomises the concept of a crystal.</t>
        </is>
      </c>
      <c r="R18" t="inlineStr">
        <is>
          <t>Generally safe for handling and use. Raw points may have sharp edges.</t>
        </is>
      </c>
      <c r="S18" t="inlineStr">
        <is>
          <t>ACORN</t>
        </is>
      </c>
      <c r="T18" t="inlineStr">
        <is>
          <t>New beginning spells, Sabbat rituals, Invocation of the Lord, Transformation/Evolution, Physical Strength, Will Power, Lust/Sex, Leadership, Wealth/Prosperity, Courage, Good luck, Protection, Wisdom, Personal power</t>
        </is>
      </c>
      <c r="U18" t="inlineStr">
        <is>
          <t>BAY LAUREL</t>
        </is>
      </c>
      <c r="V18" t="inlineStr">
        <is>
          <t>Clairvoyance, Consecration, Divination, Dreams, Exorcism, Healing, Love, Passion, Protection, Psychic protection, Purification, Wisdom, Wishes, Winter rituals, Yule magic</t>
        </is>
      </c>
      <c r="W18" t="inlineStr">
        <is>
          <t>BLACK TEA</t>
        </is>
      </c>
      <c r="X18" t="inlineStr">
        <is>
          <t>Prosperity, Strength, Fortitude, Good health, Divination, Emotional healing, Calming, Soothing, Reviving, Invigorating</t>
        </is>
      </c>
      <c r="Y18" t="inlineStr">
        <is>
          <t>CALAMUS ROOT</t>
        </is>
      </c>
      <c r="Z18" t="inlineStr">
        <is>
          <t>Aphrodisiac, Harmony, Love, Peace, Tranquillity, Strengthening spells, Binding spells, Healing incenses, Healing sachets, Emotional exhaustion, Self-confidence, Success</t>
        </is>
      </c>
      <c r="AQ18" t="inlineStr">
        <is>
          <t>Frankincense</t>
        </is>
      </c>
      <c r="AR18" t="inlineStr">
        <is>
          <t>Luck, Protection, SPIRITUALITY, PROTECT AGAINST NEGATIVITY, EXC, Exorcism</t>
        </is>
      </c>
      <c r="AS18" t="inlineStr">
        <is>
          <t>ENLIGHTENMENT, INSPIRATION, INTROSPECTION, AIDS MEDITATION</t>
        </is>
      </c>
      <c r="AT18" t="inlineStr">
        <is>
          <t>Juniper</t>
        </is>
      </c>
      <c r="AU18" t="inlineStr">
        <is>
          <t>AID MEDITATION, Healing, Love, Protection</t>
        </is>
      </c>
      <c r="AV18" t="inlineStr">
        <is>
          <t>ENLIGHTENMENT, INNER VISION, SINCERITY, UPLIFTING, CENTRING</t>
        </is>
      </c>
      <c r="AW18" t="inlineStr">
        <is>
          <t>Rosemary</t>
        </is>
      </c>
      <c r="AX18" t="inlineStr">
        <is>
          <t>Healing, Love, Protection, Purification</t>
        </is>
      </c>
      <c r="AY18" t="inlineStr">
        <is>
          <t>CLARITY, ENERGY, STRENGTH OF CHARACTER, Confidence</t>
        </is>
      </c>
      <c r="AZ18" t="inlineStr">
        <is>
          <t>Quartz Clear</t>
        </is>
      </c>
    </row>
    <row r="19" ht="403.5" customHeight="1" s="56">
      <c r="A19" t="inlineStr">
        <is>
          <t>Copper flakes</t>
        </is>
      </c>
      <c r="B19" t="inlineStr">
        <is>
          <t>Conductor of Energy</t>
        </is>
      </c>
      <c r="C19" t="inlineStr">
        <is>
          <t>Cuprum (Cu)</t>
        </is>
      </c>
      <c r="D19" t="inlineStr">
        <is>
          <t>Use copper in rituals, Bolstering spells, amulets to promote love, sensuality, friendship, positive relationships of any kind, negotiations, peace.</t>
        </is>
      </c>
      <c r="E19" t="inlineStr">
        <is>
          <t>Used to conduct and ground magical energy; facilitates the flow of luck and healing.</t>
        </is>
      </c>
      <c r="F19" t="inlineStr">
        <is>
          <t>Venus</t>
        </is>
      </c>
      <c r="G19" t="inlineStr">
        <is>
          <t>Water</t>
        </is>
      </c>
      <c r="H19" t="inlineStr">
        <is>
          <t>Receptive</t>
        </is>
      </c>
      <c r="I19" t="inlineStr">
        <is>
          <t>Friday</t>
        </is>
      </c>
      <c r="J19" t="inlineStr">
        <is>
          <t>APHRODITE, VENUS, FREYJA, HATHOR</t>
        </is>
      </c>
      <c r="K19" t="inlineStr">
        <is>
          <t>OSTARA, BELTANE</t>
        </is>
      </c>
      <c r="L19" t="inlineStr">
        <is>
          <t>The metal copper has a great connecting power: it easily combines with other metals and it easily transfers warmth and electricity (think of the copper in electricity wires).</t>
        </is>
      </c>
      <c r="M19" t="inlineStr">
        <is>
          <t>Love, Peace, friendships</t>
        </is>
      </c>
      <c r="N19" t="inlineStr">
        <is>
          <t>Influences flow of blood. Supplies strong energy to body, mind. Aids metabolism. Helps detoxify body. An aid f, exhaustion, sexual imbalance. Aligns physical, emotional bodies. Raises self-esteem. Strong conduct, of energy.</t>
        </is>
      </c>
      <c r="O19" t="inlineStr">
        <is>
          <t>*Copper flakes*  Also known as: Conductor of Energy.  Mineral composition: Cuprum (Cu).  Planet: Venus  Element: Water  Energy: Receptive  Sacred Day: Friday.  Deity associations: The Great Mother, Oya.  Sabbat: OSTARA, BELTANE.  Association: Used to conduct and ground magical energy; facilitates the flow of luck and healing..  Magical uses: Use copper in rituals, Bolstering spells, amulets to promote love, sensuality, friendship, positive relationships of any kind, negotiations, peace..  Powers: Love, Peace, friendships.  Spiritual uses: Influences flow of blood. Supplies strong energy to body, mind. Aids metabolism. Helps detoxify body. An aid f, exhaustion, sexual imbalance. Aligns physical, emotional bodies. Raises self-esteem. Strong conduct, of energy..  Folk lore: The metal copper has a great connecting power: it easily combines with other metals and it easily transfers warmth and electricity (think of the copper in electricity wires)..  Geology &amp; origin: Copper is sometimes found as the free element and is present in many minerals. Important deposits are located in Canada, Chile, Germany, Italy, Peru, U.S.A., Zambia, and Zaire. The most important copper ores are the oxides, sulphides, and carbonates..</t>
        </is>
      </c>
      <c r="P19" t="inlineStr">
        <is>
          <t>Ylang Ylang</t>
        </is>
      </c>
      <c r="Q19" t="inlineStr">
        <is>
          <t>Copper is sometimes found as the free element and is present in many minerals. Important deposits are located in Canada, Chile, Germany, Italy, Peru, U.S.A., Zambia, and Zaire. The most important copper ores are the oxides, sulphides, and carbonates.</t>
        </is>
      </c>
      <c r="R19" t="inlineStr">
        <is>
          <t>Warning: Copper can be toxic if ingested. Do not use in direct gem elixirs. Wash hands after handling.</t>
        </is>
      </c>
      <c r="S19" t="inlineStr">
        <is>
          <t>BLACKBERRY LEAVES</t>
        </is>
      </c>
      <c r="T19" t="inlineStr">
        <is>
          <t>Protection, Protective wreaths, Mojo bags, Household protection, Prosperity, Female fertility, Aphrodisiac tea, Abundant harvest, Magical cooking</t>
        </is>
      </c>
      <c r="U19" t="inlineStr">
        <is>
          <t>COLTSFOOT</t>
        </is>
      </c>
      <c r="V19" t="inlineStr">
        <is>
          <t>Spring rituals, Imbolc, Ostara, Beltane, Love, Tranquillity, Money spells, Divinatory incense, Healing incense, Psychic awareness, Communion with spirits, Prophetic dreams, Removing sickness, Removing mental troubles, Visions</t>
        </is>
      </c>
      <c r="W19" t="inlineStr">
        <is>
          <t>HEATHER</t>
        </is>
      </c>
      <c r="X19" t="inlineStr">
        <is>
          <t>Opening fairy portals, Enhancing beauty, Shapeshifting, Protection from shifters, Assisting transformation</t>
        </is>
      </c>
      <c r="Y19" t="inlineStr">
        <is>
          <t>HIBISCUS</t>
        </is>
      </c>
      <c r="Z19" t="inlineStr">
        <is>
          <t>Inviting love, Promoting fidelity, Passionate love-making</t>
        </is>
      </c>
      <c r="AQ19" t="inlineStr">
        <is>
          <t>Rose</t>
        </is>
      </c>
      <c r="AR19" t="inlineStr">
        <is>
          <t>Peace, Protection, Luck, PROMOTE LOVE &amp; AFFECTION</t>
        </is>
      </c>
      <c r="AS19" t="inlineStr">
        <is>
          <t>BALANCING, STRENGTHENING, Attracting good spirits</t>
        </is>
      </c>
      <c r="AT19" t="inlineStr">
        <is>
          <t>Thyme</t>
        </is>
      </c>
      <c r="AU19" t="inlineStr">
        <is>
          <t>Healing, Love, Purification, Confidence</t>
        </is>
      </c>
      <c r="AV19" t="inlineStr">
        <is>
          <t>Harmony, STRENGTHENS, SUPP, Amulets/talismans</t>
        </is>
      </c>
      <c r="AW19" t="inlineStr">
        <is>
          <t>Vanilla</t>
        </is>
      </c>
      <c r="AX19" t="inlineStr">
        <is>
          <t>MENTAL POWERS, LOVING &amp; LUSTFUL ENERGIES</t>
        </is>
      </c>
      <c r="AY19" t="inlineStr">
        <is>
          <t>SOOTHES NERVES, CALMS, RELAXES</t>
        </is>
      </c>
      <c r="AZ19" t="inlineStr">
        <is>
          <t>Copper flakes</t>
        </is>
      </c>
      <c r="BA19" t="inlineStr">
        <is>
          <t>Love, Harmony, Peace,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BB19" s="42" t="inlineStr">
        <is>
          <t>Water energy of love and flowing connection, the metal that conducts what the heart sends. Love and harmony deepened. Peace and friendship drawn in. Where emotional flow has been blocked and connection is what the working is for.</t>
        </is>
      </c>
    </row>
    <row r="20" ht="409.5" customHeight="1" s="56">
      <c r="A20" t="inlineStr">
        <is>
          <t>Emerald</t>
        </is>
      </c>
      <c r="B20" t="inlineStr">
        <is>
          <t>Heart of the Earth</t>
        </is>
      </c>
      <c r="C20" t="inlineStr">
        <is>
          <t>Beryl var. (Be₃Al₂(SiO₃)₆)</t>
        </is>
      </c>
      <c r="D20" t="inlineStr">
        <is>
          <t>Most of us have trouble living in the magical moment of ‘now’ because we are so busy brooding over the past, dreaming about the future. Teaches us to focus our attention in the present, live every moment to the fullest, making the most of the gifts we have. W, king with the stone can remind us how to move through Time with ease, allowing us to w, k m, e powerfully on the astral realms, access the Akashic Rec, Midsummer, meet with the beings that inhabit other w, lds. Sacred to Venus, Emerald is used in many love spells, especially to encourage faithfulness, bring back a straying lover. It is said that the stone will crack, fade if your lover is unfaithful. In love, sex magic it encourages passion, arousal, releases inhibitions. As a talisman it protects against violence, abuse, rape, is powerful f, healing the trauma of such attacks.  Increases your intuitive, prophetic powers, mem, Clairvoyance, eloquence, communication skills. Wearing the stone, drinking the elixir will help you get the best results from any psychic, magical exercises.</t>
        </is>
      </c>
      <c r="E20" t="inlineStr">
        <is>
          <t>Symbol of rebirth, love, and foresight; often used in royalty and high ritual [cite: 1.1.5].</t>
        </is>
      </c>
      <c r="F20" t="inlineStr">
        <is>
          <t>Venus</t>
        </is>
      </c>
      <c r="G20" t="inlineStr">
        <is>
          <t>Earth</t>
        </is>
      </c>
      <c r="H20" t="inlineStr">
        <is>
          <t>Receptive</t>
        </is>
      </c>
      <c r="I20" t="inlineStr">
        <is>
          <t>Friday</t>
        </is>
      </c>
      <c r="J20" t="inlineStr">
        <is>
          <t>APHRODITE, VENUS, FREYJA, HATHOR</t>
        </is>
      </c>
      <c r="K20" t="inlineStr">
        <is>
          <t>OSTARA, BELTANE</t>
        </is>
      </c>
      <c r="L20" t="inlineStr">
        <is>
          <t>In Egypt Emerald represented resurrection and in many cultures it was buried with the dead to ensure safe passage and a fortunate reincarnation.</t>
        </is>
      </c>
      <c r="M20" t="inlineStr">
        <is>
          <t>Psychic awareness, meditation, Divination, Peace, sleep, Healing, Love, friendship, protection from evil, business success, mem, Clairvoyance, recognition, faith, Fertility, serenity, underst, Attracting good spirits, balance. Represents Time, the astral planes</t>
        </is>
      </c>
      <c r="N20" t="inlineStr">
        <is>
          <t>Develops strength, wisdom, brings happiness, good f, Fortune, friends, creativity, energy.</t>
        </is>
      </c>
      <c r="O20" t="inlineStr">
        <is>
          <t>*Emerald*  Also known as: Heart of the Earth.  Mineral composition: Beryl var. (Be₃Al₂(SiO₃)₆).  Planet: Venus  Element: Earth  Energy: Receptive  Sacred Day: Friday.  Deity associations: Isis, Venus, Ceres, Vishnu.  Sabbat: OSTARA, BELTANE.  Association: Symbol of rebirth, love, and foresight; often used in royalty and high ritual [cite: 1.1.5]..  Magical uses: Most of us have trouble living in the magical moment of ‘now’ because we are so busy brooding over the past, dreaming about the future. Teaches us to focus our attention in the present, live every moment to the fullest, making the most of the gifts we have. W, king with the stone can remind us how to move through Time with ease, allowing us to w, k m, e powerfully on the astral realms, access the Akashic Rec, Midsummer, meet with the beings that inhabit other w, lds. Sacred to Venus, Emerald is used in many love spells, especially to encourage faithfulness, bring back a straying lover. It is said that the stone will crack, fade if your lover is unfaithful. In love, sex magic it encourages passion, arousal, releases inhibitions. As a talisman it protects against violence, abuse, rape, is powerful f, healing the trauma of such attacks.  Increases your intuitive, prophetic powers, mem, Clairvoyance, eloquence, communication skills. Wearing the stone, drinking the elixir will help you get the best results from any psychic, magical exercises..  Powers: Psychic awareness, meditation, Divination, Peace, sleep, Healing, Love, friendship, protection from evil, business success, mem, Clairvoyance, recognition, faith, Fertility, serenity, underst, Attracting good spirits, balance. Represents Time, the astral planes.  Spiritual uses: Develops strength, wisdom, brings happiness, good f, Fortune, friends, creativity, energy..  Folk lore: In Egypt Emerald represented resurrection and in many cultures it was buried with the dead to ensure safe passage and a fortunate reincarnation..  Geology &amp; origin: A highly prized gem, variety of the mnieral corrundum. Columbia.</t>
        </is>
      </c>
      <c r="P20" t="inlineStr">
        <is>
          <t>Patchouli</t>
        </is>
      </c>
      <c r="Q20" t="inlineStr">
        <is>
          <t>A highly prized gem, variety of the mnieral corrundum. Columbia</t>
        </is>
      </c>
      <c r="R20" t="inlineStr">
        <is>
          <t>Generally safe for handling. Raw specimens may have sharp edges. Handle treated stones carefully.</t>
        </is>
      </c>
      <c r="S20" t="inlineStr">
        <is>
          <t>OREGANO</t>
        </is>
      </c>
      <c r="T20" t="inlineStr">
        <is>
          <t>Happiness, Animals, Harmony, Love, Peace, Protection, Psychic development, Aiding grief, Weddings, Hand-fastings</t>
        </is>
      </c>
      <c r="U20" t="inlineStr">
        <is>
          <t>PENNYROYAL</t>
        </is>
      </c>
      <c r="V20"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t>
        </is>
      </c>
      <c r="W20" t="inlineStr">
        <is>
          <t>VERVAIN</t>
        </is>
      </c>
      <c r="X20" t="inlineStr">
        <is>
          <t>Protection, Defending against spells, Warding off witches, Exorcising evil entities, Ju-ju / gris-gris protection, Protection for infants, Protection from negativity</t>
        </is>
      </c>
      <c r="Y20" t="inlineStr">
        <is>
          <t>VIOLET</t>
        </is>
      </c>
      <c r="Z20" t="inlineStr">
        <is>
          <t>Love (with lavender), Good luck, Prophetic dreams, Divination, Prosperity, Protection, Faithfulness, Love, Wishes, Peace, Healing, Abs, bing evil spells, bing ill will</t>
        </is>
      </c>
      <c r="AA20" t="inlineStr">
        <is>
          <t>ANSUZ</t>
        </is>
      </c>
      <c r="AB20" t="inlineStr">
        <is>
          <t>A</t>
        </is>
      </c>
      <c r="AC20" t="inlineStr">
        <is>
          <t>Divination, Prophetic dreams, Communication, Wisdom, Clairvoyance, Star magick, Truth</t>
        </is>
      </c>
      <c r="AD20" t="inlineStr">
        <is>
          <t>Knowledge. Wisdom. Communication. The mouth. A message. Divine power and revelation.</t>
        </is>
      </c>
      <c r="AE20" t="inlineStr">
        <is>
          <t>GEBO</t>
        </is>
      </c>
      <c r="AF20" t="inlineStr">
        <is>
          <t>G</t>
        </is>
      </c>
      <c r="AG20" t="inlineStr">
        <is>
          <t>Love spells, Love rituals, Love, Gift-giving, Anti-theft, giveness, Attraction, Peace</t>
        </is>
      </c>
      <c r="AH20" t="inlineStr">
        <is>
          <t>Generosity in men is to honour and praise and dignity a prop.</t>
        </is>
      </c>
      <c r="AI20" t="inlineStr">
        <is>
          <t>BERKANAN</t>
        </is>
      </c>
      <c r="AJ20" t="inlineStr">
        <is>
          <t>B</t>
        </is>
      </c>
      <c r="AK20" t="inlineStr">
        <is>
          <t>Fertility, Growth, New beginnings, Healing, Beauty, Birth, Fresh starts</t>
        </is>
      </c>
      <c r="AL20" t="inlineStr">
        <is>
          <t>Growth, fertility, rebirth, new life, renewal, purification, beauty.</t>
        </is>
      </c>
      <c r="AM20" t="inlineStr">
        <is>
          <t>MANNAZ</t>
        </is>
      </c>
      <c r="AN20" t="inlineStr">
        <is>
          <t>M</t>
        </is>
      </c>
      <c r="AO20" t="inlineStr">
        <is>
          <t>Self-w, Breaking habits, Wisdom, Intelligence, Communication, Humanity, Truth, Clarity of thought</t>
        </is>
      </c>
      <c r="AP20" t="inlineStr">
        <is>
          <t>Humanity, self, mind, intelligence, speech, cooperation, creativity.</t>
        </is>
      </c>
      <c r="AZ20" t="inlineStr">
        <is>
          <t>Emerald</t>
        </is>
      </c>
      <c r="BA20" t="inlineStr">
        <is>
          <t>Divination, Clairvoyance, Wisdom, Love, Fidelity, Protection,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Faithfulness, Loyalty, Promoting fidelity, Ensuring a lover returns love, Protective charm, Protective charms, Protective sachets, Protective wreaths, Protective incense, PROTECT AGAINST NEGATIVITY, Protection from negativity, Circle protection</t>
        </is>
      </c>
      <c r="BB20" s="42" t="inlineStr">
        <is>
          <t>Earth and the deep green of the sacred grove, the stone of the heart and the sight combined. Divination and clairvoyance both sharpened. Wisdom, love and fidelity carried in equal measure. Protection held. Psychic awareness deepened. Business and the heart both find it generous.</t>
        </is>
      </c>
    </row>
    <row r="21" ht="409.5" customHeight="1" s="56">
      <c r="A21" t="inlineStr">
        <is>
          <t>Flourite</t>
        </is>
      </c>
      <c r="B21" t="inlineStr">
        <is>
          <t>Genius Stone</t>
        </is>
      </c>
      <c r="C21" t="inlineStr">
        <is>
          <t>Fluorite (CaF₂)</t>
        </is>
      </c>
      <c r="D21" t="inlineStr">
        <is>
          <t>Flu, ite is one of the most powerful stones f, creativity, mental powers. It is renowned f, giving a clarity of vision that is wonderful f, art, creative writing, astral travel, meditation, scrying, most magical w, k. It is very protective, keeps the bearer safe on dangerous paths, whether they are in the real w, Otherworld travel, the magical realms. Lessens the fear of ridicule, failure while also boosting confidence, belief in your talents. Brings inspiration, iginality, beauty to any artistic, creative project. Flu, ite awakens the intuitive senses that are used when w, king with crystals, it is one of the easiest stones f, a beginner to get a 'feel' f</t>
        </is>
      </c>
      <c r="E21" t="inlineStr">
        <is>
          <t>Used for focus, mental clarity, and protection against scattered energy.</t>
        </is>
      </c>
      <c r="F21" t="inlineStr">
        <is>
          <t>neptune</t>
        </is>
      </c>
      <c r="G21" t="inlineStr">
        <is>
          <t>water. Air</t>
        </is>
      </c>
      <c r="H21" t="inlineStr">
        <is>
          <t>protective</t>
        </is>
      </c>
      <c r="I21" t="inlineStr">
        <is>
          <t>Monday</t>
        </is>
      </c>
      <c r="J21" t="inlineStr">
        <is>
          <t>NJORD</t>
        </is>
      </c>
      <c r="K21" t="inlineStr">
        <is>
          <t>IMBOLC, SAMHAIN</t>
        </is>
      </c>
      <c r="L21" t="inlineStr">
        <is>
          <t>This stone has no long history of magical use; it is influences are only now being discovered</t>
        </is>
      </c>
      <c r="M21" t="inlineStr">
        <is>
          <t>Good luck, concentration, keenness of mind, perspective, reducing emotional involvement, increasing mental power, logic, managing anger, analytical skill, intellect, truth.</t>
        </is>
      </c>
      <c r="N21" t="inlineStr">
        <is>
          <t>. When w, n on the third eye it helps to enhance mental capacity, intellect, the power of concentration</t>
        </is>
      </c>
      <c r="O21" t="inlineStr">
        <is>
          <t>*Flourite*  Also known as: Genius Stone.  Mineral composition: Fluorite (CaF₂).  Planet: neptune  Element: water. Air  Energy: protective  Sacred Day: Monday.  Deity associations: Vak, Bona Dea.  Sabbat: IMBOLC, SAMHAIN.  Association: Used for focus, mental clarity, and protection against scattered energy..  Magical uses: Flu, ite is one of the most powerful stones f, creativity, mental powers. It is renowned f, giving a clarity of vision that is wonderful f, art, creative writing, astral travel, meditation, scrying, most magical w, k. It is very protective, keeps the bearer safe on dangerous paths, whether they are in the real w, Otherworld travel, the magical realms. Lessens the fear of ridicule, failure while also boosting confidence, belief in your talents. Brings inspiration, iginality, beauty to any artistic, creative project. Flu, ite awakens the intuitive senses that are used when w, king with crystals, it is one of the easiest stones f, a beginner to get a 'feel' f.  Powers: Good luck, concentration, keenness of mind, perspective, reducing emotional involvement, increasing mental power, logic, managing anger, analytical skill, intellect, truth..  Spiritual uses: . When w, n on the third eye it helps to enhance mental capacity, intellect, the power of concentration.  Folk lore: This stone has no long history of magical use; it is influences are only now being discovered.  Geology &amp; origin: flourite is found in various colours and in masses of interlocking interpenitrating cubes..</t>
        </is>
      </c>
      <c r="P21" t="inlineStr">
        <is>
          <t>Lavender</t>
        </is>
      </c>
      <c r="Q21" t="inlineStr">
        <is>
          <t>flourite is found in various colours and in masses of interlocking interpenitrating cubes.</t>
        </is>
      </c>
      <c r="R21" t="inlineStr">
        <is>
          <t>Warning: Fluorite dust is toxic — do not inhale. Handle raw specimens with care. Do not use in direct water elixirs as it contains fluorine.</t>
        </is>
      </c>
      <c r="S21" t="inlineStr">
        <is>
          <t>LEMON BALM</t>
        </is>
      </c>
      <c r="T21" t="inlineStr">
        <is>
          <t>Not specified</t>
        </is>
      </c>
      <c r="AZ21" t="inlineStr">
        <is>
          <t>Flourite</t>
        </is>
      </c>
      <c r="BA21" t="inlineStr">
        <is>
          <t>Clairvoyance, Magical power, Wisdom, Confidence, Otherworld travel, Enhancing clairvoyance, Psychic development, Psychic powers, INCREASE PSYCHIC ABILITIES, Psychic awareness, Stimulating psychic senses, Disabling psychic phenomena, Psychic communication, communication and psychic abilities, Increasing magical power, Increasing spell power, Power amplification, Bolstering spells, Bolstering incense, Strengthening spells, Potency, Power, Magic, WISDOM IN MAGICK, defensive magic, Knowledge, Intelligence, Intuition, Mental clarity, Sharpening the wits, Sharpening the brain, Mental powers, MEM, Memory, Concentration, Focus, Illumination, Enlightenment, Self-confidence, Courage, Bravery, Determination, Will Power, Leadership, Leadership skills, Commanding, Personal power,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BB21" s="42" t="inlineStr">
        <is>
          <t>Water and air in the same stone, the rainbow of a clarified mind. Clairvoyance and magical power both strengthened. Wisdom focused, confidence built. Otherworld travel supported. Where the mind needs sharpening and the psychic channels need clearing of noise.</t>
        </is>
      </c>
    </row>
    <row r="22" ht="409.5" customHeight="1" s="56">
      <c r="A22" t="inlineStr">
        <is>
          <t>Fuchsite</t>
        </is>
      </c>
      <c r="B22" t="inlineStr">
        <is>
          <t>Fairy Frost</t>
        </is>
      </c>
      <c r="C22" t="inlineStr">
        <is>
          <t>Fuchsite (K(Al,Cr)₂(AlSi₃O₁₀)(OH)₂)</t>
        </is>
      </c>
      <c r="D22" t="inlineStr">
        <is>
          <t>It is known as the Healers Stone as it is particularly good f, healers... especially those who regularly try to save others from themselves, when it might be better to let the person to take responsibility f, their own health concerns.a stone that will generally help you by stimulating your mind. This may intensify inspiration, aid with problem solving..., help to develop your intuition.</t>
        </is>
      </c>
      <c r="E22" t="inlineStr">
        <is>
          <t>Associated with nature spirits and heart healing; helps one find their path.</t>
        </is>
      </c>
      <c r="F22" t="inlineStr">
        <is>
          <t>Venus</t>
        </is>
      </c>
      <c r="G22" t="inlineStr">
        <is>
          <t>fire</t>
        </is>
      </c>
      <c r="H22" t="inlineStr">
        <is>
          <t>Protective</t>
        </is>
      </c>
      <c r="I22" t="inlineStr">
        <is>
          <t>Friday</t>
        </is>
      </c>
      <c r="J22" t="inlineStr">
        <is>
          <t>APHRODITE, VENUS, FREYJA, HATHOR</t>
        </is>
      </c>
      <c r="K22" t="inlineStr">
        <is>
          <t>BELTANE</t>
        </is>
      </c>
      <c r="L22" t="inlineStr">
        <is>
          <t>Fuchsite is said to aid those who are herbalists to gain information about how to use certain natural remedies.</t>
        </is>
      </c>
      <c r="M22" t="inlineStr">
        <is>
          <t>Healing, wisdom, intellect, productivity, independence, problem solving, balance in the family, equilibrium in relationships, reducing mood swings</t>
        </is>
      </c>
      <c r="N22" t="inlineStr">
        <is>
          <t>Fuchsite assists with being m, e disciplined with your personal routines such as meditation, yoga, exercise, writing, any other activity that supp, ts your connection to self. Anyone with back problems, muscle pain, can benefit from its vibration... as it may promote deeper, faster healing.</t>
        </is>
      </c>
      <c r="O22" t="inlineStr">
        <is>
          <t>*Fuchsite*  Also known as: Fairy Frost.  Mineral composition: Fuchsite (K(Al,Cr)₂(AlSi₃O₁₀)(OH)₂).  Planet: Venus  Element: fire  Energy: Protective  Sacred Day: Friday.  Deity associations: Hygia.  Sabbat: BELTANE.  Association: Associated with nature spirits and heart healing; helps one find their path..  Magical uses: It is known as the Healers Stone as it is particularly good f, healers... especially those who regularly try to save others from themselves, when it might be better to let the person to take responsibility f, their own health concerns.a stone that will generally help you by stimulating your mind. This may intensify inspiration, aid with problem solving..., help to develop your intuition..  Powers: Healing, wisdom, intellect, productivity, independence, problem solving, balance in the family, equilibrium in relationships, reducing mood swings.  Spiritual uses: Fuchsite assists with being m, e disciplined with your personal routines such as meditation, yoga, exercise, writing, any other activity that supp, ts your connection to self. Anyone with back problems, muscle pain, can benefit from its vibration... as it may promote deeper, faster healing..  Folk lore: Fuchsite is said to aid those who are herbalists to gain information about how to use certain natural remedies..  Geology &amp; origin: Fuchsite or Fuschite is mainly found in Brazil... and is a variety of Muscovite. It was named after the German mineralogist Johann Fuchs.
It has also been found in Russia and India. Its color is due to the presence of chromium in it, as it is the green form of Muscovite Mica..</t>
        </is>
      </c>
      <c r="P22" t="inlineStr">
        <is>
          <t>Ylang Ylang</t>
        </is>
      </c>
      <c r="Q22" t="inlineStr">
        <is>
          <t>Fuchsite or Fuschite is mainly found in Brazil... and is a variety of Muscovite. It was named after the German mineralogist Johann Fuchs.
It has also been found in Russia and India. Its color is due to the presence of chromium in it, as it is the green form of Muscovite Mica.</t>
        </is>
      </c>
      <c r="R22" t="inlineStr">
        <is>
          <t>Generally safe for handling. Contains mica — avoid inhaling any dust from raw specimens.</t>
        </is>
      </c>
      <c r="S22" t="inlineStr">
        <is>
          <t>BLACKBERRY LEAVES</t>
        </is>
      </c>
      <c r="T22" t="inlineStr">
        <is>
          <t>Protection, Protective wreaths, Mojo bags, Household protection, Prosperity, Female fertility, Aphrodisiac tea, Abundant harvest, Magical cooking</t>
        </is>
      </c>
      <c r="U22" t="inlineStr">
        <is>
          <t>GOLDENSEAL ROOT</t>
        </is>
      </c>
      <c r="V22" t="inlineStr">
        <is>
          <t>Attraction, Money, Wealth, Success, Prosperity, Business dealings, Healing, Illness spells, Increasing spell power</t>
        </is>
      </c>
      <c r="AZ22" t="inlineStr">
        <is>
          <t>Fuchsite</t>
        </is>
      </c>
      <c r="BA22" t="inlineStr">
        <is>
          <t>Healing, Wisdom, Clairvoyance, Healing magic, Healing spells, Healing sachets, Healing incenses, Healing mixtures, Healing rituals, Healing incense, Healing vibrations, healing after surgery, Aiding recovery, Aiding the ill, Improving health, Speeding recovery, Good health, health,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t>
        </is>
      </c>
      <c r="BB22" s="42" t="inlineStr">
        <is>
          <t>Fire and the deep wisdom of forest green. Healing arrives with intelligence in its presence. Wisdom and clairvoyance both find it receptive. Independence strengthened, family balance restored. Where equilibrium in relationships is the working.</t>
        </is>
      </c>
    </row>
    <row r="23" ht="409.5" customHeight="1" s="56">
      <c r="A23" t="inlineStr">
        <is>
          <t>Garnet</t>
        </is>
      </c>
      <c r="B23" t="inlineStr">
        <is>
          <t>Vampire's Bane</t>
        </is>
      </c>
      <c r="C23" t="inlineStr">
        <is>
          <t>Silicate minerals</t>
        </is>
      </c>
      <c r="D23" t="inlineStr">
        <is>
          <t>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t>
        </is>
      </c>
      <c r="E23" t="inlineStr">
        <is>
          <t>Protective stone against dark forces; used for stamina and loyalty [cite: 1.1.2].</t>
        </is>
      </c>
      <c r="F23" t="inlineStr">
        <is>
          <t>mars</t>
        </is>
      </c>
      <c r="G23" t="inlineStr">
        <is>
          <t>fire</t>
        </is>
      </c>
      <c r="H23" t="inlineStr">
        <is>
          <t>projective</t>
        </is>
      </c>
      <c r="I23" t="inlineStr">
        <is>
          <t>Tuesday</t>
        </is>
      </c>
      <c r="J23" t="inlineStr">
        <is>
          <t>ISIS</t>
        </is>
      </c>
      <c r="K23" t="inlineStr">
        <is>
          <t>BELTANE</t>
        </is>
      </c>
      <c r="L23" t="inlineStr">
        <is>
          <t>Sacred to the Goddess Isis, Garnet was believed to be solidified drops of her blood. Long believed to be a favourite stone of Dragons, it draws on their protective powers and helps the bearer communicate with them and learn their great secrets.   Garnet establishes and activates the connection between your root chakra and the Earth, helping you to draw on the Earth's vast power for healing and empowering yourself.</t>
        </is>
      </c>
      <c r="M23" t="inlineStr">
        <is>
          <t>Healing, cheery disposition, Confidence, Love, business success, past life regression, consistency of love &amp; friendship, travel protection, Happiness, Peace, Harmony, patience, inspiration, persistence, wisdom, fertility.</t>
        </is>
      </c>
      <c r="N23" t="inlineStr">
        <is>
          <t>Garnet can be used to help anyone who uses metal, including farmers, ironmongers, smiths, soldiers, surgeons, jewellers, craftspeople. Provides fertility, Prosperity, prosperity.   A healing stone, it is used to relieve skin conditions, regulates the heart, blood.</t>
        </is>
      </c>
      <c r="O23" t="inlineStr">
        <is>
          <t>*Garnet*  Also known as: Vampire's Bane.  Mineral composition: Silicate minerals.  Planet: mars  Element: fire  Energy: projective  Sacred Day: Tuesday.  Deity associations: isis.  Sabbat: BELTANE.  Association: Protective stone against dark forces; used for stamina and loyalty [cite: 1.1.2]..  Magical uses: Closely associated with the powers of elemental Earth, Fire, Garnet is a stone of passion, courage Natural, unpolished Garnet is not a pretty stone, but it symbolises the awesome energy of raw, untamed magic, is ideal f, Bolstering spells, rituals where you need to draw on high concentrations of power. Wearing the stone brings you under the influence of the Mistress of Magic, helps you to pass between the w, lds with ease. Renowned as a stone of illumination, revelation. Stirs the blood, wards off depression. Empowers magical regeneration, gives the stamina, strength to see a long, complex spell, project through to the end..  Powers: Healing, cheery disposition, Confidence, Love, business success, past life regression, consistency of love &amp; friendship, travel protection, Happiness, Peace, Harmony, patience, inspiration, persistence, wisdom, fertility..  Spiritual uses: Garnet can be used to help anyone who uses metal, including farmers, ironmongers, smiths, soldiers, surgeons, jewellers, craftspeople. Provides fertility, Prosperity, prosperity.   A healing stone, it is used to relieve skin conditions, regulates the heart, blood..  Folk lore: Sacred to the Goddess Isis, Garnet was believed to be solidified drops of her blood. Long believed to be a favourite stone of Dragons, it draws on their protective powers and helps the bearer communicate with them and learn their great secrets.   Garnet establishes and activates the connection between your root chakra and the Earth, helping you to draw on the Earth's vast power for healing and empowering yourself..  Geology &amp; origin: a semi- precious stone that occurs in a number of different types and colours..</t>
        </is>
      </c>
      <c r="P23" t="inlineStr">
        <is>
          <t>Pine</t>
        </is>
      </c>
      <c r="Q23" t="inlineStr">
        <is>
          <t>a semi- precious stone that occurs in a number of different types and colours.</t>
        </is>
      </c>
      <c r="R23" t="inlineStr">
        <is>
          <t>Generally safe for handling and use. Raw specimens may have sharp edges.</t>
        </is>
      </c>
      <c r="S23" t="inlineStr">
        <is>
          <t>BASIL</t>
        </is>
      </c>
      <c r="T23"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23" t="inlineStr">
        <is>
          <t>CHIVE</t>
        </is>
      </c>
      <c r="V23" t="inlineStr">
        <is>
          <t>Banishing, Exorcism, Breaking bad habits, Dispelling melancholy, Protection against disease, Weight loss spells</t>
        </is>
      </c>
      <c r="W23" t="inlineStr">
        <is>
          <t>CINNAMON STICKS</t>
        </is>
      </c>
      <c r="X23" t="inlineStr">
        <is>
          <t>Clairvoyance, Consecration, Divination, Energy, Good luck, Love, Money, Passion, Peace, Prosperity, Protection, Psychic development, Success, Communication, Happiness, Harmony, Healing, Inspiration, Knowledge, Meditation, Purification, Spirituality, Tranquillity, Wisdom</t>
        </is>
      </c>
      <c r="Y23" t="inlineStr">
        <is>
          <t>DEVILS CLAW ROOT</t>
        </is>
      </c>
      <c r="Z23" t="inlineStr">
        <is>
          <t>Exorcism, Purification, Cleansing the home, Casting circles, Removing residual energies, Protection, Amulets/talismans, Do, way protection, Protective charms</t>
        </is>
      </c>
      <c r="AA23" t="inlineStr">
        <is>
          <t>URUZ</t>
        </is>
      </c>
      <c r="AB23" t="inlineStr">
        <is>
          <t>U/OO</t>
        </is>
      </c>
      <c r="AC23" t="inlineStr">
        <is>
          <t>Strength, Bolstering spells, Healing, Confidence, Protection, Fertility, Fruitfulness</t>
        </is>
      </c>
      <c r="AD23" t="inlineStr">
        <is>
          <t>Terminations, new beginnings. An opportunity disguised as a threat. Mental agility. Physical development, mental and bodily health. Power.</t>
        </is>
      </c>
      <c r="AE23" t="inlineStr">
        <is>
          <t>THURISAZ</t>
        </is>
      </c>
      <c r="AF23" t="inlineStr">
        <is>
          <t>TH</t>
        </is>
      </c>
      <c r="AG23" t="inlineStr">
        <is>
          <t>Protection, Protection (hexes/evil), Banishing, Warding, Exorcism, Magical power, Strength</t>
        </is>
      </c>
      <c r="AH23" t="inlineStr">
        <is>
          <t>Magical power, the forces of chaos or of evil. Temptation. A Warning. Protective barrier.</t>
        </is>
      </c>
      <c r="AI23" t="inlineStr">
        <is>
          <t>HAGALAZ</t>
        </is>
      </c>
      <c r="AJ23" t="inlineStr">
        <is>
          <t>H</t>
        </is>
      </c>
      <c r="AK23" t="inlineStr">
        <is>
          <t>Protection, Banishing, Warding, Exorcism, Strength, Challenges, Disruption</t>
        </is>
      </c>
      <c r="AL23" t="inlineStr">
        <is>
          <t>Challenge, disruption, interference, hardship, elemental forces.</t>
        </is>
      </c>
      <c r="AM23" t="inlineStr">
        <is>
          <t>NAUDIZ</t>
        </is>
      </c>
      <c r="AN23" t="inlineStr">
        <is>
          <t>N</t>
        </is>
      </c>
      <c r="AO23" t="inlineStr">
        <is>
          <t>Strength, Perseverance, Inner power, Confidence, Healing, Necessity</t>
        </is>
      </c>
      <c r="AP23" t="inlineStr">
        <is>
          <t>Control your emotions. Do not give in to cravings. Your health is at risk especially from dietary aberrations. Ensure your love is not misplaced. Beware extraordinary demands on your time or generosity.</t>
        </is>
      </c>
      <c r="AQ23" t="inlineStr">
        <is>
          <t>Pine</t>
        </is>
      </c>
      <c r="AR23" t="inlineStr">
        <is>
          <t>PROSPERITY SPELLS, Prosperity</t>
        </is>
      </c>
      <c r="AS23" t="inlineStr">
        <is>
          <t>Harmony, Happiness, Strength</t>
        </is>
      </c>
      <c r="AT23" t="inlineStr">
        <is>
          <t>Ginger</t>
        </is>
      </c>
      <c r="AU23" t="inlineStr">
        <is>
          <t>Prosperity, Healing, Love, Strength</t>
        </is>
      </c>
      <c r="AV23" t="inlineStr">
        <is>
          <t>Confidence, EMPATHY, LIBERATION, OPTIMISM, STRENGTHENS</t>
        </is>
      </c>
      <c r="AZ23" t="inlineStr">
        <is>
          <t>Garnet</t>
        </is>
      </c>
      <c r="BA23" t="inlineStr">
        <is>
          <t>Strength, Magical power, Protection, Aphrodisiac, Success, Physical Strength, Fortitude, Vitality, Inner power, and strength, Increasing magical power, Increasing spell power, Power amplification, Bolstering spells, Bolstering incense, Strengthening spells, Potency, Power, Magic, WISDOM IN MAGICK, defensive magic, Protective charm, Protective charms, Protective sachets, Protective wreaths, Protective incense, PROTECT AGAINST NEGATIVITY, Protection from negativity, Circle protection, Aphrodisiac tea, Sensuality, Lust, Lust/Sex, Passionate love-making, LOVING &amp; LUSTFUL ENERGIES, SEX MAGIC, RAISE SEXUAL ENERGY, Sexual energy, Victory, victory in battle, Conquest, Overcoming opposition, Courtroom success, Legal matters, Justice</t>
        </is>
      </c>
      <c r="BB23" s="42" t="inlineStr">
        <is>
          <t>Fire and the deep red of life itself at full force. Strength and magical power both carried in its depth. Protection and aphrodisiac energy running together. Success drawn in. Where passion and power need directing and the working cannot afford to be timid.</t>
        </is>
      </c>
    </row>
    <row r="24" ht="390" customHeight="1" s="56">
      <c r="A24" t="inlineStr">
        <is>
          <t>Goldstone</t>
        </is>
      </c>
      <c r="B24" t="inlineStr">
        <is>
          <t>Stone of Ambition</t>
        </is>
      </c>
      <c r="C24" t="inlineStr">
        <is>
          <t>Glass (man-made, copper flecked)</t>
        </is>
      </c>
      <c r="D24" t="inlineStr">
        <is>
          <t>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t>
        </is>
      </c>
      <c r="E24" t="inlineStr">
        <is>
          <t>Created by man to attract success and light in times of darkness.</t>
        </is>
      </c>
      <c r="F24" t="inlineStr">
        <is>
          <t>Jupiter  Venus</t>
        </is>
      </c>
      <c r="G24" t="inlineStr">
        <is>
          <t>water</t>
        </is>
      </c>
      <c r="H24" t="inlineStr">
        <is>
          <t>receptive</t>
        </is>
      </c>
      <c r="I24" t="inlineStr">
        <is>
          <t>Friday</t>
        </is>
      </c>
      <c r="J24" t="inlineStr">
        <is>
          <t>APHRODITE, VENUS, FREYJA, HATHOR</t>
        </is>
      </c>
      <c r="K24" t="inlineStr">
        <is>
          <t>MABON</t>
        </is>
      </c>
      <c r="L24" t="inlineStr">
        <is>
          <t>There are a few stories of alchemist monks attempting to make gold (some are French Monks, some Italian Monks) and in the process either a monk or a general worker accidentally knocked some copper shavings into a pot of molten glass…hence to  variations of how it came about its name.</t>
        </is>
      </c>
      <c r="M24" t="inlineStr">
        <is>
          <t>Hope, protection.</t>
        </is>
      </c>
      <c r="N24" t="inlineStr">
        <is>
          <t>Called the Stone of Ambition, it is said that Goldstone will assist in attaining one’s goals. In keeping one’s emotions stable, Peace, this energy generat, revitalizes one’s personal energy field, building confidence, Confidence, a positive attitude, promotes vitality.</t>
        </is>
      </c>
      <c r="O24" t="inlineStr">
        <is>
          <t>*Goldstone*  Also known as: Stone of Ambition.  Mineral composition: Glass (man-made, copper flecked).  Planet: Jupiter  Venus  Element: water  Energy: receptive  Sacred Day: Friday.  Deity associations: Baldur &amp; Hathor.  Sabbat: MABON.  Association: Created by man to attract success and light in times of darkness..  Magical uses: Because it is not a naturally occuring stone Goldstone symbolises human ingeneuity in the search f, Prosperity, beauty, can be used in any magic to develop your latent talents, use your own ingeneuity to improve your lot in life. Used in rituals to gain wealth, Strength, honour, riches. Can help bring you honour, public recognition, to move into the limelight in your chosen field but be warned - this is not a stone f, the shy, self-effacing! Also helpful in keeping your feet on the ground, not allowing yourself to become overwhelmed, bigheaded about your newfound fame..  Powers: Hope, protection..  Spiritual uses: Called the Stone of Ambition, it is said that Goldstone will assist in attaining one’s goals. In keeping one’s emotions stable, Peace, this energy generat, revitalizes one’s personal energy field, building confidence, Confidence, a positive attitude, promotes vitality..  Folk lore: There are a few stories of alchemist monks attempting to make gold (some are French Monks, some Italian Monks) and in the process either a monk or a general worker accidentally knocked some copper shavings into a pot of molten glass…hence to  variations of how it came about its name..  Geology &amp; origin: Usually brown (black and red Goldstone is also available) and shimmering with pin-pricks of golden light, there are at least two different types of Goldstone available. One is a form of dyed Aventurine and the other is made from glass but both seem to work equally well in spells and pouches..</t>
        </is>
      </c>
      <c r="P24" t="inlineStr">
        <is>
          <t>Rosemary</t>
        </is>
      </c>
      <c r="Q24" t="inlineStr">
        <is>
          <t>Usually brown (black and red Goldstone is also available) and shimmering with pin-pricks of golden light, there are at least two different types of Goldstone available. One is a form of dyed Aventurine and the other is made from glass but both seem to work equally well in spells and pouches.</t>
        </is>
      </c>
      <c r="R24" t="inlineStr">
        <is>
          <t>Generally safe for handling — it is man-made glass. Sharp edges on raw pieces.</t>
        </is>
      </c>
      <c r="S24" t="inlineStr">
        <is>
          <t>BLACKBERRY LEAVES</t>
        </is>
      </c>
      <c r="T24" t="inlineStr">
        <is>
          <t>Protection, Protective wreaths, Mojo bags, Household protection, Prosperity, Female fertility, Aphrodisiac tea, Abundant harvest, Magical cooking</t>
        </is>
      </c>
      <c r="U24" t="inlineStr">
        <is>
          <t>COLTSFOOT</t>
        </is>
      </c>
      <c r="V24" t="inlineStr">
        <is>
          <t>Spring rituals, Imbolc, Ostara, Beltane, Love, Tranquillity, Money spells, Divinatory incense, Healing incense, Psychic awareness, Communion with spirits, Prophetic dreams, Removing sickness, Removing mental troubles, Visions</t>
        </is>
      </c>
      <c r="W24" t="inlineStr">
        <is>
          <t>HEATHER</t>
        </is>
      </c>
      <c r="X24" t="inlineStr">
        <is>
          <t>Opening fairy portals, Enhancing beauty, Shapeshifting, Protection from shifters, Assisting transformation</t>
        </is>
      </c>
      <c r="Y24" t="inlineStr">
        <is>
          <t>HIBISCUS</t>
        </is>
      </c>
      <c r="Z24" t="inlineStr">
        <is>
          <t>Inviting love, Promoting fidelity, Passionate love-making</t>
        </is>
      </c>
      <c r="AQ24" t="inlineStr">
        <is>
          <t>Honeysuckle</t>
        </is>
      </c>
      <c r="AR24" t="inlineStr">
        <is>
          <t>INCREASE PSYCHIC ABILITIES, INCREASE MONEY, Protection</t>
        </is>
      </c>
      <c r="AS24" t="inlineStr">
        <is>
          <t>RELAXING, SOOTHING, UPLIFTING, PSYCHIC POWERS</t>
        </is>
      </c>
      <c r="AT24" t="inlineStr">
        <is>
          <t>Thyme</t>
        </is>
      </c>
      <c r="AU24" t="inlineStr">
        <is>
          <t>Healing, Love, Purification, Confidence</t>
        </is>
      </c>
      <c r="AV24" t="inlineStr">
        <is>
          <t>Harmony, STRENGTHENS, SUPP, Amulets/talismans</t>
        </is>
      </c>
      <c r="AW24" t="inlineStr">
        <is>
          <t>Vanilla</t>
        </is>
      </c>
      <c r="AX24" t="inlineStr">
        <is>
          <t>MENTAL POWERS, LOVING &amp; LUSTFUL ENERGIES</t>
        </is>
      </c>
      <c r="AY24" t="inlineStr">
        <is>
          <t>SOOTHES NERVES, CALMS, RELAXES</t>
        </is>
      </c>
      <c r="AZ24" t="inlineStr">
        <is>
          <t>Goldstone</t>
        </is>
      </c>
      <c r="BA24" t="inlineStr">
        <is>
          <t>Prosperity, Increasing wealth, Success, Confidence, Strength,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Victory, victory in battle, Conquest, Overcoming opposition, Courtroom success, Legal matters, Justice, Self-confidence, Courage, Bravery, Determination, Will Power, Leadership, Leadership skills, Commanding, Personal power, Physical Strength, Fortitude, Vitality, Inner power, and strength</t>
        </is>
      </c>
      <c r="BB24" s="42" t="inlineStr">
        <is>
          <t>Water and the shimmer of ambition made material. Prosperity and increasing wealth both find it willing. Success and confidence drawn in. Goals reached in its presence. Ambition that has been sitting still finds fire under it here.</t>
        </is>
      </c>
    </row>
    <row r="25" ht="390" customHeight="1" s="56">
      <c r="A25" t="inlineStr">
        <is>
          <t>Hematite</t>
        </is>
      </c>
      <c r="B25" t="inlineStr">
        <is>
          <t>Iron Rose</t>
        </is>
      </c>
      <c r="C25" t="inlineStr">
        <is>
          <t>Haematite (Fe₂O₃)</t>
        </is>
      </c>
      <c r="D25" t="inlineStr">
        <is>
          <t>Magical use:      It is a very powerful stone of magical energy that contains within it the combined essences of elemental Earth, Fire. It is often used in magic to release a sudden burst of power, Anti-theft, example at the conclusion of a spell. Breaks through any barriers that may be holding you back such as fear, inhibition, guilt, Increasing wealth, Fairy portals, self-doubt. An excellent stone f, abs, bing, grounding negative energy, it can be used to stop poltergeist activity, psychic disturbances. It augments, balances the flow of energy in the body, is believed to be particularly useful when practising astral travel, out of body projection. It can be used to ground high spiritual, magical energies, Negating dreams, visions into physical reality. Creates a powerful connection with the Earth, is a useful stone f, anyone who is becoming 'spaced out' by meditation, magical w, k.</t>
        </is>
      </c>
      <c r="E25" t="inlineStr">
        <is>
          <t>Powerful grounding stone used to shield against negative energy and blood health.</t>
        </is>
      </c>
      <c r="F25" t="inlineStr">
        <is>
          <t>saturn</t>
        </is>
      </c>
      <c r="G25" t="inlineStr">
        <is>
          <t>fire</t>
        </is>
      </c>
      <c r="H25" t="inlineStr">
        <is>
          <t>saturn</t>
        </is>
      </c>
      <c r="I25" t="inlineStr">
        <is>
          <t>Saturday</t>
        </is>
      </c>
      <c r="J25" t="inlineStr">
        <is>
          <t>SATURN, HECATE, URD, SKULD</t>
        </is>
      </c>
      <c r="K25" t="inlineStr">
        <is>
          <t>SAMHAIN, YULE</t>
        </is>
      </c>
      <c r="L25" t="inlineStr">
        <is>
          <t>.Helps recovery after childbirth or surgery and can be used in magic to make sure the surgeon's knife is swift and accurate. The name Haematite is from the Greek 'Haimatites', meaning 'Stone of Blood' because when it is cut or ground it gives off a red dust that runs like blood when mixed with water. This is iron oxide (rust) and the dry powder is called Red Ochre. It has been used for thousands of years as a pigment for cave painting and also to colour tombs and the bodies of the dead. The blood red colour symbolises life energy and Haematite has long been used in funeral rites to ensure a safe journey to the Underworld and a favourable reincarnation.</t>
        </is>
      </c>
      <c r="M25" t="inlineStr">
        <is>
          <t>Concentration, mem, Clairvoyance, banishing negativity, clarity, Confidence, stress relief, energy, Healing, Divination, grounding, centering, scrying, reliability, legal matters.</t>
        </is>
      </c>
      <c r="N25" t="inlineStr">
        <is>
          <t>When used in healing it is a powerful blood cleanser, purifier.</t>
        </is>
      </c>
      <c r="O25" t="inlineStr">
        <is>
          <t>*Hematite*  Also known as: Iron Rose.  Mineral composition: Haematite (Fe₂O₃).  Planet: saturn  Element: fire  Energy: saturn  Sacred Day: Saturday.  Deity associations: Aradia.  Sabbat: SAMHAIN, YULE.  Association: Powerful grounding stone used to shield against negative energy and blood health..  Magical uses: Magical use:      It is a very powerful stone of magical energy that contains within it the combined essences of elemental Earth, Fire. It is often used in magic to release a sudden burst of power, Anti-theft, example at the conclusion of a spell. Breaks through any barriers that may be holding you back such as fear, inhibition, guilt, Increasing wealth, Fairy portals, self-doubt. An excellent stone f, abs, bing, grounding negative energy, it can be used to stop poltergeist activity, psychic disturbances. It augments, balances the flow of energy in the body, is believed to be particularly useful when practising astral travel, out of body projection. It can be used to ground high spiritual, magical energies, Negating dreams, visions into physical reality. Creates a powerful connection with the Earth, is a useful stone f, anyone who is becoming 'spaced out' by meditation, magical w, k..  Powers: Concentration, mem, Clairvoyance, banishing negativity, clarity, Confidence, stress relief, energy, Healing, Divination, grounding, centering, scrying, reliability, legal matters..  Spiritual uses: When used in healing it is a powerful blood cleanser, purifier..  Folk lore: .Helps recovery after childbirth or surgery and can be used in magic to make sure the surgeon's knife is swift and accurate. The name Haematite is from the Greek 'Haimatites', meaning 'Stone of Blood' because when it is cut or ground it gives off a red dust that runs like blood when mixed with water. This is iron oxide (rust) and the dry powder is called Red Ochre. It has been used for thousands of years as a pigment for cave painting and also to colour tombs and the bodies of the dead. The blood red colour symbolises life energy and Haematite has long been used in funeral rites to ensure a safe journey to the Underworld and a favourable reincarnation..  Geology &amp; origin: Haematite is the gem form of iron, in the same way that Diamond is the gem form of carbon.</t>
        </is>
      </c>
      <c r="P25" t="inlineStr">
        <is>
          <t>Patchouli</t>
        </is>
      </c>
      <c r="Q25" t="inlineStr">
        <is>
          <t>Haematite is the gem form of iron, in the same way that Diamond is the gem form of carbon</t>
        </is>
      </c>
      <c r="R25" t="inlineStr">
        <is>
          <t>Generally safe for handling. Avoid water immersion as it may rust. Do not use in direct gem elixirs.</t>
        </is>
      </c>
      <c r="S25" t="inlineStr">
        <is>
          <t>CHIVE</t>
        </is>
      </c>
      <c r="T25" t="inlineStr">
        <is>
          <t>Banishing, Exorcism, Breaking bad habits, Dispelling melancholy, Protection against disease, Weight loss spells</t>
        </is>
      </c>
      <c r="U25" t="inlineStr">
        <is>
          <t>CLEAVERS</t>
        </is>
      </c>
      <c r="V25" t="inlineStr">
        <is>
          <t>Spring tonic, Healing, Psychic powers, Spring festivals, Purification rituals, Menarche rituals, Binding spells, Binding rituals</t>
        </is>
      </c>
      <c r="W25" t="inlineStr">
        <is>
          <t>RUE</t>
        </is>
      </c>
      <c r="X25"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AZ25" t="inlineStr">
        <is>
          <t>Hematite</t>
        </is>
      </c>
      <c r="BA25" t="inlineStr">
        <is>
          <t>Strength, Protection, Magical power, Otherworld travel, Banishing, Physical Strength, Fortitude, Vitality, Inner power, and strength, Protective charm, Protective charms, Protective sachets, Protective wreaths, Protective incense, PROTECT AGAINST NEGATIVITY, Protection from negativity, Circle protection, Increasing magical power, Increasing spell power, Power amplification, Bolstering spells, Bolstering incense, Strengthening spells, Potency, Power, Magic, WISDOM IN MAGICK, defensive magic,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BB25" s="42" t="inlineStr">
        <is>
          <t>Fire and the iron of the earth's own core. Strength and protection both grounded deeply. Magical power made real and usable. Banishing given weight. The stone that pulls the working into the physical and makes it hold.</t>
        </is>
      </c>
    </row>
    <row r="26" ht="409.5" customHeight="1" s="56">
      <c r="A26" t="inlineStr">
        <is>
          <t>Howlite</t>
        </is>
      </c>
      <c r="B26" t="inlineStr">
        <is>
          <t>Calm Spirit</t>
        </is>
      </c>
      <c r="C26" t="inlineStr">
        <is>
          <t>Howlite (Ca₂B₅SiO₉(OH)₅)</t>
        </is>
      </c>
      <c r="D26" t="inlineStr">
        <is>
          <t>Focusing on a piece of Howlite can assist in journeying outside the body, gaining insight from past lives. Placed on the third eye, it opens mem, ies of previous times, lifetimes.                                                                                                                                                                                                                                                                                                                                                                                      Howlite is best known f, it’s strong associations with self-awareness, creativity, improving one’s emotional well being, attitudes. It enhances character building, a sense of decency, encourages the development of desirable personal aspect.  In general, Howlite aids in dispelling anger, resentfulness, selfishness, allows one to look inside the f, answers. It also aids in communicating the negative emotions with a clearer emotional expression, which will always result in calmer ‘confrontations’.</t>
        </is>
      </c>
      <c r="E26" t="inlineStr">
        <is>
          <t>Used for patience, alleviating insomnia, and softening the temper.</t>
        </is>
      </c>
      <c r="F26" t="inlineStr">
        <is>
          <t>moon</t>
        </is>
      </c>
      <c r="G26" t="inlineStr">
        <is>
          <t>earth</t>
        </is>
      </c>
      <c r="H26" t="inlineStr">
        <is>
          <t>protective</t>
        </is>
      </c>
      <c r="I26" t="inlineStr">
        <is>
          <t>Monday</t>
        </is>
      </c>
      <c r="J26" t="inlineStr">
        <is>
          <t>ARTEMIS, DIANA, LUNA, SELENE</t>
        </is>
      </c>
      <c r="K26" t="inlineStr">
        <is>
          <t>IMBOLC</t>
        </is>
      </c>
      <c r="L26" t="inlineStr">
        <is>
          <t>It decreases the over critical mind, rudeness and offensive behavior, increasing subtly, decency, and tact. It is also quite helpful for those who tend to procrastinate.</t>
        </is>
      </c>
      <c r="M26" t="inlineStr">
        <is>
          <t>Stress relief, anxiety, Peace, tension, artistic expression, creativity, eliminating selfishness, purity, spirituality  Patience, Peace &amp; Insomnia.</t>
        </is>
      </c>
      <c r="N26" t="inlineStr">
        <is>
          <t>It will aid in sleeping, calming the overactive mind, eases insomnia, dreaming, dream retention, stress relief. Physically, it calms the whole body, releases muscle tension. It eliminates pain brought about by stress., is said to aid in healing stress related injuries such as ulcers, heart problems, rashes.</t>
        </is>
      </c>
      <c r="O26" t="inlineStr">
        <is>
          <t>*Howlite*  Also known as: Calm Spirit.  Mineral composition: Howlite (Ca₂B₅SiO₉(OH)₅).  Planet: moon  Element: earth  Energy: protective  Sacred Day: Monday.  Deity associations: ALL.  Sabbat: IMBOLC.  Association: Used for patience, alleviating insomnia, and softening the temper..  Magical uses: Focusing on a piece of Howlite can assist in journeying outside the body, gaining insight from past lives. Placed on the third eye, it opens mem, ies of previous times, lifetimes.                                                                                                                                                                                                                                                                                                                                                                                      Howlite is best known f, it’s strong associations with self-awareness, creativity, improving one’s emotional well being, attitudes. It enhances character building, a sense of decency, encourages the development of desirable personal aspect.  In general, Howlite aids in dispelling anger, resentfulness, selfishness, allows one to look inside the f, answers. It also aids in communicating the negative emotions with a clearer emotional expression, which will always result in calmer ‘confrontations’..  Powers: Stress relief, anxiety, Peace, tension, artistic expression, creativity, eliminating selfishness, purity, spirituality  Patience, Peace &amp; Insomnia..  Spiritual uses: It will aid in sleeping, calming the overactive mind, eases insomnia, dreaming, dream retention, stress relief. Physically, it calms the whole body, releases muscle tension. It eliminates pain brought about by stress., is said to aid in healing stress related injuries such as ulcers, heart problems, rashes..  Folk lore: It decreases the over critical mind, rudeness and offensive behavior, increasing subtly, decency, and tact. It is also quite helpful for those who tend to procrastinate..  Geology &amp; origin: Howlite is found in it’s original state as large cauliflower-like masses. Originally named for Henry How, a 19th century mineralogist, as he was said to be the first to make this discovery in Nova Scotia..</t>
        </is>
      </c>
      <c r="P26" t="inlineStr">
        <is>
          <t>Melissa</t>
        </is>
      </c>
      <c r="Q26" t="inlineStr">
        <is>
          <t>Howlite is found in it’s original state as large cauliflower-like masses. Originally named for Henry How, a 19th century mineralogist, as he was said to be the first to make this discovery in Nova Scotia.</t>
        </is>
      </c>
      <c r="R26" t="inlineStr">
        <is>
          <t>Generally safe for handling and use.</t>
        </is>
      </c>
      <c r="S26" t="inlineStr">
        <is>
          <t>SEA SALT</t>
        </is>
      </c>
      <c r="T26" t="inlineStr">
        <is>
          <t>Purification, Smudging, Asperging, Representing Earth, Protection from psychic attack, Disabling psychic phenomena, Transmuting wishes, Fire-casting spells, Water-casting spells, Carrying wishes, Removing burdens, Clearing aura attachments</t>
        </is>
      </c>
      <c r="U26" t="inlineStr">
        <is>
          <t>WITCH HAZEL LEAVES</t>
        </is>
      </c>
      <c r="V26" t="inlineStr">
        <is>
          <t>Purification, Protection, Banishing, Consecration</t>
        </is>
      </c>
      <c r="AZ26" t="inlineStr">
        <is>
          <t>Howlite</t>
        </is>
      </c>
      <c r="BA26" t="inlineStr">
        <is>
          <t>Clairvoyance, Wisdom, Healing, Harmony,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BB26" s="42" t="inlineStr">
        <is>
          <t>Earth and the white stillness of winter calm. Clairvoyance and wisdom both find it receptive. Healing and harmony deepened. Sleep aided, the overactive mind stilled before ritual. Where anxiety has been running the working and needs quieting.</t>
        </is>
      </c>
    </row>
    <row r="27" ht="403.5" customHeight="1" s="56">
      <c r="A27" t="inlineStr">
        <is>
          <t>Iolite</t>
        </is>
      </c>
      <c r="B27" t="inlineStr">
        <is>
          <t>Viking Compass</t>
        </is>
      </c>
      <c r="C27" t="inlineStr">
        <is>
          <t>Cordierite (Mg₂Al₄Si₅O₁₈)</t>
        </is>
      </c>
      <c r="D27" t="inlineStr">
        <is>
          <t>Iolite is the stone of Witchcraft. Enhances all magical powers when w, Amulets/talismans, if you keep a piece with you then over time it will subtly increase your occult powers, psychic sensitivity. Improves visualisation skills, creativity.Sacred to the Mother Goddess. Increases your appreciation of feminine power, Magical power, spirituality, helps you to draw that power into your own life. A protective, nurturing stone that will help you to recognise your own unique talents, develop them in ways that will better your life.</t>
        </is>
      </c>
      <c r="E27" t="inlineStr">
        <is>
          <t>Used by sailors for navigation; aids in intuition and inner vision.</t>
        </is>
      </c>
      <c r="F27" t="inlineStr">
        <is>
          <t>jupiter</t>
        </is>
      </c>
      <c r="G27" t="inlineStr">
        <is>
          <t>water</t>
        </is>
      </c>
      <c r="H27" t="inlineStr">
        <is>
          <t>receptive</t>
        </is>
      </c>
      <c r="I27" t="inlineStr">
        <is>
          <t>Thursday</t>
        </is>
      </c>
      <c r="J27" t="inlineStr">
        <is>
          <t>ZEUS, JUPITER, THOR, ODIN</t>
        </is>
      </c>
      <c r="K27" t="inlineStr">
        <is>
          <t>MABON</t>
        </is>
      </c>
      <c r="L27" t="inlineStr">
        <is>
          <t>Legend tells us that when Leif Eriksson and the other legendary Viking explorers ventured far out into the Atlantic Ocean, moving away from any coastline that could help them determine their position, they had a secret gem weapon: Iolite. It is told that the Viking mariners used very thin pieces of iolite as some of the world’s first polarizing filter. Looking through an iolite lens, they were able to determine the exact position of the sun, and to navigate safely to the new lands and back.</t>
        </is>
      </c>
      <c r="M27" t="inlineStr">
        <is>
          <t>Truth, Peace, psychic ability, curiosity, spiritual growth, leadership.</t>
        </is>
      </c>
      <c r="N27" t="inlineStr">
        <is>
          <t>Aids your concentration, focus, dedication to learning, helps to ensure that all your newly found knowledge stays in your head, leads to increased wisdom.</t>
        </is>
      </c>
      <c r="O27" t="inlineStr">
        <is>
          <t>*Iolite*  Also known as: Viking Compass.  Mineral composition: Cordierite (Mg₂Al₄Si₅O₁₈).  Planet: jupiter  Element: water  Energy: receptive  Sacred Day: Thursday.  Deity associations: mother goddess, jupiter.  Sabbat: MABON.  Association: Used by sailors for navigation; aids in intuition and inner vision..  Magical uses: Iolite is the stone of Witchcraft. Enhances all magical powers when w, Amulets/talismans, if you keep a piece with you then over time it will subtly increase your occult powers, psychic sensitivity. Improves visualisation skills, creativity.Sacred to the Mother Goddess. Increases your appreciation of feminine power, Magical power, spirituality, helps you to draw that power into your own life. A protective, nurturing stone that will help you to recognise your own unique talents, develop them in ways that will better your life..  Powers: Truth, Peace, psychic ability, curiosity, spiritual growth, leadership..  Spiritual uses: Aids your concentration, focus, dedication to learning, helps to ensure that all your newly found knowledge stays in your head, leads to increased wisdom..  Folk lore: Legend tells us that when Leif Eriksson and the other legendary Viking explorers ventured far out into the Atlantic Ocean, moving away from any coastline that could help them determine their position, they had a secret gem weapon: Iolite. It is told that the Viking mariners used very thin pieces of iolite as some of the world’s first polarizing filter. Looking through an iolite lens, they were able to determine the exact position of the sun, and to navigate safely to the new lands and back..  Geology &amp; origin: Also known as Cordierite and Water Sapphire it is a transparent, pale blue purple stone.Iolite is a lovely violet/blue color and is also referred to as Cordierite, Dichroite, and Indialite. It is dichroic, meaning that it appears full of color in one direction and completely colorless in another..</t>
        </is>
      </c>
      <c r="P27" t="inlineStr">
        <is>
          <t>Honeysuckle</t>
        </is>
      </c>
      <c r="Q27" t="inlineStr">
        <is>
          <t>Also known as Cordierite and Water Sapphire it is a transparent, pale blue purple stone.Iolite is a lovely violet/blue color and is also referred to as Cordierite, Dichroite, and Indialite. It is dichroic, meaning that it appears full of color in one direction and completely colorless in another.</t>
        </is>
      </c>
      <c r="R27" t="inlineStr">
        <is>
          <t>Generally safe for handling and use.</t>
        </is>
      </c>
      <c r="S27" t="inlineStr">
        <is>
          <t>ROSE HIP</t>
        </is>
      </c>
      <c r="T27" t="inlineStr">
        <is>
          <t>Honouring Venus, Harmony, Peace, Calming energies, Love, Soul mates, Companionship, Incense, Sachets, Charm bags, Love-attracting rituals, Cleansing before ritual, Stress relief</t>
        </is>
      </c>
      <c r="U27" t="inlineStr">
        <is>
          <t>ROSE PETALS</t>
        </is>
      </c>
      <c r="V27" t="inlineStr">
        <is>
          <t>Love, Sex, Passion, Conjuring a lover, Attracting love, Prophetic dreams, Healing, Calming stress, Calming household upheaval, Love messages</t>
        </is>
      </c>
      <c r="AQ27" t="inlineStr">
        <is>
          <t>Honeysuckle</t>
        </is>
      </c>
      <c r="AR27" t="inlineStr">
        <is>
          <t>INCREASE PSYCHIC ABILITIES, INCREASE MONEY, Protection</t>
        </is>
      </c>
      <c r="AS27" t="inlineStr">
        <is>
          <t>RELAXING, SOOTHING, UPLIFTING, PSYCHIC POWERS</t>
        </is>
      </c>
      <c r="AZ27" t="inlineStr">
        <is>
          <t>Iolite</t>
        </is>
      </c>
      <c r="BA27" t="inlineStr">
        <is>
          <t>Magical power, Clairvoyance, Protection, Strength, Wisdom, Increasing magical power, Increasing spell power, Power amplification, Bolstering spells, Bolstering incense, Strengthening spells, Potency, Power, Magic, WISDOM IN MAGICK, defensive magic, Enhancing clairvoyance, Psychic development, Psychic powers, INCREASE PSYCHIC ABILITIES, Psychic awareness, Stimulating psychic senses, Disabling psychic phenomena, Psychic communication, communication and psychic abilities, Protective charm, Protective charms, Protective sachets, Protective wreaths, Protective incense, PROTECT AGAINST NEGATIVITY, Protection from negativity, Circle protection, Physical Strength, Fortitude, Vitality, Inner power, and strength, Knowledge, Intelligence, Intuition, Mental clarity, Sharpening the wits, Sharpening the brain, Mental powers, MEM, Memory, Concentration, Focus, Illumination, Enlightenment</t>
        </is>
      </c>
      <c r="BB27" s="42" t="inlineStr">
        <is>
          <t>Water and the blue of the deepest sky. Magical power and clairvoyance working together. Protection and strength both held in its depth. Spiritual growth supported. Where focus and psychic truth are what the working is asking for.</t>
        </is>
      </c>
    </row>
    <row r="28" ht="409.5" customHeight="1" s="56">
      <c r="A28" t="inlineStr">
        <is>
          <t>Jade (jadeite)</t>
        </is>
      </c>
      <c r="B28" t="inlineStr">
        <is>
          <t>Stone of Heaven</t>
        </is>
      </c>
      <c r="C28" t="inlineStr">
        <is>
          <t>Jadeite or Nephrite</t>
        </is>
      </c>
      <c r="D28" t="inlineStr">
        <is>
          <t>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t>
        </is>
      </c>
      <c r="E28" t="inlineStr">
        <is>
          <t>Symbol of purity, wisdom, and protection in Chinese culture.</t>
        </is>
      </c>
      <c r="F28" t="inlineStr">
        <is>
          <t>venus</t>
        </is>
      </c>
      <c r="G28" t="inlineStr">
        <is>
          <t>water</t>
        </is>
      </c>
      <c r="H28" t="inlineStr">
        <is>
          <t>receptive</t>
        </is>
      </c>
      <c r="I28" t="inlineStr">
        <is>
          <t>Friday</t>
        </is>
      </c>
      <c r="J28" t="inlineStr">
        <is>
          <t>APHRODITE, VENUS, FREYJA, HATHOR</t>
        </is>
      </c>
      <c r="K28" t="inlineStr">
        <is>
          <t>OSTARA, BELTANE</t>
        </is>
      </c>
      <c r="L28" t="inlineStr">
        <is>
          <t>Jade is used to create musucal instruments such as; xylophones, gongs and windchimes. They were used in China, Africa and by the hopi Indians. It is believed ti have power over the weather.</t>
        </is>
      </c>
      <c r="M28" t="inlineStr">
        <is>
          <t>Concentration, unconditional love, concentration, Fidelity, Harmony, Healing, justice, Protection, Luck, beauty, energy, stress relief, perspective, wisdom, growth.</t>
        </is>
      </c>
      <c r="N28" t="inlineStr">
        <is>
          <t>Can be used to help you make the most of a period of study, to give you the confidence to express your knowledge clearly, keep your audience's attention. In physical healing Jade is reputed to be excellent f, kidney problems, also helps the heart, larynx, liver, spleen, thymus, thyroid, nervous system. It is believed to strengthen the body, immune system, giving good health, longevity.</t>
        </is>
      </c>
      <c r="O28" t="inlineStr">
        <is>
          <t>*Jade (jadeite)*  Also known as: Stone of Heaven.  Mineral composition: Jadeite or Nephrite.  Planet: venus  Element: water  Energy: receptive  Sacred Day: Friday.  Deity associations: Maat, Kwan-Yin and Buddha.  Sabbat: OSTARA, BELTANE.  Association: Symbol of purity, wisdom, and protection in Chinese culture..  Magical uses: Jade is renowned as a stone of prosperity, it is said that if you h, le a piece every day your wealth will increase. Can be used in spells, charm bags to draw material wealth, also to increase your sense of self w, Anti-theft, personal power. Boosts courage, brings good f, Fortune, Healing, protects from misf, accidents. Jade helps to sharpen concentration, increases your underst, Attracting good spirits, ability to mem, ise intellectual knowledge. Magically Jade helps you to break unwanted links with people, places that you have outgrown.  Powers: Concentration, unconditional love, concentration, Fidelity, Harmony, Healing, justice, Protection, Luck, beauty, energy, stress relief, perspective, wisdom, growth..  Spiritual uses: Can be used to help you make the most of a period of study, to give you the confidence to express your knowledge clearly, keep your audience's attention. In physical healing Jade is reputed to be excellent f, kidney problems, also helps the heart, larynx, liver, spleen, thymus, thyroid, nervous system. It is believed to strengthen the body, immune system, giving good health, longevity..  Folk lore: Jade is used to create musucal instruments such as; xylophones, gongs and windchimes. They were used in China, Africa and by the hopi Indians. It is believed ti have power over the weather..  Geology &amp; origin: Jeeite is one of the two minerals called Jade, the other mineral is nephrite.</t>
        </is>
      </c>
      <c r="P28" t="inlineStr">
        <is>
          <t>Ylang Ylang</t>
        </is>
      </c>
      <c r="Q28" t="inlineStr">
        <is>
          <t>Jeeite is one of the two minerals called Jade, the other mineral is nephrite</t>
        </is>
      </c>
      <c r="R28" t="inlineStr">
        <is>
          <t>Generally safe for handling and use.</t>
        </is>
      </c>
      <c r="S28" t="inlineStr">
        <is>
          <t>BLACKBERRY LEAVES</t>
        </is>
      </c>
      <c r="T28" t="inlineStr">
        <is>
          <t>Protection, Protective wreaths, Mojo bags, Household protection, Prosperity, Female fertility, Aphrodisiac tea, Abundant harvest, Magical cooking</t>
        </is>
      </c>
      <c r="U28" t="inlineStr">
        <is>
          <t>COLTSFOOT</t>
        </is>
      </c>
      <c r="V28" t="inlineStr">
        <is>
          <t>Spring rituals, Imbolc, Ostara, Beltane, Love, Tranquillity, Money spells, Divinatory incense, Healing incense, Psychic awareness, Communion with spirits, Prophetic dreams, Removing sickness, Removing mental troubles, Visions</t>
        </is>
      </c>
      <c r="W28" t="inlineStr">
        <is>
          <t>HEATHER</t>
        </is>
      </c>
      <c r="X28" t="inlineStr">
        <is>
          <t>Opening fairy portals, Enhancing beauty, Shapeshifting, Protection from shifters, Assisting transformation</t>
        </is>
      </c>
      <c r="Y28" t="inlineStr">
        <is>
          <t>HIBISCUS</t>
        </is>
      </c>
      <c r="Z28" t="inlineStr">
        <is>
          <t>Inviting love, Promoting fidelity, Passionate love-making</t>
        </is>
      </c>
      <c r="AQ28" t="inlineStr">
        <is>
          <t>Rose</t>
        </is>
      </c>
      <c r="AR28" t="inlineStr">
        <is>
          <t>Peace, Protection, Luck, PROMOTE LOVE &amp; AFFECTION</t>
        </is>
      </c>
      <c r="AS28" t="inlineStr">
        <is>
          <t>BALANCING, STRENGTHENING, Attracting good spirits</t>
        </is>
      </c>
      <c r="AT28" t="inlineStr">
        <is>
          <t>Thyme</t>
        </is>
      </c>
      <c r="AU28" t="inlineStr">
        <is>
          <t>Healing, Love, Purification, Confidence</t>
        </is>
      </c>
      <c r="AV28" t="inlineStr">
        <is>
          <t>Harmony, STRENGTHENS, SUPP, Amulets/talismans</t>
        </is>
      </c>
      <c r="AW28" t="inlineStr">
        <is>
          <t>Vanilla</t>
        </is>
      </c>
      <c r="AX28" t="inlineStr">
        <is>
          <t>MENTAL POWERS, LOVING &amp; LUSTFUL ENERGIES</t>
        </is>
      </c>
      <c r="AY28" t="inlineStr">
        <is>
          <t>SOOTHES NERVES, CALMS, RELAXES</t>
        </is>
      </c>
      <c r="AZ28" t="inlineStr">
        <is>
          <t>Jade (jadeite)</t>
        </is>
      </c>
      <c r="BA28" t="inlineStr">
        <is>
          <t>Prosperity, Increasing wealth, Luck, Healing, Wisdom, Protection,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Healing magic, Healing spells, Healing sachets, Healing incenses, Healing mixtures, Healing rituals, Healing incense, Healing vibrations, healing after surgery, Aiding recovery, Aiding the ill, Improving health, Speeding recovery, Good health, health, Knowledge, Intelligence, Intuition, Mental clarity, Sharpening the wits, Sharpening the brain, Mental powers, MEM, Memory, Concentration, Focus, Illumination, Enlightenment, Protective charm, Protective charms, Protective sachets, Protective wreaths, Protective incense, PROTECT AGAINST NEGATIVITY, Protection from negativity, Circle protection</t>
        </is>
      </c>
      <c r="BB28" s="42" t="inlineStr">
        <is>
          <t>Water and the ancient green of the jade mountains, the stone of patient abundance. Prosperity and wealth drawn in over time. Healing and wisdom both find it generous. Protection and fertility both carried. The long working, the steady accumulation.</t>
        </is>
      </c>
    </row>
    <row r="29" ht="409.5" customHeight="1" s="56">
      <c r="A29" t="inlineStr">
        <is>
          <t>Jet</t>
        </is>
      </c>
      <c r="B29" t="inlineStr">
        <is>
          <t>Witch's Amber</t>
        </is>
      </c>
      <c r="C29" t="inlineStr">
        <is>
          <t>Jet (fossilised wood/lignite)</t>
        </is>
      </c>
      <c r="D29" t="inlineStr">
        <is>
          <t>Represents the power of the Goddess, the mystery of the night in which the silver Moon is Queen. Can be polished to a high sheen with brass polish (, a bit of elbow grease!), flat pieces of Jet make excellent magic mirr, s that can be used in scrying, divination to gain Underw, ld knowledge. Wear it in honour of the Mighty Dead, to speak with Underw, ld deities. Helpful f, those who find it hard to make firm decisions. Increases shamanic powers, especially the power to travel between planes. Acc, ding to an early writer Jet has eight virtues – it protects from st, Negating dreams, lightning, prevents poisoning, defends against s, cery, banishes demons from any home in which it is kept, an elixir given to one possessed by the ‘hateful fiend’ will reveal this, release them, a potion of it will rest, e health, the same potion rest, es a ‘smooth body’, whosoever takes the potion is immune to snakebite. Sacred to Cybele, the Mother goddess of Greek, Rome ~ hold a piece of Jet in your h, Amulets/talismans, you can ask her f, a favour.I</t>
        </is>
      </c>
      <c r="E29" t="inlineStr">
        <is>
          <t>Strong protective stone used against the 'evil eye' and for mourning rituals.</t>
        </is>
      </c>
      <c r="F29" t="inlineStr">
        <is>
          <t>saturn, moon</t>
        </is>
      </c>
      <c r="G29" t="inlineStr">
        <is>
          <t>earth, akasha</t>
        </is>
      </c>
      <c r="H29" t="inlineStr">
        <is>
          <t>receptive</t>
        </is>
      </c>
      <c r="I29" t="inlineStr">
        <is>
          <t>Monday</t>
        </is>
      </c>
      <c r="J29" t="inlineStr">
        <is>
          <t>ARTEMIS, DIANA, LUNA, SELENE</t>
        </is>
      </c>
      <c r="K29" t="inlineStr">
        <is>
          <t>IMBOLC, YULE</t>
        </is>
      </c>
      <c r="L29" t="inlineStr">
        <is>
          <t>Jet was popular in Victorian times as a stone of mourning.  Jet is common in prehistoric burials and is associated with powerful women, Queens and Priestesses.</t>
        </is>
      </c>
      <c r="M29" t="inlineStr">
        <is>
          <t>Purification, psychic protection, virility, control, Luck, Healing, Divination, protection from illness &amp; violence, guarding against nightmares.</t>
        </is>
      </c>
      <c r="N29" t="inlineStr">
        <is>
          <t>Ancient greek w, shipers of Cybele w, s jet to obtain her favours. Modern day gardeners also wear jet ti make thieir plants fl, ish.</t>
        </is>
      </c>
      <c r="O29" t="inlineStr">
        <is>
          <t>*Jet*  Also known as: Witch's Amber.  Mineral composition: Jet (fossilised wood/lignite).  Planet: saturn, moon  Element: earth, akasha  Energy: receptive  Sacred Day: Monday.  Deity associations: Cebele.  Sabbat: IMBOLC, YULE.  Association: Strong protective stone used against the 'evil eye' and for mourning rituals..  Magical uses: Represents the power of the Goddess, the mystery of the night in which the silver Moon is Queen. Can be polished to a high sheen with brass polish (, a bit of elbow grease!), flat pieces of Jet make excellent magic mirr, s that can be used in scrying, divination to gain Underw, ld knowledge. Wear it in honour of the Mighty Dead, to speak with Underw, ld deities. Helpful f, those who find it hard to make firm decisions. Increases shamanic powers, especially the power to travel between planes. Acc, ding to an early writer Jet has eight virtues – it protects from st, Negating dreams, lightning, prevents poisoning, defends against s, cery, banishes demons from any home in which it is kept, an elixir given to one possessed by the ‘hateful fiend’ will reveal this, release them, a potion of it will rest, e health, the same potion rest, es a ‘smooth body’, whosoever takes the potion is immune to snakebite. Sacred to Cybele, the Mother goddess of Greek, Rome ~ hold a piece of Jet in your h, Amulets/talismans, you can ask her f, a favour.I.  Powers: Purification, psychic protection, virility, control, Luck, Healing, Divination, protection from illness &amp; violence, guarding against nightmares..  Spiritual uses: Ancient greek w, shipers of Cybele w, s jet to obtain her favours. Modern day gardeners also wear jet ti make thieir plants fl, ish..  Folk lore: Jet was popular in Victorian times as a stone of mourning.  Jet is common in prehistoric burials and is associated with powerful women, Queens and Priestesses..  Geology &amp; origin: It is a fossilised organic substance very similar to coal and in fact Jet and coal are created from the same materials in the same way. The best way to tell if you have found Jet is to use it to draw a line on hard stone. If you draw a light brown line you have Jet and if you draw a black line then you have found coal..</t>
        </is>
      </c>
      <c r="P29" t="inlineStr">
        <is>
          <t>Patchouli</t>
        </is>
      </c>
      <c r="Q29" t="inlineStr">
        <is>
          <t>It is a fossilised organic substance very similar to coal and in fact Jet and coal are created from the same materials in the same way. The best way to tell if you have found Jet is to use it to draw a line on hard stone. If you draw a light brown line you have Jet and if you draw a black line then you have found coal.</t>
        </is>
      </c>
      <c r="R29" t="inlineStr">
        <is>
          <t>Generally safe for handling. A form of fossilised wood — avoid strong chemicals.</t>
        </is>
      </c>
      <c r="S29" t="inlineStr">
        <is>
          <t>HEARTSEASE</t>
        </is>
      </c>
      <c r="T29" t="inlineStr">
        <is>
          <t>Midsummer celebrations, Love charms, Heart magic, Beauty magic</t>
        </is>
      </c>
      <c r="U29" t="inlineStr">
        <is>
          <t>WILLOW BARK</t>
        </is>
      </c>
      <c r="V29" t="inlineStr">
        <is>
          <t>Protection, healing, luck, and hex-breaking. Place wintergreen in the home to attract good fortune and protect against ill-wishing. Used in healing rituals, particularly for long-standing conditions. The refreshing scent is used to clear stale, negative energy from a space. Add to lucky sachets and charm bags for persistent good fortune.</t>
        </is>
      </c>
      <c r="AQ29" t="inlineStr">
        <is>
          <t>Patchouli</t>
        </is>
      </c>
      <c r="AR29" t="inlineStr">
        <is>
          <t>Fertility, Love, Prosperity, RAISE SEXUAL ENERGY</t>
        </is>
      </c>
      <c r="AS29" t="inlineStr">
        <is>
          <t>ASTUTENESS, REASONABLENESS, STIMULATION, Aphrodisiac</t>
        </is>
      </c>
      <c r="AZ29" t="inlineStr">
        <is>
          <t>Jet</t>
        </is>
      </c>
      <c r="BA29" t="inlineStr">
        <is>
          <t>Divination, Clairvoyance, Otherworld travel, Samhain/ancestral altars, Protection,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Contacting planes, Contacting other planes, Communion with spirits, Communing with the departed, Communing with otherworldly entities, Spirit work,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Protective charm, Protective charms, Protective sachets, Protective wreaths, Protective incense, PROTECT AGAINST NEGATIVITY, Protection from negativity, Circle protection</t>
        </is>
      </c>
      <c r="BB29" s="42" t="inlineStr">
        <is>
          <t>Earth and the akashic depth, the Samhain stone. Divination and clairvoyance both sharpened. Otherworld travel and ancestral altar work find it essential. Protection from illness and violence held in its darkness. Worn when the veil is thin.</t>
        </is>
      </c>
    </row>
    <row r="30" ht="409.5" customHeight="1" s="56">
      <c r="A30" t="inlineStr">
        <is>
          <t>Kyanite</t>
        </is>
      </c>
      <c r="B30" t="inlineStr">
        <is>
          <t>Wands of Alignment</t>
        </is>
      </c>
      <c r="C30" t="inlineStr">
        <is>
          <t>Kyanite (Al₂SiO₅)</t>
        </is>
      </c>
      <c r="D30" t="inlineStr">
        <is>
          <t>The crystals can be used f, emotional healing, to strengthen your resolve, self confidence. Helps you to recognise your own strengths, talents, make the most of them. Can be used to develop charisma, the ability to hold people’s attention, speak without fear. A useful stone f, anyone suffering from shyness, Anti-theft, people who feel ‘invisible’ in life, wants to make m, e of an impact on society. When used in meditation it grants visions into past lives. Magically the blade can be used like a knife to symbolically cut away the emotional ties that link you to people, places you have outgrown.</t>
        </is>
      </c>
      <c r="E30" t="inlineStr">
        <is>
          <t>Used to align chakras and bridge the communication between realms.</t>
        </is>
      </c>
      <c r="F30" t="inlineStr">
        <is>
          <t>jupiter</t>
        </is>
      </c>
      <c r="G30" t="inlineStr">
        <is>
          <t>water</t>
        </is>
      </c>
      <c r="H30" t="inlineStr">
        <is>
          <t>receptive</t>
        </is>
      </c>
      <c r="I30" t="inlineStr">
        <is>
          <t>Thursday</t>
        </is>
      </c>
      <c r="J30" t="inlineStr">
        <is>
          <t>ALL</t>
        </is>
      </c>
      <c r="K30" t="inlineStr">
        <is>
          <t>MABON</t>
        </is>
      </c>
      <c r="L30" t="inlineStr">
        <is>
          <t>Kyanite is said to be used to embrace universal love fully in all it’s aspects. It assists in fostering the right frame of mind to prepare for meditation.</t>
        </is>
      </c>
      <c r="M30" t="inlineStr">
        <is>
          <t>Creativity, commitment, loyalty, meditation, communication, Cleansing, Negating dreams, Truth</t>
        </is>
      </c>
      <c r="N30" t="inlineStr">
        <is>
          <t>Kyanite is known to have several uses in Chakra balancing. It is said that the dark blue shade of Kyanite will automatically, immediately align all chakras without one making a conscious decision, direction to do so.</t>
        </is>
      </c>
      <c r="O30" t="inlineStr">
        <is>
          <t>*Kyanite*  Also known as: Wands of Alignment.  Mineral composition: Kyanite (Al₂SiO₅).  Planet: jupiter  Element: water  Energy: receptive  Sacred Day: Thursday.  Deity associations: Sophia.  Sabbat: MABON.  Association: Used to align chakras and bridge the communication between realms..  Magical uses: The crystals can be used f, emotional healing, to strengthen your resolve, self confidence. Helps you to recognise your own strengths, talents, make the most of them. Can be used to develop charisma, the ability to hold people’s attention, speak without fear. A useful stone f, anyone suffering from shyness, Anti-theft, people who feel ‘invisible’ in life, wants to make m, e of an impact on society. When used in meditation it grants visions into past lives. Magically the blade can be used like a knife to symbolically cut away the emotional ties that link you to people, places you have outgrown..  Powers: Creativity, commitment, loyalty, meditation, communication, Cleansing, Negating dreams, Truth.  Spiritual uses: Kyanite is known to have several uses in Chakra balancing. It is said that the dark blue shade of Kyanite will automatically, immediately align all chakras without one making a conscious decision, direction to do so..  Folk lore: Kyanite is said to be used to embrace universal love fully in all it’s aspects. It assists in fostering the right frame of mind to prepare for meditation..  Geology &amp; origin: Kyanite is a wonderfully rare polymorph that actually displays two separate hardness within one gemstone, they may be softer parallel to the direction of the cleavage and harder to the perpendicular. This is a unique characteristic within the gem world..</t>
        </is>
      </c>
      <c r="P30" t="inlineStr">
        <is>
          <t>Honeysuckle</t>
        </is>
      </c>
      <c r="Q30" t="inlineStr">
        <is>
          <t>Kyanite is a wonderfully rare polymorph that actually displays two separate hardness within one gemstone, they may be softer parallel to the direction of the cleavage and harder to the perpendicular. This is a unique characteristic within the gem world.</t>
        </is>
      </c>
      <c r="R30" t="inlineStr">
        <is>
          <t>Generally safe for handling. Fragile along cleavage planes — handle with care.</t>
        </is>
      </c>
      <c r="S30" t="inlineStr">
        <is>
          <t>ROSE HIP</t>
        </is>
      </c>
      <c r="T30" t="inlineStr">
        <is>
          <t>Honouring Venus, Harmony, Peace, Calming energies, Love, Soul mates, Companionship, Incense, Sachets, Charm bags, Love-attracting rituals, Cleansing before ritual, Stress relief</t>
        </is>
      </c>
      <c r="U30" t="inlineStr">
        <is>
          <t>ROSE PETALS</t>
        </is>
      </c>
      <c r="V30" t="inlineStr">
        <is>
          <t>Love, Sex, Passion, Conjuring a lover, Attracting love, Prophetic dreams, Healing, Calming stress, Calming household upheaval, Love messages</t>
        </is>
      </c>
      <c r="AQ30" t="inlineStr">
        <is>
          <t>Honeysuckle</t>
        </is>
      </c>
      <c r="AR30" t="inlineStr">
        <is>
          <t>INCREASE PSYCHIC ABILITIES, INCREASE MONEY, Protection</t>
        </is>
      </c>
      <c r="AS30" t="inlineStr">
        <is>
          <t>RELAXING, SOOTHING, UPLIFTING, PSYCHIC POWERS</t>
        </is>
      </c>
      <c r="AZ30" t="inlineStr">
        <is>
          <t>Kyanite</t>
        </is>
      </c>
      <c r="BA30" t="inlineStr">
        <is>
          <t>Healing, Confidence, Wisdom, Clairvoyance, Healing magic, Healing spells, Healing sachets, Healing incenses, Healing mixtures, Healing rituals, Healing incense, Healing vibrations, healing after surgery, Aiding recovery, Aiding the ill, Improving health, Speeding recovery, Good health, health, Self-confidence, Courage, Bravery, Determination, Will Power, Leadership, Leadership skills, Commanding, Personal power,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t>
        </is>
      </c>
      <c r="BB30" s="42" t="inlineStr">
        <is>
          <t>Water and the blue of high altitude clarity. Healing and confidence deepened. Wisdom and clairvoyance both find it receptive. The chakras aligned, truth communicated more cleanly. Where alignment and honesty are what the working asks for.</t>
        </is>
      </c>
    </row>
    <row r="31" ht="376.5" customHeight="1" s="56">
      <c r="A31" t="inlineStr">
        <is>
          <t>Labradorite</t>
        </is>
      </c>
      <c r="B31" t="inlineStr">
        <is>
          <t>Stone of Magic</t>
        </is>
      </c>
      <c r="C31" t="inlineStr">
        <is>
          <t>Labradorite (NaAlSi₃O₈–CaAl₂Si₂O₈)</t>
        </is>
      </c>
      <c r="D31" t="inlineStr">
        <is>
          <t>Earth magick, faith, patience, imagination, introspection, Strength, sleep, Protection, stress relief, Peace, Divination, strengthening convictions, Confidence, facilitating transf, mation.                                                                                                                                                                                                                                                                                                                                                                         Magical use:   The perfect stone f, any practising magic user. Frees the power of imagination, releases inhibitions, false modesty, increases belief in your self, your unique, magical abilities. Helpful to anyone seeking a spiritual ally, a familiar as it can be used to open channels of communication with spiritual beings, invite them to be present in your life. Encourages, assists those who are searching f, wisdom, can help you find magical knowledge in the most unlikely of places. There is also a very rare f, m of golden Labrad, ite which has a clear ‘Topaz’colour. Known as ‘Sun after St, m’ it brings deliverance from oppression, helps relieve the effects of stress, especially after a long, arduous time of troubles.</t>
        </is>
      </c>
      <c r="E31" t="inlineStr">
        <is>
          <t>Associated with the Aurora Borealis; used for protection and opening psychic gifts.</t>
        </is>
      </c>
      <c r="F31" t="inlineStr">
        <is>
          <t>earth</t>
        </is>
      </c>
      <c r="G31" t="inlineStr">
        <is>
          <t>water</t>
        </is>
      </c>
      <c r="H31" t="inlineStr">
        <is>
          <t>protective</t>
        </is>
      </c>
      <c r="I31" t="inlineStr">
        <is>
          <t>Saturday</t>
        </is>
      </c>
      <c r="J31" t="inlineStr">
        <is>
          <t>GAIA, NERTHUS, CERES</t>
        </is>
      </c>
      <c r="K31" t="inlineStr">
        <is>
          <t>MABON</t>
        </is>
      </c>
      <c r="L31" t="inlineStr">
        <is>
          <t>As legend tells us, Labradorite originates from Canada, discovered in 1770 on St. Paul Island in Labrador. During an archaeological dig for artifacts of the “Red Painted People” of Maine, pieces of this stone were found as well.</t>
        </is>
      </c>
      <c r="M31" t="inlineStr">
        <is>
          <t>Earth magick, faith, patience, imagination, introspection, Strength, sleep, Protection, stress relief, Peace, Divination, strengthening convictions, Confidence, facilitating transf, mation</t>
        </is>
      </c>
      <c r="N31" t="inlineStr">
        <is>
          <t>Told to provide quick relief from anxiety, depression, hopelessness, replacing them with self-confidence, enthusiasm, inspiration. When one is experiencing times of conflict, change, Labrad, ite is said to offer perseverance, Strength, enhanced inner intuition to assist in that time of disruption. Said to dispel negative thoughts, energies, bringing instead enhanced clarity of thought f, a clearer underst, Attracting good spirits, as well as improving one’s ability to cooperate in harmony with others.</t>
        </is>
      </c>
      <c r="O31" t="inlineStr">
        <is>
          <t>*Labradorite*  Also known as: Stone of Magic.  Mineral composition: Labradorite (NaAlSi₃O₈–CaAl₂Si₂O₈).  Planet: earth  Element: water  Energy: protective  Sacred Day: Saturday.  Deity associations: Arianrhod.  Sabbat: MABON.  Association: Associated with the Aurora Borealis; used for protection and opening psychic gifts..  Magical uses: Earth magick, faith, patience, imagination, introspection, Strength, sleep, Protection, stress relief, Peace, Divination, strengthening convictions, Confidence, facilitating transf, mation.                                                                                                                                                                                                                                                                                                                                                                         Magical use:   The perfect stone f, any practising magic user. Frees the power of imagination, releases inhibitions, false modesty, increases belief in your self, your unique, magical abilities. Helpful to anyone seeking a spiritual ally, a familiar as it can be used to open channels of communication with spiritual beings, invite them to be present in your life. Encourages, assists those who are searching f, wisdom, can help you find magical knowledge in the most unlikely of places. There is also a very rare f, m of golden Labrad, ite which has a clear ‘Topaz’colour. Known as ‘Sun after St, m’ it brings deliverance from oppression, helps relieve the effects of stress, especially after a long, arduous time of troubles..  Powers: Earth magick, faith, patience, imagination, introspection, Strength, sleep, Protection, stress relief, Peace, Divination, strengthening convictions, Confidence, facilitating transf, mation.  Spiritual uses: Told to provide quick relief from anxiety, depression, hopelessness, replacing them with self-confidence, enthusiasm, inspiration. When one is experiencing times of conflict, change, Labrad, ite is said to offer perseverance, Strength, enhanced inner intuition to assist in that time of disruption. Said to dispel negative thoughts, energies, bringing instead enhanced clarity of thought f, a clearer underst, Attracting good spirits, as well as improving one’s ability to cooperate in harmony with others..  Folk lore: As legend tells us, Labradorite originates from Canada, discovered in 1770 on St. Paul Island in Labrador. During an archaeological dig for artifacts of the “Red Painted People” of Maine, pieces of this stone were found as well..  Geology &amp; origin: Labradorite is a type of translucent feldspar which displays strong iridescence when viewed from different angles, Finnish Spectrolite exhibits vivid colors of bright aqua, golden yellow, peacock blue, reddish orange, greens, and browns..</t>
        </is>
      </c>
      <c r="P31" t="inlineStr">
        <is>
          <t>Rosemary</t>
        </is>
      </c>
      <c r="Q31" t="inlineStr">
        <is>
          <t>Labradorite is a type of translucent feldspar which displays strong iridescence when viewed from different angles, Finnish Spectrolite exhibits vivid colors of bright aqua, golden yellow, peacock blue, reddish orange, greens, and browns.</t>
        </is>
      </c>
      <c r="R31" t="inlineStr">
        <is>
          <t>Generally safe for handling and use.</t>
        </is>
      </c>
      <c r="AZ31" t="inlineStr">
        <is>
          <t>Labradorite</t>
        </is>
      </c>
      <c r="BA31" t="inlineStr">
        <is>
          <t>Magical power, Clairvoyance, Wisdom, Protection, Strength, Increasing magical power, Increasing spell power, Power amplification, Bolstering spells, Bolstering incense, Strengthening spells, Potency, Power, Magic, WISDOM IN MAGICK, defensive magic,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Protective charm, Protective charms, Protective sachets, Protective wreaths, Protective incense, PROTECT AGAINST NEGATIVITY, Protection from negativity, Circle protection, Physical Strength, Fortitude, Vitality, Inner power, and strength</t>
        </is>
      </c>
      <c r="BB31" s="42" t="inlineStr">
        <is>
          <t>Water and the aurora held in stone. Magical power and clairvoyance both strengthened. Wisdom and protection running together. Faith and patience for what cannot yet be seen. The inner light that reveals what is hidden.</t>
        </is>
      </c>
    </row>
    <row r="32" ht="409.5" customHeight="1" s="56">
      <c r="A32" t="inlineStr">
        <is>
          <t>Lapis Lazuli</t>
        </is>
      </c>
      <c r="B32" t="inlineStr">
        <is>
          <t>Stone of the Afterlife</t>
        </is>
      </c>
      <c r="C32" t="inlineStr">
        <is>
          <t>Sodalite group</t>
        </is>
      </c>
      <c r="D32" t="inlineStr">
        <is>
          <t>Lapis is a very magical stone that has been renowned since ancient times f, its power, beauty. Its rich blue colour, covered with tiny golden sparkles of Iron Pyrite, resembles the star studded night sky, magically it is used to symbolise this, call upon the powers of Night. Used to increase magical energy levels, strengthen your psychic protection against negative energy. Most commonly used in magic f, Love, sexuality. The stone is sacred to the love Goddess Laz, also to Ishtar, can be used to call upon them when you are in need of their aid. Touching Laps Lazuli every day is reputed to ensure contentment, a comf, table life – jewellery would be ideal f, this purpose, though if you can aff, d lots of beautiful Lapis jewellery you probably already have a comf, table life!</t>
        </is>
      </c>
      <c r="E32" t="inlineStr">
        <is>
          <t>Used in Egyptian burial rites for truth and wisdom; aids communication [cite: 1.1.2].</t>
        </is>
      </c>
      <c r="F32" t="inlineStr">
        <is>
          <t>venus</t>
        </is>
      </c>
      <c r="G32" t="inlineStr">
        <is>
          <t>water</t>
        </is>
      </c>
      <c r="H32" t="inlineStr">
        <is>
          <t>receptive</t>
        </is>
      </c>
      <c r="I32" t="inlineStr">
        <is>
          <t>Friday</t>
        </is>
      </c>
      <c r="J32" t="inlineStr">
        <is>
          <t>APHRODITE, VENUS, FREYJA, HATHOR</t>
        </is>
      </c>
      <c r="K32" t="inlineStr">
        <is>
          <t>OSTARA, BELTANE</t>
        </is>
      </c>
      <c r="L32" t="inlineStr">
        <is>
          <t>Lapis lazuli has timeless associations with Kings and Queens. In ancient Sumer the stone was closely associated with the dieties in general.</t>
        </is>
      </c>
      <c r="M32" t="inlineStr">
        <is>
          <t>Confidence, healing emotional wounds, compassion, wisdom, Strength, clarity, Fidelity, spiritual love, past life recall, divination (especially scrying, Tarot, runes), Peace, eloquence, expressiveness, creativity.</t>
        </is>
      </c>
      <c r="N32" t="inlineStr">
        <is>
          <t>Lapis is also supposed to bring its bearer peace of mind, calmness, clear thoughts so it is a very useful stone to keep near you when practising meditation.</t>
        </is>
      </c>
      <c r="O32" t="inlineStr">
        <is>
          <t>*Lapis Lazuli*  Also known as: Stone of the Afterlife.  Mineral composition: Sodalite group.  Planet: venus  Element: water  Energy: receptive  Sacred Day: Friday.  Deity associations: isis, venus, nuit.  Sabbat: OSTARA, BELTANE.  Association: Used in Egyptian burial rites for truth and wisdom; aids communication [cite: 1.1.2]..  Magical uses: Lapis is a very magical stone that has been renowned since ancient times f, its power, beauty. Its rich blue colour, covered with tiny golden sparkles of Iron Pyrite, resembles the star studded night sky, magically it is used to symbolise this, call upon the powers of Night. Used to increase magical energy levels, strengthen your psychic protection against negative energy. Most commonly used in magic f, Love, sexuality. The stone is sacred to the love Goddess Laz, also to Ishtar, can be used to call upon them when you are in need of their aid. Touching Laps Lazuli every day is reputed to ensure contentment, a comf, table life – jewellery would be ideal f, this purpose, though if you can aff, d lots of beautiful Lapis jewellery you probably already have a comf, table life!.  Powers: Confidence, healing emotional wounds, compassion, wisdom, Strength, clarity, Fidelity, spiritual love, past life recall, divination (especially scrying, Tarot, runes), Peace, eloquence, expressiveness, creativity..  Spiritual uses: Lapis is also supposed to bring its bearer peace of mind, calmness, clear thoughts so it is a very useful stone to keep near you when practising meditation..  Folk lore: Lapis lazuli has timeless associations with Kings and Queens. In ancient Sumer the stone was closely associated with the dieties in general..  Geology &amp; origin: Much like the Diamond, Kyanite has perfect cleavage in one direction. This combined with its varying harness, makes this stone quite a challenge to cut..</t>
        </is>
      </c>
      <c r="P32" t="inlineStr">
        <is>
          <t>Ylang Ylang</t>
        </is>
      </c>
      <c r="Q32" t="inlineStr">
        <is>
          <t>Much like the Diamond, Kyanite has perfect cleavage in one direction. This combined with its varying harness, makes this stone quite a challenge to cut.</t>
        </is>
      </c>
      <c r="R32" t="inlineStr">
        <is>
          <t>Warning: Contains pyrite and lazurite. Do not use in direct gem elixirs — use indirect method. Avoid salt water cleansing.</t>
        </is>
      </c>
      <c r="S32" t="inlineStr">
        <is>
          <t>BLACKBERRY LEAVES</t>
        </is>
      </c>
      <c r="T32" t="inlineStr">
        <is>
          <t>Protection, Protective wreaths, Mojo bags, Household protection, Prosperity, Female fertility, Aphrodisiac tea, Abundant harvest, Magical cooking</t>
        </is>
      </c>
      <c r="U32" t="inlineStr">
        <is>
          <t>COLTSFOOT</t>
        </is>
      </c>
      <c r="V32" t="inlineStr">
        <is>
          <t>Spring rituals, Imbolc, Ostara, Beltane, Love, Tranquillity, Money spells, Divinatory incense, Healing incense, Psychic awareness, Communion with spirits, Prophetic dreams, Removing sickness, Removing mental troubles, Visions</t>
        </is>
      </c>
      <c r="W32" t="inlineStr">
        <is>
          <t>HEATHER</t>
        </is>
      </c>
      <c r="X32" t="inlineStr">
        <is>
          <t>Opening fairy portals, Enhancing beauty, Shapeshifting, Protection from shifters, Assisting transformation</t>
        </is>
      </c>
      <c r="Y32" t="inlineStr">
        <is>
          <t>HIBISCUS</t>
        </is>
      </c>
      <c r="Z32" t="inlineStr">
        <is>
          <t>Inviting love, Promoting fidelity, Passionate love-making</t>
        </is>
      </c>
      <c r="AQ32" t="inlineStr">
        <is>
          <t>Rose</t>
        </is>
      </c>
      <c r="AR32" t="inlineStr">
        <is>
          <t>Peace, Protection, Luck, PROMOTE LOVE &amp; AFFECTION</t>
        </is>
      </c>
      <c r="AS32" t="inlineStr">
        <is>
          <t>BALANCING, STRENGTHENING, Attracting good spirits</t>
        </is>
      </c>
      <c r="AT32" t="inlineStr">
        <is>
          <t>Thyme</t>
        </is>
      </c>
      <c r="AU32" t="inlineStr">
        <is>
          <t>Healing, Love, Purification, Confidence</t>
        </is>
      </c>
      <c r="AV32" t="inlineStr">
        <is>
          <t>Harmony, STRENGTHENS, SUPP, Amulets/talismans</t>
        </is>
      </c>
      <c r="AW32" t="inlineStr">
        <is>
          <t>Vanilla</t>
        </is>
      </c>
      <c r="AX32" t="inlineStr">
        <is>
          <t>MENTAL POWERS, LOVING &amp; LUSTFUL ENERGIES</t>
        </is>
      </c>
      <c r="AY32" t="inlineStr">
        <is>
          <t>SOOTHES NERVES, CALMS, RELAXES</t>
        </is>
      </c>
      <c r="AZ32" t="inlineStr">
        <is>
          <t>Lapis Lazuli</t>
        </is>
      </c>
      <c r="BA32" t="inlineStr">
        <is>
          <t>Magical power, Clairvoyance, Love, Protection, Otherworld travel, Increasing magical power, Increasing spell power, Power amplification, Bolstering spells, Bolstering incense, Strengthening spells, Potency, Power, Magic, WISDOM IN MAGICK, defensive magic, Enhancing clairvoyance, Psychic development, Psychic powers, INCREASE PSYCHIC ABILITIES, Psychic awareness, Stimulating psychic senses, Disabling psychic phenomena, Psychic communication, communication and psychic abilities,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t>
        </is>
      </c>
      <c r="BB32" s="42" t="inlineStr">
        <is>
          <t>Water and the night sky compressed into something you can hold. Magical power and clairvoyance both deepened. Love and protection carried in its dark blue. Otherworld travel supported. The stone of those who hold deep responsibility for others.</t>
        </is>
      </c>
    </row>
    <row r="33" ht="409.5" customHeight="1" s="56">
      <c r="A33" t="inlineStr">
        <is>
          <t>Lepidolite</t>
        </is>
      </c>
      <c r="B33" t="inlineStr">
        <is>
          <t>Stone of Transition</t>
        </is>
      </c>
      <c r="C33" t="inlineStr">
        <is>
          <t>Lepidolite (K(Li,Al)₃(Al,Si)₄O₁₀(OH,F)₂)</t>
        </is>
      </c>
      <c r="D33" t="inlineStr">
        <is>
          <t>Brings peace, Harmony, is very useful f, cleansing a room after an argument, confrontation. Helps you to relieve stress, learn to let go of hurtful w, Midsummer, mem, ies so that you can find inner peace. Aids restful sleep, protects against nightmares. This stone is closely connected with Earth magic, it is said that of you treat it gently it will teach you how to tread lightly on the Earth. Meditation with Lepidolite can increase your awareness of the role you play as part of the web of life. A healing stone f, mental illness, emotional problems</t>
        </is>
      </c>
      <c r="E33" t="inlineStr">
        <is>
          <t>Contains natural lithium; used to soothe the spirit and release old patterns.</t>
        </is>
      </c>
      <c r="F33" t="inlineStr">
        <is>
          <t>jupiter, neptune</t>
        </is>
      </c>
      <c r="G33" t="inlineStr">
        <is>
          <t>water</t>
        </is>
      </c>
      <c r="H33" t="inlineStr">
        <is>
          <t>receptive</t>
        </is>
      </c>
      <c r="I33" t="inlineStr">
        <is>
          <t>Thursday</t>
        </is>
      </c>
      <c r="J33" t="inlineStr">
        <is>
          <t>ZEUS, JUPITER, THOR, ODIN</t>
        </is>
      </c>
      <c r="K33" t="inlineStr">
        <is>
          <t>MABON, SAMHAIN</t>
        </is>
      </c>
      <c r="L33" t="inlineStr">
        <is>
          <t>bound to the left arm it dispels enchantments, heals the mind, prevents sleepwalking and apparently cures haemorrhoids!</t>
        </is>
      </c>
      <c r="M33" t="inlineStr">
        <is>
          <t>Serenity, Peace, stress relief, unity of the mind, heart, transitions, New beginnings, overcoming dependencies, addictions, objectivity, clear communication, acceptance of life's inevitable changes.</t>
        </is>
      </c>
      <c r="N33" t="inlineStr">
        <is>
          <t>a calming stone, suitable f, relieving the stresses of everyday life.</t>
        </is>
      </c>
      <c r="O33" t="inlineStr">
        <is>
          <t>*Lepidolite*  Also known as: Stone of Transition.  Mineral composition: Lepidolite (K(Li,Al)₃(Al,Si)₄O₁₀(OH,F)₂).  Planet: jupiter, neptune  Element: water  Energy: receptive  Sacred Day: Thursday.  Deity associations: zeus.  Sabbat: MABON, SAMHAIN.  Association: Contains natural lithium; used to soothe the spirit and release old patterns..  Magical uses: Brings peace, Harmony, is very useful f, cleansing a room after an argument, confrontation. Helps you to relieve stress, learn to let go of hurtful w, Midsummer, mem, ies so that you can find inner peace. Aids restful sleep, protects against nightmares. This stone is closely connected with Earth magic, it is said that of you treat it gently it will teach you how to tread lightly on the Earth. Meditation with Lepidolite can increase your awareness of the role you play as part of the web of life. A healing stone f, mental illness, emotional problems.  Powers: Serenity, Peace, stress relief, unity of the mind, heart, transitions, New beginnings, overcoming dependencies, addictions, objectivity, clear communication, acceptance of life's inevitable changes..  Spiritual uses: a calming stone, suitable f, relieving the stresses of everyday life..  Folk lore: bound to the left arm it dispels enchantments, heals the mind, prevents sleepwalking and apparently cures haemorrhoids!.  Geology &amp; origin: Lepidolite is an uncommon mica, one rich in lithium that presents in shades of deep purple to a soft pink. Found intermingled with pink Tourmaline, Lepidolite is sometimes ‘shot through’ with the crystal.
Found in California, Lepidolite is created amongst other minerals such as Tourmaline, Morganite, Hiddenite and Kunzite, often with some of the same traits..</t>
        </is>
      </c>
      <c r="P33" t="inlineStr">
        <is>
          <t>Honeysuckle</t>
        </is>
      </c>
      <c r="Q33" t="inlineStr">
        <is>
          <t>Lepidolite is an uncommon mica, one rich in lithium that presents in shades of deep purple to a soft pink. Found intermingled with pink Tourmaline, Lepidolite is sometimes ‘shot through’ with the crystal.
Found in California, Lepidolite is created amongst other minerals such as Tourmaline, Morganite, Hiddenite and Kunzite, often with some of the same traits.</t>
        </is>
      </c>
      <c r="R33" t="inlineStr">
        <is>
          <t>Generally safe for handling. Contains lithium — do not use in direct gem elixirs.</t>
        </is>
      </c>
      <c r="S33" t="inlineStr">
        <is>
          <t>ROSE HIP</t>
        </is>
      </c>
      <c r="T33" t="inlineStr">
        <is>
          <t>Honouring Venus, Harmony, Peace, Calming energies, Love, Soul mates, Companionship, Incense, Sachets, Charm bags, Love-attracting rituals, Cleansing before ritual, Stress relief</t>
        </is>
      </c>
      <c r="U33" t="inlineStr">
        <is>
          <t>ROSE PETALS</t>
        </is>
      </c>
      <c r="V33" t="inlineStr">
        <is>
          <t>Love, Sex, Passion, Conjuring a lover, Attracting love, Prophetic dreams, Healing, Calming stress, Calming household upheaval, Love messages</t>
        </is>
      </c>
      <c r="AQ33" t="inlineStr">
        <is>
          <t>Honeysuckle</t>
        </is>
      </c>
      <c r="AR33" t="inlineStr">
        <is>
          <t>INCREASE PSYCHIC ABILITIES, INCREASE MONEY, Protection</t>
        </is>
      </c>
      <c r="AS33" t="inlineStr">
        <is>
          <t>RELAXING, SOOTHING, UPLIFTING, PSYCHIC POWERS</t>
        </is>
      </c>
      <c r="AZ33" t="inlineStr">
        <is>
          <t>Lepidolite</t>
        </is>
      </c>
      <c r="BA33" t="inlineStr">
        <is>
          <t>Harmony, Peace, Sleep, Healing, Cleansing,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Nightmare prevention, Preventing nightmares, Negating dreams, RID OF BAD DREAMS, Nightmares, Rest, Encouraging sound sleep, Healing magic, Healing spells, Healing sachets, Healing incenses, Healing mixtures, Healing rituals, Healing incense, Healing vibrations, healing after surgery, Aiding recovery, Aiding the ill, Improving health, Speeding recovery, Good health, health,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BB33" s="42" t="inlineStr">
        <is>
          <t>Water and the lilac of deep quiet. Harmony, peace and sleep all carried in its gentle energy. Healing and cleansing both find it receptive. Transitions eased, dependencies loosened. Where anxiety and stress need releasing and the working needs softening.</t>
        </is>
      </c>
    </row>
    <row r="34" ht="409.5" customHeight="1" s="56">
      <c r="A34" t="inlineStr">
        <is>
          <t>Lodestone</t>
        </is>
      </c>
      <c r="B34" t="inlineStr">
        <is>
          <t>Magnetic Heart</t>
        </is>
      </c>
      <c r="C34" t="inlineStr">
        <is>
          <t>Magnetite (Fe₃O₄)</t>
        </is>
      </c>
      <c r="D34" t="inlineStr">
        <is>
          <t>It has been used in spells f, hundreds of years to increase the power of attraction. Add to charm bags to draw love, Prosperity, Luck, Happiness, just to increase the power of the other ingredients. Many believe that Lodestones should be carried in pairs, one to attract good things, the other to repel evil. Roman prostitutes w, e the stone as a talisman to attract wealthy clients. Lodestones, iron kept together in a charm bag will encourage fidelity, boost sexual desire between a couple. A Lodestone w, n at the belt is reputed to increase a man’s sexual vigour, encourage interest from the opposite sex. Carved Lodestone belt buckles are w, n not just to increase sexual prowess but also to increase success in business, gambling, money matters. Used magically to increase general health, to boost all levels of energy, physical, mental, spiritual. Whenever Lodestones are used in magic, even in charm bags, they should be removed regularly, cleansed because their magnetic power can lead them to become saturated with the energy they have drawn</t>
        </is>
      </c>
      <c r="E34" t="inlineStr">
        <is>
          <t>Used to 'draw' things (love, money, luck) to the user; the original compass.</t>
        </is>
      </c>
      <c r="F34" t="inlineStr">
        <is>
          <t>Venus</t>
        </is>
      </c>
      <c r="G34" t="inlineStr">
        <is>
          <t>Water</t>
        </is>
      </c>
      <c r="H34" t="inlineStr">
        <is>
          <t>receptive</t>
        </is>
      </c>
      <c r="I34" t="inlineStr">
        <is>
          <t>Friday</t>
        </is>
      </c>
      <c r="J34" t="inlineStr">
        <is>
          <t>APHRODITE, VENUS, FREYJA, HATHOR</t>
        </is>
      </c>
      <c r="K34" t="inlineStr">
        <is>
          <t>OSTARA, BELTANE</t>
        </is>
      </c>
      <c r="L34" t="inlineStr">
        <is>
          <t>This magical stone was used to make the first compasses because a sliver of Lodestone floated in a bowl of water will align itself with the Earth’s magnetic field.</t>
        </is>
      </c>
      <c r="M34" t="inlineStr">
        <is>
          <t>Focus, sleep, grounding.</t>
        </is>
      </c>
      <c r="N34" t="inlineStr">
        <is>
          <t>Used to align chakras and draw spiritual energy. Placed on altars to attract positive forces and enhance the power of spells and ritual workings.</t>
        </is>
      </c>
      <c r="O34" t="inlineStr">
        <is>
          <t>*Lodestone*  Also known as: Magnetic Heart.  Mineral composition: Magnetite (Fe₃O₄).  Planet: Venus  Element: Water  Energy: receptive  Sacred Day: Friday.  Deity associations: Diana.  Sabbat: OSTARA, BELTANE.  Association: Used to 'draw' things (love, money, luck) to the user; the original compass..  Magical uses: It has been used in spells f, hundreds of years to increase the power of attraction. Add to charm bags to draw love, Prosperity, Luck, Happiness, just to increase the power of the other ingredients. Many believe that Lodestones should be carried in pairs, one to attract good things, the other to repel evil. Roman prostitutes w, e the stone as a talisman to attract wealthy clients. Lodestones, iron kept together in a charm bag will encourage fidelity, boost sexual desire between a couple. A Lodestone w, n at the belt is reputed to increase a man’s sexual vigour, encourage interest from the opposite sex. Carved Lodestone belt buckles are w, n not just to increase sexual prowess but also to increase success in business, gambling, money matters. Used magically to increase general health, to boost all levels of energy, physical, mental, spiritual. Whenever Lodestones are used in magic, even in charm bags, they should be removed regularly, cleansed because their magnetic power can lead them to become saturated with the energy they have drawn.  Powers: Focus, sleep, grounding..  Spiritual uses: Used to align chakras and draw spiritual energy. Placed on altars to attract positive forces and enhance the power of spells and ritual workings..  Folk lore: This magical stone was used to make the first compasses because a sliver of Lodestone floated in a bowl of water will align itself with the Earth’s magnetic field..  Geology &amp; origin: Occurring in a variety of locations, the best deposits are told to hail from the Kali Gandaki Region of West Central Nepal, as well as Tibet..</t>
        </is>
      </c>
      <c r="P34" t="inlineStr">
        <is>
          <t>Ylang Ylang</t>
        </is>
      </c>
      <c r="Q34" t="inlineStr">
        <is>
          <t>Occurring in a variety of locations, the best deposits are told to hail from the Kali Gandaki Region of West Central Nepal, as well as Tibet.</t>
        </is>
      </c>
      <c r="R34" t="inlineStr">
        <is>
          <t>Generally safe for handling. Natural magnet — keep away from electronics and magnetic storage.</t>
        </is>
      </c>
      <c r="S34" t="inlineStr">
        <is>
          <t>BLACKBERRY LEAVES</t>
        </is>
      </c>
      <c r="T34" t="inlineStr">
        <is>
          <t>Protection, Protective wreaths, Mojo bags, Household protection, Prosperity, Female fertility, Aphrodisiac tea, Abundant harvest, Magical cooking</t>
        </is>
      </c>
      <c r="U34" t="inlineStr">
        <is>
          <t>COLTSFOOT</t>
        </is>
      </c>
      <c r="V34" t="inlineStr">
        <is>
          <t>Spring rituals, Imbolc, Ostara, Beltane, Love, Tranquillity, Money spells, Divinatory incense, Healing incense, Psychic awareness, Communion with spirits, Prophetic dreams, Removing sickness, Removing mental troubles, Visions</t>
        </is>
      </c>
      <c r="W34" t="inlineStr">
        <is>
          <t>HEATHER</t>
        </is>
      </c>
      <c r="X34" t="inlineStr">
        <is>
          <t>Opening fairy portals, Enhancing beauty, Shapeshifting, Protection from shifters, Assisting transformation</t>
        </is>
      </c>
      <c r="Y34" t="inlineStr">
        <is>
          <t>HIBISCUS</t>
        </is>
      </c>
      <c r="Z34" t="inlineStr">
        <is>
          <t>Inviting love, Promoting fidelity, Passionate love-making</t>
        </is>
      </c>
      <c r="AQ34" t="inlineStr">
        <is>
          <t>Rose</t>
        </is>
      </c>
      <c r="AR34" t="inlineStr">
        <is>
          <t>Peace, Protection, Luck, PROMOTE LOVE &amp; AFFECTION</t>
        </is>
      </c>
      <c r="AS34" t="inlineStr">
        <is>
          <t>BALANCING, STRENGTHENING, Attracting good spirits</t>
        </is>
      </c>
      <c r="AT34" t="inlineStr">
        <is>
          <t>Thyme</t>
        </is>
      </c>
      <c r="AU34" t="inlineStr">
        <is>
          <t>Healing, Love, Purification, Confidence</t>
        </is>
      </c>
      <c r="AV34" t="inlineStr">
        <is>
          <t>Harmony, STRENGTHENS, SUPP, Amulets/talismans</t>
        </is>
      </c>
      <c r="AW34" t="inlineStr">
        <is>
          <t>Vanilla</t>
        </is>
      </c>
      <c r="AX34" t="inlineStr">
        <is>
          <t>MENTAL POWERS, LOVING &amp; LUSTFUL ENERGIES</t>
        </is>
      </c>
      <c r="AY34" t="inlineStr">
        <is>
          <t>SOOTHES NERVES, CALMS, RELAXES</t>
        </is>
      </c>
      <c r="AZ34" t="inlineStr">
        <is>
          <t>Lodestone</t>
        </is>
      </c>
      <c r="BA34" t="inlineStr">
        <is>
          <t>Love, Prosperity, Luck, Happiness, Fidelity, Aphrodisiac, Healing, Strength,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Joy, Joyous celebrations, Contentment, Faithfulness, Loyalty, Promoting fidelity, Ensuring a lover returns love, Aphrodisiac tea, Sensuality, Lust, Lust/Sex, Passionate love-making, LOVING &amp; LUSTFUL ENERGIES, SEX MAGIC, RAISE SEXUAL ENERGY, Sexual energy, Healing magic, Healing spells, Healing sachets, Healing incenses, Healing mixtures, Healing rituals, Healing incense, Healing vibrations, healing after surgery, Aiding recovery, Aiding the ill, Improving health, Speeding recovery, Good health, health, Physical Strength, Fortitude, Vitality, Inner power, and strength</t>
        </is>
      </c>
      <c r="BB34" s="42" t="inlineStr">
        <is>
          <t>Water and the magnetic pull of the living earth. Love, prosperity and luck all drawn in on its current. Happiness and fidelity both strengthened. Aphrodisiac energy alive in its pull. The drawing stone — placed where attraction is the working.</t>
        </is>
      </c>
    </row>
    <row r="35" ht="409.5" customHeight="1" s="56">
      <c r="A35" t="inlineStr">
        <is>
          <t>Malachite</t>
        </is>
      </c>
      <c r="B35" t="inlineStr">
        <is>
          <t>Stone of Transformation</t>
        </is>
      </c>
      <c r="C35" t="inlineStr">
        <is>
          <t>Cu₂(CO₃)(OH)₂</t>
        </is>
      </c>
      <c r="D35" t="inlineStr">
        <is>
          <t>Malachite is believed to bring good luck, Anti-theft, tune to anyone travelling by sea, especially expl, ers, adventurers. A stone cut into a triangle protects against the evil eye, can be used in spells to attract lovers. Can help you become m, e creative by helping you realise the w, th of your talents while being flexible enough to make the best use of them. The stone is well known f, its ability to turn aside mental, magical attacks. Malachite is linked with the magical Will, can be used in spells, meditation to strengthen that skill, increase your personal power, confidence.</t>
        </is>
      </c>
      <c r="E35" t="inlineStr">
        <is>
          <t>A powerful guardian stone used for protection and change.</t>
        </is>
      </c>
      <c r="F35" t="inlineStr">
        <is>
          <t>venus</t>
        </is>
      </c>
      <c r="G35" t="inlineStr">
        <is>
          <t>earth</t>
        </is>
      </c>
      <c r="H35" t="inlineStr">
        <is>
          <t>receptive</t>
        </is>
      </c>
      <c r="I35" t="inlineStr">
        <is>
          <t>Friday</t>
        </is>
      </c>
      <c r="J35" t="inlineStr">
        <is>
          <t>APHRODITE, VENUS, FREYJA, HATHOR</t>
        </is>
      </c>
      <c r="K35" t="inlineStr">
        <is>
          <t>OSTARA, BELTANE</t>
        </is>
      </c>
      <c r="L35" t="inlineStr">
        <is>
          <t>A Malachite pendant given to a child as a gift will protect them from illness and accidents                                                                                                                                                                                                                                                                                                                                                                       Lore:  It is said that a piece of Malachite in your till will ensure continuing business success.</t>
        </is>
      </c>
      <c r="M35" t="inlineStr">
        <is>
          <t>Strength, Prosperity, inspiration, releasing pain, anger, concentration, travel protection, Healing, sleep, psychic visions, overcoming negativity &amp; depression, business success, protection from physical danger, emotional maturity, Fertility, wisdom</t>
        </is>
      </c>
      <c r="N35" t="inlineStr">
        <is>
          <t>Used in healing to treat headache, migraine</t>
        </is>
      </c>
      <c r="O35" t="inlineStr">
        <is>
          <t>*Malachite*  Also known as: Stone of Transformation.  Mineral composition: Cu₂(CO₃)(OH)₂.  Planet: venus  Element: earth  Energy: receptive  Sacred Day: Friday.  Deity associations: Isis.  Sabbat: OSTARA, BELTANE.  Association: A powerful guardian stone used for protection and change..  Magical uses: Malachite is believed to bring good luck, Anti-theft, tune to anyone travelling by sea, especially expl, ers, adventurers. A stone cut into a triangle protects against the evil eye, can be used in spells to attract lovers. Can help you become m, e creative by helping you realise the w, th of your talents while being flexible enough to make the best use of them. The stone is well known f, its ability to turn aside mental, magical attacks. Malachite is linked with the magical Will, can be used in spells, meditation to strengthen that skill, increase your personal power, confidence..  Powers: Strength, Prosperity, inspiration, releasing pain, anger, concentration, travel protection, Healing, sleep, psychic visions, overcoming negativity &amp; depression, business success, protection from physical danger, emotional maturity, Fertility, wisdom.  Spiritual uses: Used in healing to treat headache, migraine.  Folk lore: A Malachite pendant given to a child as a gift will protect them from illness and accidents                                                                                                                                                                                                                                                                                                                                                                       Lore:  It is said that a piece of Malachite in your till will ensure continuing business success..  Geology &amp; origin: Malachite is usually found in large opaque green masses, copper being the cause for the coloring. It often crystallizes in the form of crusts, tufts, masses, or rosettes. But a few will also exhibit a drusy of small crystals of Malachite on the surface..</t>
        </is>
      </c>
      <c r="P35" t="inlineStr">
        <is>
          <t>Patchouli</t>
        </is>
      </c>
      <c r="Q35" t="inlineStr">
        <is>
          <t>Malachite is usually found in large opaque green masses, copper being the cause for the coloring. It often crystallizes in the form of crusts, tufts, masses, or rosettes. But a few will also exhibit a drusy of small crystals of Malachite on the surface.</t>
        </is>
      </c>
      <c r="R35" t="inlineStr">
        <is>
          <t>Warning: Contains copper and is toxic. Never use in direct gem elixirs. Wash hands thoroughly after handling. Do not inhale dust from raw or polished specimens.</t>
        </is>
      </c>
      <c r="S35" t="inlineStr">
        <is>
          <t>OREGANO</t>
        </is>
      </c>
      <c r="T35" t="inlineStr">
        <is>
          <t>Happiness, Animals, Harmony, Love, Peace, Protection, Psychic development, Aiding grief, Weddings, Hand-fastings</t>
        </is>
      </c>
      <c r="U35" t="inlineStr">
        <is>
          <t>PENNYROYAL</t>
        </is>
      </c>
      <c r="V35"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t>
        </is>
      </c>
      <c r="W35" t="inlineStr">
        <is>
          <t>VERVAIN</t>
        </is>
      </c>
      <c r="X35" t="inlineStr">
        <is>
          <t>Protection, Defending against spells, Warding off witches, Exorcising evil entities, Ju-ju / gris-gris protection, Protection for infants, Protection from negativity</t>
        </is>
      </c>
      <c r="Y35" t="inlineStr">
        <is>
          <t>VIOLET</t>
        </is>
      </c>
      <c r="Z35" t="inlineStr">
        <is>
          <t>Love (with lavender), Good luck, Prophetic dreams, Divination, Prosperity, Protection, Faithfulness, Love, Wishes, Peace, Healing, Abs, bing evil spells, bing ill will</t>
        </is>
      </c>
      <c r="AZ35" t="inlineStr">
        <is>
          <t>Malachite</t>
        </is>
      </c>
      <c r="BA35" t="inlineStr">
        <is>
          <t>Luck, Confidence, Magical power, Protection,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Self-confidence, Courage, Bravery, Determination, Will Power, Leadership, Leadership skills, Commanding, Personal power, Increasing magical power, Increasing spell power, Power amplification, Bolstering spells, Bolstering incense, Strengthening spells, Potency, Power, Magic, WISDOM IN MAGICK, defensive magic, Protective charm, Protective charms, Protective sachets, Protective wreaths, Protective incense, PROTECT AGAINST NEGATIVITY, Protection from negativity, Circle protection</t>
        </is>
      </c>
      <c r="BB35" s="42" t="inlineStr">
        <is>
          <t>Earth and the malachite green of old copper, the stone of release. Luck and confidence both carried. Magical power deepened, protection held. Spell-breaking made possible. What has been stuck for too long — in the body, in the heart, in the working — loosens in its presence.</t>
        </is>
      </c>
    </row>
    <row r="36" ht="409.5" customHeight="1" s="56">
      <c r="A36" t="inlineStr">
        <is>
          <t>Moonstone</t>
        </is>
      </c>
      <c r="B36" t="inlineStr">
        <is>
          <t>Lunar Stone</t>
        </is>
      </c>
      <c r="C36" t="inlineStr">
        <is>
          <t>Feldspar var.</t>
        </is>
      </c>
      <c r="D36" t="inlineStr">
        <is>
          <t>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t>
        </is>
      </c>
      <c r="E36" t="inlineStr">
        <is>
          <t>Associated with the stars, moon, and healing; used for feminine power [cite: 1.1.2].</t>
        </is>
      </c>
      <c r="F36" t="inlineStr">
        <is>
          <t>moon</t>
        </is>
      </c>
      <c r="G36" t="inlineStr">
        <is>
          <t>water</t>
        </is>
      </c>
      <c r="H36" t="inlineStr">
        <is>
          <t>receptive</t>
        </is>
      </c>
      <c r="I36" t="inlineStr">
        <is>
          <t>Monday</t>
        </is>
      </c>
      <c r="J36" t="inlineStr">
        <is>
          <t>APHRODITE, SELENE</t>
        </is>
      </c>
      <c r="K36" t="inlineStr">
        <is>
          <t>SAMHAIN</t>
        </is>
      </c>
      <c r="L36" t="inlineStr">
        <is>
          <t>Moonstone was called Aphroselene by the Greeks in honour of Aphrodite, Goddess of love and beauty and Selene, Goddess of the Moon.</t>
        </is>
      </c>
      <c r="M36" t="inlineStr">
        <is>
          <t>Travel protection (especially water travel), stress relief, past life regression, Luck, clarity, spiritual underst, Attracting good spirits, calming emotions, hope, opening heart to love, Happiness, good f, Fortune, New beginnings, beauty, childbirth, dieting, Divination, humanitarian matters.</t>
        </is>
      </c>
      <c r="N36" t="inlineStr">
        <is>
          <t>In healing Moonstone is used to clear the mind, discard any confusion, turmoil that is preventing you from being fully healthy.</t>
        </is>
      </c>
      <c r="O36" t="inlineStr">
        <is>
          <t>*Moonstone*  Also known as: Lunar Stone.  Mineral composition: Feldspar var..  Planet: moon  Element: water  Energy: receptive  Sacred Day: Monday.  Deity associations: diana, selene,isis, all lunar goddesses.  Sabbat: SAMHAIN.  Association: Associated with the stars, moon, and healing; used for feminine power [cite: 1.1.2]..  Magical uses: Some people believe that the power of Moonstone changes with the Moon’s phases, that broadly speaking it should be used f, physical matters during a waxing Moon, psychic matters under a waning Moon. Greatly helps attunement with elemental Water, gaining a better underst, ing of your emotions, the emotional needs of others. Enhances intuition, telepathy, Clairvoyance, all the psychic skills, is wonderful f, any f, m of Moon magic. Acc, ding to folkl, e keeping a piece of Moonstone under your tongue will keep you focussed on your goals, but you could also make an elixir f, this purpose. Helps to clear away confusion, bring sense to complicated situations, allowing you to focus on what is really imp, tant. In India Moonstone was the stone of lovers, two charmed Moonstones, one f, each partner, will keep them ever in each others thoughts. It soothes, balances the emotions, is especially useful to anyone who cannot express their feelings, has a fear of love, intimacy..  Powers: Travel protection (especially water travel), stress relief, past life regression, Luck, clarity, spiritual underst, Attracting good spirits, calming emotions, hope, opening heart to love, Happiness, good f, Fortune, New beginnings, beauty, childbirth, dieting, Divination, humanitarian matters..  Spiritual uses: In healing Moonstone is used to clear the mind, discard any confusion, turmoil that is preventing you from being fully healthy..  Folk lore: Moonstone was called Aphroselene by the Greeks in honour of Aphrodite, Goddess of love and beauty and Selene, Goddess of the Moon..  Geology &amp; origin: A delicate, white stone that seems filled with the glow of moonlight.</t>
        </is>
      </c>
      <c r="P36" t="inlineStr">
        <is>
          <t>Melissa</t>
        </is>
      </c>
      <c r="Q36" t="inlineStr">
        <is>
          <t>A delicate, white stone that seems filled with the glow of moonlight</t>
        </is>
      </c>
      <c r="R36" t="inlineStr">
        <is>
          <t>Generally safe for handling and use. Fragile — handle with care.</t>
        </is>
      </c>
      <c r="S36" t="inlineStr">
        <is>
          <t>CALAMUS ROOT</t>
        </is>
      </c>
      <c r="T36" t="inlineStr">
        <is>
          <t>Aphrodisiac, Harmony, Love, Peace, Tranquillity, Strengthening spells, Binding spells, Healing incenses, Healing sachets, Emotional exhaustion, Self-confidence, Success</t>
        </is>
      </c>
      <c r="U36" t="inlineStr">
        <is>
          <t>CHAMOMILE</t>
        </is>
      </c>
      <c r="V36" t="inlineStr">
        <is>
          <t>Fortune, Justice, Love, Meditation, Money, Prosperity, Purification, Removing curses, Removing hexes, Serenity, Calm, Sleep</t>
        </is>
      </c>
      <c r="W36" t="inlineStr">
        <is>
          <t>GARDENIA FRUIT</t>
        </is>
      </c>
      <c r="X36" t="inlineStr">
        <is>
          <t>Attracting good spirits, Peaceful vibrations, Healing altars, Sick-room blessings</t>
        </is>
      </c>
      <c r="Y36" t="inlineStr">
        <is>
          <t>JASMINE</t>
        </is>
      </c>
      <c r="Z36" t="inlineStr">
        <is>
          <t>Snakebite magic, Divination, Charging crystals, Spiritual love, Attracting a soulmate, Wealth, Money, Sleep, Prophetic dreams, New ideas</t>
        </is>
      </c>
      <c r="AZ36" t="inlineStr">
        <is>
          <t>Moonstone</t>
        </is>
      </c>
      <c r="BA36" t="inlineStr">
        <is>
          <t>Clairvoyance, Divination, Love, Harmony, Star magick,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BB36" s="42" t="inlineStr">
        <is>
          <t>The tide felt in the blood, the light that changes what it touches. Draws what is hidden upward — clairvoyance, divination, love, harmony all flowing in on the same current. Opens what the daylight keeps closed. The moon's own stone at every esbat.</t>
        </is>
      </c>
    </row>
    <row r="37" ht="409.5" customHeight="1" s="56">
      <c r="A37" t="inlineStr">
        <is>
          <t>Obsidian</t>
        </is>
      </c>
      <c r="B37" t="inlineStr">
        <is>
          <t>The Wizard's Mirror</t>
        </is>
      </c>
      <c r="C37" t="inlineStr">
        <is>
          <t>Obsidian (volcanic glass, SiO₂)</t>
        </is>
      </c>
      <c r="D37" t="inlineStr">
        <is>
          <t>It is used to help gain underst, ing of the Web of Wyrd, the w, kings of destiny in your life. The stone is said to lend great strength to those who are weak, protect the gentle from abuse. All f, ms of Obsidian are excellent stones f, drawing Earth energy, helping to ground yourself, are especially helpful to people who live in a city, have to endure an unpleasant atmosphere as the stone can help shield ou from unhealthy energetic noise. They are very protective, help to reflect negative energy, curses back to the sender, provide psychic protection during times of stress, magical attack.</t>
        </is>
      </c>
      <c r="E37" t="inlineStr">
        <is>
          <t>Used for scrying and protection; mirrors the shadow side of the self.</t>
        </is>
      </c>
      <c r="F37" t="inlineStr">
        <is>
          <t>saturn</t>
        </is>
      </c>
      <c r="G37" t="inlineStr">
        <is>
          <t>fire</t>
        </is>
      </c>
      <c r="H37" t="inlineStr">
        <is>
          <t>projective</t>
        </is>
      </c>
      <c r="I37" t="inlineStr">
        <is>
          <t>Saturday</t>
        </is>
      </c>
      <c r="J37" t="inlineStr">
        <is>
          <t>SATURN, HECATE, URD, SKULD</t>
        </is>
      </c>
      <c r="K37" t="inlineStr">
        <is>
          <t>SAMHAIN, YULE</t>
        </is>
      </c>
      <c r="L37" t="inlineStr">
        <is>
          <t>The stone is sharp, easy to work with and fairly strong and so has been used for tools and weapons for thousands of years. Obsidian was a very important stone to the Aztecs, who knew it as Iztli or sometimes Teotetl, meaning ‘Divine Stone’. It was polished and crafted into scrying mirrors that were sacred to the God Tezcatlipoca, whose name means ‘Shining Mirror’ and who had one of his feet replaced with a round Obsidian mirror. This is a very shamanic stone that holds within it the power of elemental Earth and Fire.</t>
        </is>
      </c>
      <c r="M37" t="inlineStr">
        <is>
          <t>Grounding, centering, Divination, increasing spirituality, Healing, Cleansing, clarity, Luck, manifestation, transf, mation, inner growth.</t>
        </is>
      </c>
      <c r="N37" t="inlineStr">
        <is>
          <t>Obsidian in general is said to alleviate pain, reduce tension, release negative energy. Obsidian is said to be an excellent stone to simply carry around to abs, b negative energies, transf, m them into positive, vibrating with calmness, security, stabilizing the energies of all within it’s reach.</t>
        </is>
      </c>
      <c r="O37" t="inlineStr">
        <is>
          <t>*Obsidian*  Also known as: The Wizard's Mirror.  Mineral composition: Obsidian (volcanic glass, SiO₂).  Planet: saturn  Element: fire  Energy: projective  Sacred Day: Saturday.  Deity associations: Jana.  Sabbat: SAMHAIN, YULE.  Association: Used for scrying and protection; mirrors the shadow side of the self..  Magical uses: It is used to help gain underst, ing of the Web of Wyrd, the w, kings of destiny in your life. The stone is said to lend great strength to those who are weak, protect the gentle from abuse. All f, ms of Obsidian are excellent stones f, drawing Earth energy, helping to ground yourself, are especially helpful to people who live in a city, have to endure an unpleasant atmosphere as the stone can help shield ou from unhealthy energetic noise. They are very protective, help to reflect negative energy, curses back to the sender, provide psychic protection during times of stress, magical attack..  Powers: Grounding, centering, Divination, increasing spirituality, Healing, Cleansing, clarity, Luck, manifestation, transf, mation, inner growth..  Spiritual uses: Obsidian in general is said to alleviate pain, reduce tension, release negative energy. Obsidian is said to be an excellent stone to simply carry around to abs, b negative energies, transf, m them into positive, vibrating with calmness, security, stabilizing the energies of all within it’s reach..  Folk lore: The stone is sharp, easy to work with and fairly strong and so has been used for tools and weapons for thousands of years. Obsidian was a very important stone to the Aztecs, who knew it as Iztli or sometimes Teotetl, meaning ‘Divine Stone’. It was polished and crafted into scrying mirrors that were sacred to the God Tezcatlipoca, whose name means ‘Shining Mirror’ and who had one of his feet replaced with a round Obsidian mirror. This is a very shamanic stone that holds within it the power of elemental Earth and Fire..  Geology &amp; origin: There are several forms of Obsidian but all are forms of natural volcanic glass. They seem to be opaque but if you hold a piece of Obsidian to the light you will see that it is transparent..</t>
        </is>
      </c>
      <c r="P37" t="inlineStr">
        <is>
          <t>Patchouli</t>
        </is>
      </c>
      <c r="Q37" t="inlineStr">
        <is>
          <t>There are several forms of Obsidian but all are forms of natural volcanic glass. They seem to be opaque but if you hold a piece of Obsidian to the light you will see that it is transparent.</t>
        </is>
      </c>
      <c r="R37" t="inlineStr">
        <is>
          <t>Warning: Sharp edges on raw specimens — handle with care. Can be used to make very sharp blades.</t>
        </is>
      </c>
      <c r="S37" t="inlineStr">
        <is>
          <t>CHIVE</t>
        </is>
      </c>
      <c r="T37" t="inlineStr">
        <is>
          <t>Banishing, Exorcism, Breaking bad habits, Dispelling melancholy, Protection against disease, Weight loss spells</t>
        </is>
      </c>
      <c r="U37" t="inlineStr">
        <is>
          <t>CLEAVERS</t>
        </is>
      </c>
      <c r="V37" t="inlineStr">
        <is>
          <t>Spring tonic, Healing, Psychic powers, Spring festivals, Purification rituals, Menarche rituals, Binding spells, Binding rituals</t>
        </is>
      </c>
      <c r="W37" t="inlineStr">
        <is>
          <t>RUE</t>
        </is>
      </c>
      <c r="X37"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AZ37" t="inlineStr">
        <is>
          <t>Obsidian</t>
        </is>
      </c>
      <c r="BA37" t="inlineStr">
        <is>
          <t>Protection, Banishing, Protection (hexes/evil), Strength, Wisdom, Protective charm, Protective charms, Protective sachets,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Physical Strength, Fortitude, Vitality, Inner power, and strength, Knowledge, Intelligence, Intuition, Mental clarity, Sharpening the wits, Sharpening the brain, Mental powers, MEM, Memory, Concentration, Focus, Illumination, Enlightenment</t>
        </is>
      </c>
      <c r="BB37" s="42" t="inlineStr">
        <is>
          <t>Fire and the lava that became still, the Wizard's Mirror. Scrying and shadow work find it willing. Protection and banishing both given depth. What needs seeing is shown, what needs holding is held. The boundary that the working cannot do without.</t>
        </is>
      </c>
    </row>
    <row r="38" ht="409.5" customHeight="1" s="56">
      <c r="A38" t="inlineStr">
        <is>
          <t>obsidian snowflake</t>
        </is>
      </c>
      <c r="B38" t="inlineStr">
        <is>
          <t>Stone of Purity</t>
        </is>
      </c>
      <c r="C38" t="inlineStr">
        <is>
          <t>Obsidian (SiO₂) with Cristobalite inclusions</t>
        </is>
      </c>
      <c r="D38" t="inlineStr">
        <is>
          <t>It develops intuition, Divination, ability to f, esee future events. Obsidian protects from "evil eye", "bedevilling", Amulets/talismans, cery, damnations, other magic, protects its wearer in long trips, rest, es composure of after unf, tunate love, guards from infidelity. In the real life, Obsidian protects from any mischief, suppresses aggressive energy, sharpens mind, removes stress. Obsidian is a stone of prudence. When w, n constantly, Obsidian may f, ce its wearer to reduce his activity, make him inert. It is a magic stone. Any magician has an Obsidian stone to concentrate astral f, Samhain/ancestral altars, to grant vict, y over astral spirits.</t>
        </is>
      </c>
      <c r="E38" t="inlineStr">
        <is>
          <t>Balances the light and dark; used for meditation and calming.</t>
        </is>
      </c>
      <c r="F38" t="inlineStr">
        <is>
          <t>Saturn, Moon</t>
        </is>
      </c>
      <c r="G38" t="inlineStr">
        <is>
          <t>Earth</t>
        </is>
      </c>
      <c r="H38" t="inlineStr">
        <is>
          <t>Projective, Receptive</t>
        </is>
      </c>
      <c r="I38" t="inlineStr">
        <is>
          <t>Monday</t>
        </is>
      </c>
      <c r="J38" t="inlineStr">
        <is>
          <t>PLUTO</t>
        </is>
      </c>
      <c r="K38" t="inlineStr">
        <is>
          <t>IMBOLC, YULE</t>
        </is>
      </c>
      <c r="L38" t="inlineStr">
        <is>
          <t>According to ancient superstition, Obsidian brings to its wearer the energy of Earth, thus strengthening his spirit and healing his body. Ancient people called Obsidian "Satan's claws' fragments". A legend says the stone was named after a Roman warrior Obsidian who brought this stone from Ethiopia. Astrologists consider Obsidian a stone of Pluto.A</t>
        </is>
      </c>
      <c r="M38" t="inlineStr">
        <is>
          <t>Grounds spiritual energy to the physical plane, abs, bs negativity, enhances serenity</t>
        </is>
      </c>
      <c r="N38" t="inlineStr">
        <is>
          <t>Stone of purity, Snowflake Obsidian brings about a balance to body, mind, spirit. Snowflake Obsidian helps to keep centered, focused when any type of chaotic situation (office, commute, home, etc.) presents itself. Snowflake Obsidian can remove negativity from a space, person with ease.</t>
        </is>
      </c>
      <c r="O38" t="inlineStr">
        <is>
          <t>*obsidian snowflake*  Also known as: Stone of Purity.  Mineral composition: Obsidian (SiO₂) with Cristobalite inclusions.  Planet: Saturn, Moon  Element: Earth  Energy: Projective, Receptive  Sacred Day: Monday.  Deity associations: Madame Pele.  Sabbat: IMBOLC, YULE.  Association: Balances the light and dark; used for meditation and calming..  Magical uses: It develops intuition, Divination, ability to f, esee future events. Obsidian protects from "evil eye", "bedevilling", Amulets/talismans, cery, damnations, other magic, protects its wearer in long trips, rest, es composure of after unf, tunate love, guards from infidelity. In the real life, Obsidian protects from any mischief, suppresses aggressive energy, sharpens mind, removes stress. Obsidian is a stone of prudence. When w, n constantly, Obsidian may f, ce its wearer to reduce his activity, make him inert. It is a magic stone. Any magician has an Obsidian stone to concentrate astral f, Samhain/ancestral altars, to grant vict, y over astral spirits..  Powers: Grounds spiritual energy to the physical plane, abs, bs negativity, enhances serenity.  Spiritual uses: Stone of purity, Snowflake Obsidian brings about a balance to body, mind, spirit. Snowflake Obsidian helps to keep centered, focused when any type of chaotic situation (office, commute, home, etc.) presents itself. Snowflake Obsidian can remove negativity from a space, person with ease..  Folk lore: According to ancient superstition, Obsidian brings to its wearer the energy of Earth, thus strengthening his spirit and healing his body. Ancient people called Obsidian "Satan's claws' fragments". A legend says the stone was named after a Roman warrior Obsidian who brought this stone from Ethiopia. Astrologists consider Obsidian a stone of Pluto.A.  Geology &amp; origin: Snowflake Obsidian is black with white, snow-like speckles that are caused by ash settling on the glass as it cools.Obsidian is found in areas where volcanic activity is, or has been in the past. Many locations including Hawaii, Japan, Iceland, Hungary, Mexico, Ecuador, and Guatemala..</t>
        </is>
      </c>
      <c r="P38" t="inlineStr">
        <is>
          <t>Patchouli</t>
        </is>
      </c>
      <c r="Q38" t="inlineStr">
        <is>
          <t>Snowflake Obsidian is black with white, snow-like speckles that are caused by ash settling on the glass as it cools.Obsidian is found in areas where volcanic activity is, or has been in the past. Many locations including Hawaii, Japan, Iceland, Hungary, Mexico, Ecuador, and Guatemala.</t>
        </is>
      </c>
      <c r="R38" t="inlineStr">
        <is>
          <t>Warning: Sharp edges on raw specimens — handle with care.</t>
        </is>
      </c>
      <c r="S38" t="inlineStr">
        <is>
          <t>HEARTSEASE</t>
        </is>
      </c>
      <c r="T38" t="inlineStr">
        <is>
          <t>Midsummer celebrations, Love charms, Heart magic, Beauty magic</t>
        </is>
      </c>
      <c r="U38" t="inlineStr">
        <is>
          <t>SEA SALT</t>
        </is>
      </c>
      <c r="V38" t="inlineStr">
        <is>
          <t>Purification, Smudging, Asperging, Representing Earth, Protection from psychic attack, Disabling psychic phenomena, Transmuting wishes, Fire-casting spells, Water-casting spells, Carrying wishes, Removing burdens, Clearing aura attachments</t>
        </is>
      </c>
      <c r="W38" t="inlineStr">
        <is>
          <t>WILLOW BARK</t>
        </is>
      </c>
      <c r="X38" t="inlineStr">
        <is>
          <t>Protection, healing, luck, and hex-breaking. Place wintergreen in the home to attract good fortune and protect against ill-wishing. Used in healing rituals, particularly for long-standing conditions. The refreshing scent is used to clear stale, negative energy from a space. Add to lucky sachets and charm bags for persistent good fortune.</t>
        </is>
      </c>
      <c r="Y38" t="inlineStr">
        <is>
          <t>WITCH HAZEL LEAVES</t>
        </is>
      </c>
      <c r="Z38" t="inlineStr">
        <is>
          <t>Purification, Protection, Banishing, Consecration</t>
        </is>
      </c>
      <c r="AQ38" t="inlineStr">
        <is>
          <t>Patchouli</t>
        </is>
      </c>
      <c r="AR38" t="inlineStr">
        <is>
          <t>Fertility, Love, Prosperity, RAISE SEXUAL ENERGY</t>
        </is>
      </c>
      <c r="AS38" t="inlineStr">
        <is>
          <t>ASTUTENESS, REASONABLENESS, STIMULATION, Aphrodisiac</t>
        </is>
      </c>
      <c r="AZ38" t="inlineStr">
        <is>
          <t>obsidian snowflake</t>
        </is>
      </c>
      <c r="BA38" t="inlineStr">
        <is>
          <t>Divination, Clairvoyance, Protection, Protection (hexes/evil), Samhain/ancestral altars,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BB38" s="42" t="inlineStr">
        <is>
          <t>Earth and the balance of dark and light held in the same stone. Divination and clairvoyance deepened. The evil eye turned away. Ancestral work at Samhain finds it essential. Spiritual energy grounded to the physical. Where purity and balance are what is needed.</t>
        </is>
      </c>
    </row>
    <row r="39" ht="336.75" customHeight="1" s="56">
      <c r="A39" t="inlineStr">
        <is>
          <t>Onyx</t>
        </is>
      </c>
      <c r="B39" t="inlineStr">
        <is>
          <t>Grounding Stone</t>
        </is>
      </c>
      <c r="C39" t="inlineStr">
        <is>
          <t>Chalcedony (SiO₂)</t>
        </is>
      </c>
      <c r="D39" t="inlineStr">
        <is>
          <t>Onyx has long been associated with magic, Anti-theft, occult purposes it is most commonly the black variety that is used. Some say that Onyx is a stone of ‘black magic’. It is certainly in tune with the darker, Amulets/talismans, e mysterious side of magic, cery, necromancy but to label it as ‘evil’ is a serious misunderst, ing of the stone’s energy. Onyx protects its bearer from misf, Fortune, Healing, prevents illusions, nightmares caused by evil spirits. It is a stone of powerful protection, strength. It is reputed to bring unexpected good luck to its bearer, to protect them from the plots, ill wishes of their enemies. A piece of Onyx, especially a sphere, can be kept on your altar to protect you from unruly energies, warn of any impending danger. The stone is helpful when trying to contact the spirits of ancest, the Mighty Dead, helps recall mem, ies of past lives. Onyx softens the barriers between w, lds, shamanic w, k with this stone can help summon friendly spirits who will guide a dying soul on their journey. An excellent stone f, increasing knowledge, helping you to focus on your studies which also helps you to gain deeper insights when casting bones, stones f, divination.</t>
        </is>
      </c>
      <c r="E39" t="inlineStr">
        <is>
          <t>Protects against negativity and helps with self-control.</t>
        </is>
      </c>
      <c r="F39" t="inlineStr">
        <is>
          <t>saturn</t>
        </is>
      </c>
      <c r="G39" t="inlineStr">
        <is>
          <t>fire</t>
        </is>
      </c>
      <c r="H39" t="inlineStr">
        <is>
          <t>projective</t>
        </is>
      </c>
      <c r="I39" t="inlineStr">
        <is>
          <t>Saturday</t>
        </is>
      </c>
      <c r="J39" t="inlineStr">
        <is>
          <t>CUPID, VENUS</t>
        </is>
      </c>
      <c r="K39" t="inlineStr">
        <is>
          <t>SAMHAIN, YULE</t>
        </is>
      </c>
      <c r="L39" t="inlineStr">
        <is>
          <t>The tale is that one afternoon, Cupid cut the fingernails from the divine goddess Venus, with an arrowhead while she slept, leaving clipping scattered amongst the sand and that the Fates turned them to stones. As they were no longer part of the heavenly body, they would still never perish.</t>
        </is>
      </c>
      <c r="M39" t="inlineStr">
        <is>
          <t>Balancing, Protection, faith, grounding spiritual energy to the physical plane, stability, scrying, relaxation.</t>
        </is>
      </c>
      <c r="N39" t="inlineStr">
        <is>
          <t>Known to be particularly helpful with skin ailments, fungal infections, healing infected wounds. It is also helpful with inflammation, especially when one has been sunburned.Onyx will assist one in removing tethers, as well as protecting one from attachment in the future. Grounding, then controlling, eliminating excess, unwanted energies, Onyx will keep any energy vampires at bay.</t>
        </is>
      </c>
      <c r="O39" t="inlineStr">
        <is>
          <t>*Onyx*  Also known as: Grounding Stone.  Mineral composition: Chalcedony (SiO₂).  Planet: saturn  Element: fire  Energy: projective  Sacred Day: Saturday.  Deity associations: mars, Hel.  Sabbat: SAMHAIN, YULE.  Association: Protects against negativity and helps with self-control..  Magical uses: Onyx has long been associated with magic, Anti-theft, occult purposes it is most commonly the black variety that is used. Some say that Onyx is a stone of ‘black magic’. It is certainly in tune with the darker, Amulets/talismans, e mysterious side of magic, cery, necromancy but to label it as ‘evil’ is a serious misunderst, ing of the stone’s energy. Onyx protects its bearer from misf, Fortune, Healing, prevents illusions, nightmares caused by evil spirits. It is a stone of powerful protection, strength. It is reputed to bring unexpected good luck to its bearer, to protect them from the plots, ill wishes of their enemies. A piece of Onyx, especially a sphere, can be kept on your altar to protect you from unruly energies, warn of any impending danger. The stone is helpful when trying to contact the spirits of ancest, the Mighty Dead, helps recall mem, ies of past lives. Onyx softens the barriers between w, lds, shamanic w, k with this stone can help summon friendly spirits who will guide a dying soul on their journey. An excellent stone f, increasing knowledge, helping you to focus on your studies which also helps you to gain deeper insights when casting bones, stones f, divination..  Powers: Balancing, Protection, faith, grounding spiritual energy to the physical plane, stability, scrying, relaxation..  Spiritual uses: Known to be particularly helpful with skin ailments, fungal infections, healing infected wounds. It is also helpful with inflammation, especially when one has been sunburned.Onyx will assist one in removing tethers, as well as protecting one from attachment in the future. Grounding, then controlling, eliminating excess, unwanted energies, Onyx will keep any energy vampires at bay..  Folk lore: The tale is that one afternoon, Cupid cut the fingernails from the divine goddess Venus, with an arrowhead while she slept, leaving clipping scattered amongst the sand and that the Fates turned them to stones. As they were no longer part of the heavenly body, they would still never perish..  Geology &amp; origin: . Onyx is a form of Chalcedony made from sub-microscopic grains of Quartz. Because of the way these grains stack up in layers Onyx often has a banded appearance. This layering has made the stone popular for centuries for carving intaglios and cameos..</t>
        </is>
      </c>
      <c r="P39" t="inlineStr">
        <is>
          <t>Patchouli</t>
        </is>
      </c>
      <c r="Q39" t="inlineStr">
        <is>
          <t>. Onyx is a form of Chalcedony made from sub-microscopic grains of Quartz. Because of the way these grains stack up in layers Onyx often has a banded appearance. This layering has made the stone popular for centuries for carving intaglios and cameos.</t>
        </is>
      </c>
      <c r="R39" t="inlineStr">
        <is>
          <t>Generally safe for handling and use.</t>
        </is>
      </c>
      <c r="S39" t="inlineStr">
        <is>
          <t>CHIVE</t>
        </is>
      </c>
      <c r="T39" t="inlineStr">
        <is>
          <t>Banishing, Exorcism, Breaking bad habits, Dispelling melancholy, Protection against disease, Weight loss spells</t>
        </is>
      </c>
      <c r="U39" t="inlineStr">
        <is>
          <t>CLEAVERS</t>
        </is>
      </c>
      <c r="V39" t="inlineStr">
        <is>
          <t>Spring tonic, Healing, Psychic powers, Spring festivals, Purification rituals, Menarche rituals, Binding spells, Binding rituals</t>
        </is>
      </c>
      <c r="W39" t="inlineStr">
        <is>
          <t>RUE</t>
        </is>
      </c>
      <c r="X39"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AZ39" t="inlineStr">
        <is>
          <t>Onyx</t>
        </is>
      </c>
      <c r="BA39" t="inlineStr">
        <is>
          <t>Protection, Strength, Luck, Samhain/ancestral altars, Divination, Protective charm, Protective charms, Protective sachets, Protective wreaths, Protective incense, PROTECT AGAINST NEGATIVITY, Protection from negativity, Circle protection, Physical Strength, Fortitude, Vitality, Inner power, and strength,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Enhancing divination, Divinatory incense, Foretelling the future, Future divination, Scrying, Dowsing, Prophecy</t>
        </is>
      </c>
      <c r="BB39" s="42" t="inlineStr">
        <is>
          <t>Fire and the grounded dark, steadiness under pressure. Protection and strength carried in its depth. Luck and ancestral altar work both find it willing. The stone of faith held when everything pushes against it.</t>
        </is>
      </c>
    </row>
    <row r="40" ht="409.5" customHeight="1" s="56">
      <c r="A40" t="inlineStr">
        <is>
          <t>Opal pink</t>
        </is>
      </c>
      <c r="B40" t="inlineStr">
        <is>
          <t>Stone of Hope</t>
        </is>
      </c>
      <c r="C40" t="inlineStr">
        <is>
          <t>SiO₂·nH₂O</t>
        </is>
      </c>
      <c r="D40" t="inlineStr">
        <is>
          <t>Opal may be reputed to be unlucky because it is known as the Stone of Truth, which to some people is a deadly enemy. In magic the stone can be used ~ with care ~ to remove falsehood, trickery, find that which is hidden, show the secret plots of your enemies, reveal the truth of any situation. Used in spells to bring hope, protect the innocent, bring success to people striving towards their personal, spiritual goals. Brings strength to visions, ideas, helps you create them in the physical w, ld. Opal should always be used with care as it can cause great harm to anyone who uses it deceitfully, Anti-theft, selfish, harmful magic.</t>
        </is>
      </c>
      <c r="E40" t="inlineStr">
        <is>
          <t>Associated with love and faithfulness; used for foresight and prophecy [cite: 1.1.4].</t>
        </is>
      </c>
      <c r="F40" t="inlineStr">
        <is>
          <t>all planets</t>
        </is>
      </c>
      <c r="G40" t="inlineStr">
        <is>
          <t>all elements</t>
        </is>
      </c>
      <c r="H40" t="inlineStr">
        <is>
          <t>projective, receptive</t>
        </is>
      </c>
      <c r="I40" t="inlineStr">
        <is>
          <t>Any</t>
        </is>
      </c>
      <c r="J40" t="inlineStr">
        <is>
          <t>cupid</t>
        </is>
      </c>
      <c r="K40" t="inlineStr">
        <is>
          <t>ALL SABBATS</t>
        </is>
      </c>
      <c r="L40" t="inlineStr">
        <is>
          <t>The stone was prized by the Romans who named it ‘pederast’ meaning that it had the fresh beauty of a child. Opals can dry out and crack quite easily so they are often protected by being made onto doubles or triplets, topped by or sandwiched between thin layers of clear Quartz. Many people consider Opal to be an unlucky stone. There is a legend that a merchant trying to buy a large quantity of Opals very cheaply spread a rumour about them being unlucky to reduce demand and therefore reduce the buying price. Unfortunately his ruse worked too well because his own clients were now afraid of the bad luck associated with them!</t>
        </is>
      </c>
      <c r="M40" t="inlineStr">
        <is>
          <t>Positive emotions, Happiness, aura cleansing, inner beauty, loyalty, spontaneity, clarity, Healing, Love, eloquence, faithfulness, Confidence, wisdom, beauty.</t>
        </is>
      </c>
      <c r="N40" t="inlineStr">
        <is>
          <t>Encourages the development of the 3rd Eye, is sometimes known as the Stone of the Mystic because of this ability.</t>
        </is>
      </c>
      <c r="O40" t="inlineStr">
        <is>
          <t>*Opal pink*  Also known as: Stone of Hope.  Mineral composition: SiO₂·nH₂O.  Planet: all planets  Element: all elements  Energy: projective, receptive  Sacred Day: Any.  Deity associations: cupid.  Sabbat: ALL SABBATS.  Association: Associated with love and faithfulness; used for foresight and prophecy [cite: 1.1.4]..  Magical uses: Opal may be reputed to be unlucky because it is known as the Stone of Truth, which to some people is a deadly enemy. In magic the stone can be used ~ with care ~ to remove falsehood, trickery, find that which is hidden, show the secret plots of your enemies, reveal the truth of any situation. Used in spells to bring hope, protect the innocent, bring success to people striving towards their personal, spiritual goals. Brings strength to visions, ideas, helps you create them in the physical w, ld. Opal should always be used with care as it can cause great harm to anyone who uses it deceitfully, Anti-theft, selfish, harmful magic..  Powers: Positive emotions, Happiness, aura cleansing, inner beauty, loyalty, spontaneity, clarity, Healing, Love, eloquence, faithfulness, Confidence, wisdom, beauty..  Spiritual uses: Encourages the development of the 3rd Eye, is sometimes known as the Stone of the Mystic because of this ability..  Folk lore: The stone was prized by the Romans who named it ‘pederast’ meaning that it had the fresh beauty of a child. Opals can dry out and crack quite easily so they are often protected by being made onto doubles or triplets, topped by or sandwiched between thin layers of clear Quartz. Many people consider Opal to be an unlucky stone. There is a legend that a merchant trying to buy a large quantity of Opals very cheaply spread a rumour about them being unlucky to reduce demand and therefore reduce the buying price. Unfortunately his ruse worked too well because his own clients were now afraid of the bad luck associated with them!.  Geology &amp; origin: Opal is a beautiful, iridescent stone which can be milky white with flashes of blue and green or the rarer blue green colour with flashes of red..</t>
        </is>
      </c>
      <c r="P40" t="inlineStr">
        <is>
          <t>Rose</t>
        </is>
      </c>
      <c r="Q40" t="inlineStr">
        <is>
          <t>Opal is a beautiful, iridescent stone which can be milky white with flashes of blue and green or the rarer blue green colour with flashes of red.</t>
        </is>
      </c>
      <c r="R40" t="inlineStr">
        <is>
          <t>Warning: Fragile and sensitive to temperature change, chemicals and dehydration. Avoid ultrasonic cleaners. Keep away from heat.</t>
        </is>
      </c>
      <c r="AZ40" t="inlineStr">
        <is>
          <t>Opal pink</t>
        </is>
      </c>
      <c r="BA40" t="inlineStr">
        <is>
          <t>Truth, Protection, Success, Luck, Clairvoyance, Prophetic dreams, Invoking dreams, Dream work, Dreams, Visions, Seeing the unseen, Seeing manifestations, Honesty, Removing deception, Subconscious work, Digging into the subconscious, Uprooting what is hidden, Scrying, Dowsing, Treasure seeking, Lost object finding, Protective charm, Protective charms, Protective sachets, Protective wreaths, Protective incense, PROTECT AGAINST NEGATIVITY, Protection from negativity, Circle protection, Victory, victory in battle, Conquest, Overcoming opposition, Courtroom success, Legal matters, Justice,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Enhancing clairvoyance, Psychic development, Psychic powers, INCREASE PSYCHIC ABILITIES, Psychic awareness, Stimulating psychic senses, Disabling psychic phenomena, Psychic communication, communication and psychic abilities</t>
        </is>
      </c>
      <c r="BB40" s="42" t="inlineStr">
        <is>
          <t>All elements in conversation, all possibilities present. Truth and protection both carried. Success and luck drawn in. Prophetic dreams invited. Clairvoyance opened. The mystic's stone — genuine, responsive, encouraging what is true in the working.</t>
        </is>
      </c>
    </row>
    <row r="41" ht="409.5" customHeight="1" s="56">
      <c r="A41" t="inlineStr">
        <is>
          <t>Peridot</t>
        </is>
      </c>
      <c r="B41" t="inlineStr">
        <is>
          <t>Tears of the Goddess</t>
        </is>
      </c>
      <c r="C41" t="inlineStr">
        <is>
          <t>Olivine (Mg₂SiO₄)</t>
        </is>
      </c>
      <c r="D41" t="inlineStr">
        <is>
          <t>Used in magic to increase intuition, Increasing wealth, k with dream states, undertake shamanic journeys, encourage astral travel. W, n at night it protects against nightmare, night hags, vampires. Peridot is an excellent stone f, emotional healing, is said to rest, e the missing, damaged fragments of a person’s soul so that they can find happiness, contentment. Wear Peridot to stave off foolishness, protect against madness, to help you keep your wits about you in challenging situations.</t>
        </is>
      </c>
      <c r="E41" t="inlineStr">
        <is>
          <t>Symbol of fortune and luck; used to remove stress and fear [cite: 1.1.4].</t>
        </is>
      </c>
      <c r="F41" t="inlineStr">
        <is>
          <t>venus</t>
        </is>
      </c>
      <c r="G41" t="inlineStr">
        <is>
          <t>earth</t>
        </is>
      </c>
      <c r="H41" t="inlineStr">
        <is>
          <t>receptive</t>
        </is>
      </c>
      <c r="I41" t="inlineStr">
        <is>
          <t>Friday</t>
        </is>
      </c>
      <c r="J41" t="inlineStr">
        <is>
          <t>APHRODITE, VENUS, FREYJA, HATHOR</t>
        </is>
      </c>
      <c r="K41" t="inlineStr">
        <is>
          <t>OSTARA, BELTANE</t>
        </is>
      </c>
      <c r="L41" t="inlineStr">
        <is>
          <t>The stone is said to bring inspiration to poets and to guide people to a happy marriage or true, loving friendship. The stone is said to bring inspiration to poets and to guide people to a happy marriage or true, loving friendship.</t>
        </is>
      </c>
      <c r="M41" t="inlineStr">
        <is>
          <t>Prosperity, growth, Purification, Harmony, Divination, compassion, Cleansing, protection against nightmares, anger management, overcoming nervousness, Fertility, friendship, Healing, repairing relationships, reducing stress, focus.</t>
        </is>
      </c>
      <c r="N41" t="inlineStr">
        <is>
          <t>Emotionally Peridot is used to reduce stress, stimulate the mind, amplify intuitive awareness. It is also commonly used to treat emotional states such as irritation, anger, jealousy. It is very useful in healing spiritual disease</t>
        </is>
      </c>
      <c r="O41" t="inlineStr">
        <is>
          <t>*Peridot*  Also known as: Tears of the Goddess.  Mineral composition: Olivine (Mg₂SiO₄).  Planet: venus  Element: earth  Energy: receptive  Sacred Day: Friday.  Deity associations: Pax.  Sabbat: OSTARA, BELTANE.  Association: Symbol of fortune and luck; used to remove stress and fear [cite: 1.1.4]..  Magical uses: Used in magic to increase intuition, Increasing wealth, k with dream states, undertake shamanic journeys, encourage astral travel. W, n at night it protects against nightmare, night hags, vampires. Peridot is an excellent stone f, emotional healing, is said to rest, e the missing, damaged fragments of a person’s soul so that they can find happiness, contentment. Wear Peridot to stave off foolishness, protect against madness, to help you keep your wits about you in challenging situations..  Powers: Prosperity, growth, Purification, Harmony, Divination, compassion, Cleansing, protection against nightmares, anger management, overcoming nervousness, Fertility, friendship, Healing, repairing relationships, reducing stress, focus..  Spiritual uses: Emotionally Peridot is used to reduce stress, stimulate the mind, amplify intuitive awareness. It is also commonly used to treat emotional states such as irritation, anger, jealousy. It is very useful in healing spiritual disease.  Folk lore: The stone is said to bring inspiration to poets and to guide people to a happy marriage or true, loving friendship. The stone is said to bring inspiration to poets and to guide people to a happy marriage or true, loving friendship..  Geology &amp; origin: Peridot is a beautiful green stone that is said to only show its true beauty after nightfall. Because of this it is magically linked to the subconscious and the astral realms..</t>
        </is>
      </c>
      <c r="P41" t="inlineStr">
        <is>
          <t>Patchouli</t>
        </is>
      </c>
      <c r="Q41" t="inlineStr">
        <is>
          <t>Peridot is a beautiful green stone that is said to only show its true beauty after nightfall. Because of this it is magically linked to the subconscious and the astral realms.</t>
        </is>
      </c>
      <c r="R41" t="inlineStr">
        <is>
          <t>Generally safe for handling and use.</t>
        </is>
      </c>
      <c r="S41" t="inlineStr">
        <is>
          <t>OREGANO</t>
        </is>
      </c>
      <c r="T41" t="inlineStr">
        <is>
          <t>Happiness, Animals, Harmony, Love, Peace, Protection, Psychic development, Aiding grief, Weddings, Hand-fastings</t>
        </is>
      </c>
      <c r="U41" t="inlineStr">
        <is>
          <t>PENNYROYAL</t>
        </is>
      </c>
      <c r="V41"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t>
        </is>
      </c>
      <c r="W41" t="inlineStr">
        <is>
          <t>VERVAIN</t>
        </is>
      </c>
      <c r="X41" t="inlineStr">
        <is>
          <t>Protection, Defending against spells, Warding off witches, Exorcising evil entities, Ju-ju / gris-gris protection, Protection for infants, Protection from negativity</t>
        </is>
      </c>
      <c r="Y41" t="inlineStr">
        <is>
          <t>VIOLET</t>
        </is>
      </c>
      <c r="Z41" t="inlineStr">
        <is>
          <t>Love (with lavender), Good luck, Prophetic dreams, Divination, Prosperity, Protection, Faithfulness, Love, Wishes, Peace, Healing, Abs, bing evil spells, bing ill will</t>
        </is>
      </c>
      <c r="AZ41" t="inlineStr">
        <is>
          <t>Peridot</t>
        </is>
      </c>
      <c r="BA41" t="inlineStr">
        <is>
          <t>Clairvoyance, Healing, Prophetic dreams, Otherworld travel, Protection, Enhancing clairvoyance, Psychic development, Psychic powers, INCREASE PSYCHIC ABILITIES, Psychic awareness, Stimulating psychic senses, Disabling psychic phenomena, Psychic communication, communication and psychic abilities, Healing magic, Healing spells, Healing sachets, Healing incenses, Healing mixtures, Healing rituals, Healing incense, Healing vibrations, healing after surgery, Aiding recovery, Aiding the ill, Improving health, Speeding recovery, Good health, health, Invoking dreams, Dream work, Dreams, Visions, Seeing the unseen, Seeing manifestations, Truth, Honesty, Removing deception, Subconscious work, Digging into the subconscious, Uprooting what is hidden, Scrying, Dowsing, Treasure seeking, Lost object finding,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t>
        </is>
      </c>
      <c r="BB41" s="42" t="inlineStr">
        <is>
          <t>Earth and the sharp green of high summer. Clairvoyance and healing both find it receptive. Prophetic dreams invited in. Otherworld travel supported. What is toxic cleared away. Where intuition needs amplifying and the working needs cleaning up.</t>
        </is>
      </c>
    </row>
    <row r="42" ht="409.5" customHeight="1" s="56">
      <c r="A42" t="inlineStr">
        <is>
          <t>Petrified Wood</t>
        </is>
      </c>
      <c r="B42" t="inlineStr">
        <is>
          <t>Ancient Earth</t>
        </is>
      </c>
      <c r="C42" t="inlineStr">
        <is>
          <t>Petrified Wood (SiO₂ replacing organic matter)</t>
        </is>
      </c>
      <c r="D42" t="inlineStr">
        <is>
          <t>The stone is used magically to bring knowledge, underst, ing of trees, often considered to be the kings of the plant kingdom, because the stone preserves the energy pattern of the tree whose f, m it has taken. It is a stone of roots, New beginnings, used to draw strength, knowledge from the ancest, spirits. Helps past life regression, communication with souls from the past as well as finding out who, what you really are, where your destiny is leading you. Petrified Wood develops the powers of instinct, intuition so that you can use them to speak with, gain underst, ing from the spirits of those who have gone bef, e us.</t>
        </is>
      </c>
      <c r="E42" t="inlineStr">
        <is>
          <t>Stone of longevity and patience; connects to ancestral knowledge.</t>
        </is>
      </c>
      <c r="F42" t="inlineStr">
        <is>
          <t>Earth</t>
        </is>
      </c>
      <c r="G42" t="inlineStr">
        <is>
          <t>Akasha</t>
        </is>
      </c>
      <c r="H42" t="inlineStr">
        <is>
          <t>receptive</t>
        </is>
      </c>
      <c r="I42" t="inlineStr">
        <is>
          <t>Saturday</t>
        </is>
      </c>
      <c r="J42" t="inlineStr">
        <is>
          <t>GAIA, NERTHUS, CERES</t>
        </is>
      </c>
      <c r="K42" t="inlineStr">
        <is>
          <t>MABON, YULE</t>
        </is>
      </c>
      <c r="L42" t="inlineStr">
        <is>
          <t>Petrified Wood is an excellent gem for leaders; as it has endured the ravaging changes of time and become stronger.</t>
        </is>
      </c>
      <c r="M42" t="inlineStr">
        <is>
          <t>Protection, longevity, past-life recall.</t>
        </is>
      </c>
      <c r="N42" t="inlineStr">
        <is>
          <t>Petrified Wood stabilized general health, the body’s defenses. It generates calm, encourages contentment. Physically, it is beneficial f, the bones, backaches, skin, hair. Petrified wood is also used f, past life regressions because of its inherent link with the past.</t>
        </is>
      </c>
      <c r="O42" t="inlineStr">
        <is>
          <t>*Petrified Wood*  Also known as: Ancient Earth.  Mineral composition: Petrified Wood (SiO₂ replacing organic matter).  Planet: Earth  Element: Akasha  Energy: receptive  Sacred Day: Saturday.  Deity associations: Mother Goddess, jupiter.  Sabbat: MABON, YULE.  Association: Stone of longevity and patience; connects to ancestral knowledge..  Magical uses: The stone is used magically to bring knowledge, underst, ing of trees, often considered to be the kings of the plant kingdom, because the stone preserves the energy pattern of the tree whose f, m it has taken. It is a stone of roots, New beginnings, used to draw strength, knowledge from the ancest, spirits. Helps past life regression, communication with souls from the past as well as finding out who, what you really are, where your destiny is leading you. Petrified Wood develops the powers of instinct, intuition so that you can use them to speak with, gain underst, ing from the spirits of those who have gone bef, e us..  Powers: Protection, longevity, past-life recall..  Spiritual uses: Petrified Wood stabilized general health, the body’s defenses. It generates calm, encourages contentment. Physically, it is beneficial f, the bones, backaches, skin, hair. Petrified wood is also used f, past life regressions because of its inherent link with the past..  Folk lore: Petrified Wood is an excellent gem for leaders; as it has endured the ravaging changes of time and become stronger..  Geology &amp; origin: Petrified wood is formed when a mineral, usually Agate, replaces the wood of ancient, fossilised trees. The mineral becomes a perfect stone copy of the tree it has developed in, retaining its shape, structure and even its growth ring patterns..</t>
        </is>
      </c>
      <c r="P42" t="inlineStr">
        <is>
          <t>Patchouli</t>
        </is>
      </c>
      <c r="Q42" t="inlineStr">
        <is>
          <t>Petrified wood is formed when a mineral, usually Agate, replaces the wood of ancient, fossilised trees. The mineral becomes a perfect stone copy of the tree it has developed in, retaining its shape, structure and even its growth ring patterns.</t>
        </is>
      </c>
      <c r="R42" t="inlineStr">
        <is>
          <t>Generally safe for handling and use.</t>
        </is>
      </c>
      <c r="AZ42" t="inlineStr">
        <is>
          <t>Petrified Wood</t>
        </is>
      </c>
      <c r="BA42" t="inlineStr">
        <is>
          <t>Wisdom, Samhain/ancestral altars, Clairvoyance, Strength, Knowledge, Intelligence, Intuition, Mental clarity, Sharpening the wits, Sharpening the brain, Mental powers, MEM, Memory, Concentration, Focus, Illumination, Enlightenment, Contacting planes, Contacting other planes, Communion with spirits, Communing with the departed, Communing with otherworldly entities, Spirit work, Nether-realm travel, Walking between worlds, SISM, contacting a specific person,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Enhancing clairvoyance, Psychic development, Psychic powers, INCREASE PSYCHIC ABILITIES, Psychic awareness, Stimulating psychic senses, Disabling psychic phenomena, Psychic communication, communication and psychic abilities, Physical Strength, Fortitude, Vitality, Inner power, and strength</t>
        </is>
      </c>
      <c r="BB42" s="42" t="inlineStr">
        <is>
          <t>Akasha and the memory of the deep forest held in wood become stone. Wisdom and ancestral work both find it receptive. Clairvoyance and strength drawn in. Past life knowledge accessed. Where the oldest knowledge is needed and deep roots are the working.</t>
        </is>
      </c>
    </row>
    <row r="43" ht="409.5" customHeight="1" s="56">
      <c r="A43" t="inlineStr">
        <is>
          <t>Pyrite (Fool's Gold)</t>
        </is>
      </c>
      <c r="B43" t="inlineStr">
        <is>
          <t>Fire Stone</t>
        </is>
      </c>
      <c r="C43" t="inlineStr">
        <is>
          <t>FeS₂</t>
        </is>
      </c>
      <c r="D43" t="inlineStr">
        <is>
          <t>Although Pyrite may be nick named “fools gold” it is in many ways magically in line with the mineral gold itself. Used in spells, rituals regarding money, Prosperity, carried to bring good luck in fulfilling one’s monetary needs.. Useful f, using as scrying mirr, s.</t>
        </is>
      </c>
      <c r="E43" t="inlineStr">
        <is>
          <t>Used to strike fire; signifies wealth, manifestation, and memory [cite: 1.1.4].</t>
        </is>
      </c>
      <c r="F43" t="inlineStr">
        <is>
          <t>mars</t>
        </is>
      </c>
      <c r="G43" t="inlineStr">
        <is>
          <t>fire</t>
        </is>
      </c>
      <c r="H43" t="inlineStr">
        <is>
          <t>projective</t>
        </is>
      </c>
      <c r="I43" t="inlineStr">
        <is>
          <t>Tuesday</t>
        </is>
      </c>
      <c r="J43" t="inlineStr">
        <is>
          <t>ARES, MARS, TIWAZ, THOR</t>
        </is>
      </c>
      <c r="K43" t="inlineStr">
        <is>
          <t>BELTANE</t>
        </is>
      </c>
      <c r="L43" t="inlineStr">
        <is>
          <t>Prized by the people of Mexico Pyrite was used to fashion polished “mirrors” that were believed to be used for scrying.  Although Pyrite may be nick named “fools gold” it is in many ways magically in line with the mineral gold itself</t>
        </is>
      </c>
      <c r="M43" t="inlineStr">
        <is>
          <t>Logic, clarity, mem, Clairvoyance, Prosperity, will power, grounding, Harmony, Strength</t>
        </is>
      </c>
      <c r="N43" t="inlineStr">
        <is>
          <t>Pyrite “suns” draw pain from the body, as well as assist in  easing depression symptoms. It is also said to help in reducing swelling, reducing fevers when used directly on the physical body.assist one in balancing, activating the 1st, Base, Root Chakra</t>
        </is>
      </c>
      <c r="O43" t="inlineStr">
        <is>
          <t>*Pyrite (Fool's Gold)*  Also known as: Fire Stone.  Mineral composition: FeS₂.  Planet: mars  Element: fire  Energy: projective  Sacred Day: Tuesday.  Deity associations: Baldor.  Sabbat: BELTANE.  Association: Used to strike fire; signifies wealth, manifestation, and memory [cite: 1.1.4]..  Magical uses: Although Pyrite may be nick named “fools gold” it is in many ways magically in line with the mineral gold itself. Used in spells, rituals regarding money, Prosperity, carried to bring good luck in fulfilling one’s monetary needs.. Useful f, using as scrying mirr, s..  Powers: Logic, clarity, mem, Clairvoyance, Prosperity, will power, grounding, Harmony, Strength.  Spiritual uses: Pyrite “suns” draw pain from the body, as well as assist in  easing depression symptoms. It is also said to help in reducing swelling, reducing fevers when used directly on the physical body.assist one in balancing, activating the 1st, Base, Root Chakra.  Folk lore: Prized by the people of Mexico Pyrite was used to fashion polished “mirrors” that were believed to be used for scrying.  Although Pyrite may be nick named “fools gold” it is in many ways magically in line with the mineral gold itself.  Geology &amp; origin: Pyrite occurs as cubes or as “pyritohedra”,  which have twelve faces, and each of those faces having five edges..</t>
        </is>
      </c>
      <c r="P43" t="inlineStr">
        <is>
          <t>Pine</t>
        </is>
      </c>
      <c r="Q43" t="inlineStr">
        <is>
          <t>Pyrite occurs as cubes or as “pyritohedra”,  which have twelve faces, and each of those faces having five edges.</t>
        </is>
      </c>
      <c r="R43" t="inlineStr">
        <is>
          <t>Warning: May contain trace arsenic. Do not use in direct gem elixirs. Wash hands after handling. Keep away from moisture — can oxidise.</t>
        </is>
      </c>
      <c r="S43" t="inlineStr">
        <is>
          <t>BASIL</t>
        </is>
      </c>
      <c r="T43"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43" t="inlineStr">
        <is>
          <t>CHIVE</t>
        </is>
      </c>
      <c r="V43" t="inlineStr">
        <is>
          <t>Banishing, Exorcism, Breaking bad habits, Dispelling melancholy, Protection against disease, Weight loss spells</t>
        </is>
      </c>
      <c r="W43" t="inlineStr">
        <is>
          <t>CINNAMON STICKS</t>
        </is>
      </c>
      <c r="X43" t="inlineStr">
        <is>
          <t>Clairvoyance, Consecration, Divination, Energy, Good luck, Love, Money, Passion, Peace, Prosperity, Protection, Psychic development, Success, Communication, Happiness, Harmony, Healing, Inspiration, Knowledge, Meditation, Purification, Spirituality, Tranquillity, Wisdom</t>
        </is>
      </c>
      <c r="Y43" t="inlineStr">
        <is>
          <t>DEVILS CLAW ROOT</t>
        </is>
      </c>
      <c r="Z43" t="inlineStr">
        <is>
          <t>Exorcism, Purification, Cleansing the home, Casting circles, Removing residual energies, Protection, Amulets/talismans, Do, way protection, Protective charms</t>
        </is>
      </c>
      <c r="AQ43" t="inlineStr">
        <is>
          <t>Pine</t>
        </is>
      </c>
      <c r="AR43" t="inlineStr">
        <is>
          <t>PROSPERITY SPELLS, Prosperity</t>
        </is>
      </c>
      <c r="AS43" t="inlineStr">
        <is>
          <t>Harmony, Happiness, Strength</t>
        </is>
      </c>
      <c r="AT43" t="inlineStr">
        <is>
          <t>Ginger</t>
        </is>
      </c>
      <c r="AU43" t="inlineStr">
        <is>
          <t>Prosperity, Healing, Love, Strength</t>
        </is>
      </c>
      <c r="AV43" t="inlineStr">
        <is>
          <t>Confidence, EMPATHY, LIBERATION, OPTIMISM, STRENGTHENS</t>
        </is>
      </c>
      <c r="AZ43" t="inlineStr">
        <is>
          <t>Pyrite (Fool's Gold)</t>
        </is>
      </c>
      <c r="BA43" t="inlineStr">
        <is>
          <t>Prosperity, Increasing wealth, Luck, Scrying,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Prophetic dreams, Invoking dreams, Dream work, Dreams, Visions, Seeing the unseen, Seeing manifestations, Truth, Honesty, Removing deception, Subconscious work, Digging into the subconscious, Uprooting what is hidden, Dowsing, Treasure seeking, Lost object finding</t>
        </is>
      </c>
      <c r="BB43" s="42" t="inlineStr">
        <is>
          <t>Fire and the glitter of the earth's buried treasure. Prosperity and increasing wealth both find it willing. Luck drawn in. Scrying ability developed in its reflective surface. Where financial workings need grounding and will power needs sharpening.</t>
        </is>
      </c>
    </row>
    <row r="44">
      <c r="A44" t="inlineStr">
        <is>
          <t>quartz Rose</t>
        </is>
      </c>
      <c r="B44" t="inlineStr">
        <is>
          <t>Stone of the Heart</t>
        </is>
      </c>
      <c r="C44" t="inlineStr">
        <is>
          <t>Rose Quartz (SiO₂)</t>
        </is>
      </c>
      <c r="D44" t="inlineStr">
        <is>
          <t>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t>
        </is>
      </c>
      <c r="E44" t="inlineStr">
        <is>
          <t>The universal stone of love, harmony, and emotional healing.</t>
        </is>
      </c>
      <c r="F44" t="inlineStr">
        <is>
          <t>Venus, Venus</t>
        </is>
      </c>
      <c r="G44" t="inlineStr">
        <is>
          <t>Air</t>
        </is>
      </c>
      <c r="H44" t="inlineStr">
        <is>
          <t>receptive</t>
        </is>
      </c>
      <c r="I44" t="inlineStr">
        <is>
          <t>Friday</t>
        </is>
      </c>
      <c r="J44" t="inlineStr">
        <is>
          <t>ALL</t>
        </is>
      </c>
      <c r="K44" t="inlineStr">
        <is>
          <t>OSTARA</t>
        </is>
      </c>
      <c r="L44" t="inlineStr">
        <is>
          <t>Regularly referred to as the “Love” or “Heart” Stone, Rose Quartz is a gem of unconditional love, whose energies help to open oneself to all forms of available love: self love, familial love, platonic love, romantic love, and more.  Rose Quartz will give just the proper enhancement of love in virtually any situation.</t>
        </is>
      </c>
      <c r="M44" t="inlineStr">
        <is>
          <t>Confidence, Peace, Fertility, creativity, Love, compassion, beauty, Fidelity, Happiness</t>
        </is>
      </c>
      <c r="N44" t="inlineStr">
        <is>
          <t>used to stimulate love, to open the heart chakra.</t>
        </is>
      </c>
      <c r="O44" t="inlineStr">
        <is>
          <t>*quartz Rose*  Also known as: Stone of the Heart.  Mineral composition: Rose Quartz (SiO₂).  Planet: Venus, Venus  Element: Air  Energy: receptive  Sacred Day: Friday.  Deity associations: venus, aphrodite, Ereyr.  Sabbat: OSTARA.  Association: The universal stone of love, harmony, and emotional healing..  Magical uses: its magical applications include promoting peace, Happiness, fidelity in estabished relationships, to attract love, wear a heart shaped rose quartz Used in rituals, spells associated with love. To attract love, wear a heart shaped rose quarts. Magically rose quartz is used to promote peace, fidelity in established relationships...  Powers: Confidence, Peace, Fertility, creativity, Love, compassion, beauty, Fidelity, Happiness.  Spiritual uses: used to stimulate love, to open the heart chakra..  Folk lore: Regularly referred to as the “Love” or “Heart” Stone, Rose Quartz is a gem of unconditional love, whose energies help to open oneself to all forms of available love: self love, familial love, platonic love, romantic love, and more.  Rose Quartz will give just the proper enhancement of love in virtually any situation..  Geology &amp; origin: According to archaeological records Rose Quartz was used as early as the 800-600 B.C. by the Assyrians. Later it became popular with the Greeks &amp; Romans
The name quartz comes from the Greek derivative krustallos, meaning ice, as it was thought that quartz was actually ice formed by the Gods..</t>
        </is>
      </c>
      <c r="P44" t="inlineStr">
        <is>
          <t>Peppermint</t>
        </is>
      </c>
      <c r="Q44" t="inlineStr">
        <is>
          <t>According to archaeological records Rose Quartz was used as early as the 800-600 B.C. by the Assyrians. Later it became popular with the Greeks &amp; Romans
The name quartz comes from the Greek derivative krustallos, meaning ice, as it was thought that quartz was actually ice formed by the Gods.</t>
        </is>
      </c>
      <c r="R44" t="inlineStr">
        <is>
          <t>Generally safe for handling and use.</t>
        </is>
      </c>
      <c r="S44" t="inlineStr">
        <is>
          <t>APPLE BLOSSOM</t>
        </is>
      </c>
      <c r="T44" t="inlineStr">
        <is>
          <t>Love spells, Peace, Contentment, Success, Relaxation, Bath magic</t>
        </is>
      </c>
      <c r="U44" t="inlineStr">
        <is>
          <t>APPLEWOOD CHIPS</t>
        </is>
      </c>
      <c r="V44" t="inlineStr">
        <is>
          <t>Wand making, Love spells, Mabon rituals, Samhain rituals, Honouring the dead, Ancestral altars, Spirit offerings</t>
        </is>
      </c>
      <c r="W44" t="inlineStr">
        <is>
          <t>GOLDENROD</t>
        </is>
      </c>
      <c r="X44" t="inlineStr">
        <is>
          <t>Love rituals, Finding future love, Love sealing, Prophecy, Divination, Dowsing, Treasure seeking, Lost object finding, Inner attunement, Foretelling the future, Future rituals, Daily sachets</t>
        </is>
      </c>
      <c r="Y44" t="inlineStr">
        <is>
          <t>PEPPERMINT</t>
        </is>
      </c>
      <c r="Z44" t="inlineStr">
        <is>
          <t>Cleansing, Consecration, Dreams, Happiness, Healing, Love, Money, Passion, Prosperity, Protection, Psychic development, Purification, Release, Renewal, Rest, Sleep, Animals, Divination, Endings, Energy, Exorcism, Good luck, Grieving, Spirit offering, Success, Transformation, Prophetic dreams, Relieving headaches, Preventing illness, Calling good spirits, Healing spells, Cleansing the home, Cleansing ritual areas</t>
        </is>
      </c>
      <c r="AQ44" t="inlineStr">
        <is>
          <t>Apple</t>
        </is>
      </c>
      <c r="AR44" t="inlineStr">
        <is>
          <t>Love, Happiness, WISDOM IN MAGICK</t>
        </is>
      </c>
      <c r="AS44" t="inlineStr">
        <is>
          <t>UPLIFTING</t>
        </is>
      </c>
      <c r="AT44" t="inlineStr">
        <is>
          <t>Geranium</t>
        </is>
      </c>
      <c r="AU44" t="inlineStr">
        <is>
          <t>Love, Fertility, Healing, Protection</t>
        </is>
      </c>
      <c r="AV44" t="inlineStr">
        <is>
          <t>ASSURANCE, Harmony, Peace, ANTI-DEPRESSANT</t>
        </is>
      </c>
      <c r="AW44" t="inlineStr">
        <is>
          <t>Peppermint</t>
        </is>
      </c>
      <c r="AX44" t="inlineStr">
        <is>
          <t>Purification, PSYCHIC POWERS, Healing</t>
        </is>
      </c>
      <c r="AY44" t="inlineStr">
        <is>
          <t>ANTI-DEPRESSANT, MENTAL CLARITY</t>
        </is>
      </c>
      <c r="AZ44" t="inlineStr">
        <is>
          <t>quartz Rose</t>
        </is>
      </c>
    </row>
    <row r="45">
      <c r="A45" t="inlineStr">
        <is>
          <t>quartz rutilated</t>
        </is>
      </c>
      <c r="B45" t="inlineStr">
        <is>
          <t>Venus Hair</t>
        </is>
      </c>
      <c r="C45" t="inlineStr">
        <is>
          <t>Rutilated Quartz (SiO₂ with TiO₂)</t>
        </is>
      </c>
      <c r="D45" t="inlineStr">
        <is>
          <t>Because Quartz is so good at abs, bing energy you must take care to cleanse it th, oughly after w, king with it. Nobody should be allowed to touch your personal Quartz without your permission, unless perhaps you need to capture their energy f, some reason. wear during magical rituals, place the stone on the altar to increase the effectiveness of your magic.</t>
        </is>
      </c>
      <c r="E45" t="inlineStr">
        <is>
          <t>Used for illumination, spiritual growth, and attracting wealth.</t>
        </is>
      </c>
      <c r="F45" t="inlineStr">
        <is>
          <t>Moon</t>
        </is>
      </c>
      <c r="G45" t="inlineStr">
        <is>
          <t>water</t>
        </is>
      </c>
      <c r="H45" t="inlineStr">
        <is>
          <t>receptive</t>
        </is>
      </c>
      <c r="I45" t="inlineStr">
        <is>
          <t>Monday</t>
        </is>
      </c>
      <c r="J45" t="inlineStr">
        <is>
          <t>ARTEMIS, DIANA, LUNA, SELENE</t>
        </is>
      </c>
      <c r="K45" t="inlineStr">
        <is>
          <t>SAMHAIN</t>
        </is>
      </c>
      <c r="L45" t="inlineStr">
        <is>
          <t>Rutilated quartz is said to slow down the aging process and is said to be a strong healer.</t>
        </is>
      </c>
      <c r="M45" t="inlineStr">
        <is>
          <t>A very personal magical stone used to develop scrying ability, Magical power, to focus spell casting f, increased success.  Healing, drawing out pain, protection from negative vibrations, meditation, psychic powers, Harmony, magickal strength.</t>
        </is>
      </c>
      <c r="N45" t="inlineStr">
        <is>
          <t>Rutilated quartz is reputed to be an energizing stone that helps get energy moving on all levels. Intuitive sources say that it assists with mental focus. It is also said to attract love, stabilize relationships. Rutilated quartz said to be particularly effective f, getting things moving energetically. It can help slowed chakras return to n, mal spin, balance.</t>
        </is>
      </c>
      <c r="O45" t="inlineStr">
        <is>
          <t>*quartz rutilated*  Also known as: Venus Hair.  Mineral composition: Rutilated Quartz (SiO₂ with TiO₂).  Planet: Moon  Element: water  Energy: receptive  Sacred Day: Monday.  Deity associations: Vesta, Latona.  Sabbat: SAMHAIN.  Association: Used for illumination, spiritual growth, and attracting wealth..  Magical uses: Because Quartz is so good at abs, bing energy you must take care to cleanse it th, oughly after w, king with it. Nobody should be allowed to touch your personal Quartz without your permission, unless perhaps you need to capture their energy f, some reason. wear during magical rituals, place the stone on the altar to increase the effectiveness of your magic..  Powers: A very personal magical stone used to develop scrying ability, Magical power, to focus spell casting f, increased success.  Healing, drawing out pain, protection from negative vibrations, meditation, psychic powers, Harmony, magickal strength..  Spiritual uses: Rutilated quartz is reputed to be an energizing stone that helps get energy moving on all levels. Intuitive sources say that it assists with mental focus. It is also said to attract love, stabilize relationships. Rutilated quartz said to be particularly effective f, getting things moving energetically. It can help slowed chakras return to n, mal spin, balance..  Folk lore: Rutilated quartz is said to slow down the aging process and is said to be a strong healer..  Geology &amp; origin: Rutilated quartz, is a type of quartz with needlelike rutile  embedded in it. The rutile needles can be reddish, which is what rutile means in Latin, or they may be golden, silvery, or on very rare occasions, greenish..</t>
        </is>
      </c>
      <c r="P45" t="inlineStr">
        <is>
          <t>Melissa</t>
        </is>
      </c>
      <c r="Q45" t="inlineStr">
        <is>
          <t>Rutilated quartz, is a type of quartz with needlelike rutile  embedded in it. The rutile needles can be reddish, which is what rutile means in Latin, or they may be golden, silvery, or on very rare occasions, greenish.</t>
        </is>
      </c>
      <c r="R45" t="inlineStr">
        <is>
          <t>Generally safe for handling and use.</t>
        </is>
      </c>
      <c r="S45" t="inlineStr">
        <is>
          <t>CALAMUS ROOT</t>
        </is>
      </c>
      <c r="T45" t="inlineStr">
        <is>
          <t>Aphrodisiac, Harmony, Love, Peace, Tranquillity, Strengthening spells, Binding spells, Healing incenses, Healing sachets, Emotional exhaustion, Self-confidence, Success</t>
        </is>
      </c>
      <c r="U45" t="inlineStr">
        <is>
          <t>CHAMOMILE</t>
        </is>
      </c>
      <c r="V45" t="inlineStr">
        <is>
          <t>Fortune, Justice, Love, Meditation, Money, Prosperity, Purification, Removing curses, Removing hexes, Serenity, Calm, Sleep</t>
        </is>
      </c>
      <c r="W45" t="inlineStr">
        <is>
          <t>GARDENIA FRUIT</t>
        </is>
      </c>
      <c r="X45" t="inlineStr">
        <is>
          <t>Attracting good spirits, Peaceful vibrations, Healing altars, Sick-room blessings</t>
        </is>
      </c>
      <c r="Y45" t="inlineStr">
        <is>
          <t>JASMINE</t>
        </is>
      </c>
      <c r="Z45" t="inlineStr">
        <is>
          <t>Snakebite magic, Divination, Charging crystals, Spiritual love, Attracting a soulmate, Wealth, Money, Sleep, Prophetic dreams, New ideas</t>
        </is>
      </c>
      <c r="AZ45" t="inlineStr">
        <is>
          <t>quartz rutilated</t>
        </is>
      </c>
    </row>
    <row r="46">
      <c r="A46" t="inlineStr">
        <is>
          <t>quartz smokey</t>
        </is>
      </c>
      <c r="B46" t="inlineStr">
        <is>
          <t>Earth Shaman</t>
        </is>
      </c>
      <c r="C46" t="inlineStr">
        <is>
          <t>Smoky Quartz (SiO₂)</t>
        </is>
      </c>
      <c r="D46" t="inlineStr">
        <is>
          <t>it is a mood elevat, is w, n as a grounding stone.</t>
        </is>
      </c>
      <c r="E46" t="inlineStr">
        <is>
          <t>Used to transmute negative energy into positive; deep grounding.</t>
        </is>
      </c>
      <c r="F46" t="inlineStr">
        <is>
          <t>moon</t>
        </is>
      </c>
      <c r="G46" t="inlineStr">
        <is>
          <t>Water</t>
        </is>
      </c>
      <c r="H46" t="inlineStr">
        <is>
          <t>receptive</t>
        </is>
      </c>
      <c r="I46" t="inlineStr">
        <is>
          <t>Monday</t>
        </is>
      </c>
      <c r="J46" t="inlineStr">
        <is>
          <t>ARTEMIS, DIANA, LUNA, SELENE</t>
        </is>
      </c>
      <c r="K46" t="inlineStr">
        <is>
          <t>SAMHAIN</t>
        </is>
      </c>
      <c r="L46" t="inlineStr">
        <is>
          <t>This variety was sometimes known as smoky topaz in the past, which is incorrect and misleading, since the mineral variety is quartz, not topaz.</t>
        </is>
      </c>
      <c r="M46" t="inlineStr">
        <is>
          <t>A very personal magical stone used to develop scrying ability, Magical power, to focus spell casting f, increased success.  Healing, drawing out pain, protection from negative vibrations, meditation, psychic powers, Harmony, magickal strength.</t>
        </is>
      </c>
      <c r="N46" t="inlineStr">
        <is>
          <t>It overcomes depression, other negative emotions.Strengthening the back, Increasing wealth, king to improve the abdomen, pancreas, kidneys, Fertility, gans, general fertility issues.  Relieving pain by abs, bing negative energies, assisting with recurring headaches, Anti-theft, tifies the nerves.Smoky quartz is associated with the 1st root, base chakra.</t>
        </is>
      </c>
      <c r="O46" t="inlineStr">
        <is>
          <t>*quartz smokey*  Also known as: Earth Shaman.  Mineral composition: Smoky Quartz (SiO₂).  Planet: moon  Element: Water  Energy: receptive  Sacred Day: Monday.  Deity associations: Gaia.  Sabbat: SAMHAIN.  Association: Used to transmute negative energy into positive; deep grounding..  Magical uses: it is a mood elevat, is w, n as a grounding stone..  Powers: A very personal magical stone used to develop scrying ability, Magical power, to focus spell casting f, increased success.  Healing, drawing out pain, protection from negative vibrations, meditation, psychic powers, Harmony, magickal strength..  Spiritual uses: It overcomes depression, other negative emotions.Strengthening the back, Increasing wealth, king to improve the abdomen, pancreas, kidneys, Fertility, gans, general fertility issues.  Relieving pain by abs, bing negative energies, assisting with recurring headaches, Anti-theft, tifies the nerves.Smoky quartz is associated with the 1st root, base chakra..  Folk lore: This variety was sometimes known as smoky topaz in the past, which is incorrect and misleading, since the mineral variety is quartz, not topaz..  Geology &amp; origin: Smoky quartz is a brown transparent quartz that is sometimes used for unusual faceted cuts. The commercial market is limited due to the limited demand for brown gemstones. This variety was sometimes known as smoky topaz in the past, which is incorrect and misleading, since the mineral variety is quartz, not topaz..</t>
        </is>
      </c>
      <c r="P46" t="inlineStr">
        <is>
          <t>Melissa</t>
        </is>
      </c>
      <c r="Q46" t="inlineStr">
        <is>
          <t>Smoky quartz is a brown transparent quartz that is sometimes used for unusual faceted cuts. The commercial market is limited due to the limited demand for brown gemstones. This variety was sometimes known as smoky topaz in the past, which is incorrect and misleading, since the mineral variety is quartz, not topaz.</t>
        </is>
      </c>
      <c r="R46" t="inlineStr">
        <is>
          <t>Generally safe for handling and use. Avoid prolonged sunlight — colour may fade.</t>
        </is>
      </c>
      <c r="S46" t="inlineStr">
        <is>
          <t>CALAMUS ROOT</t>
        </is>
      </c>
      <c r="T46" t="inlineStr">
        <is>
          <t>Aphrodisiac, Harmony, Love, Peace, Tranquillity, Strengthening spells, Binding spells, Healing incenses, Healing sachets, Emotional exhaustion, Self-confidence, Success</t>
        </is>
      </c>
      <c r="U46" t="inlineStr">
        <is>
          <t>CHAMOMILE</t>
        </is>
      </c>
      <c r="V46" t="inlineStr">
        <is>
          <t>Fortune, Justice, Love, Meditation, Money, Prosperity, Purification, Removing curses, Removing hexes, Serenity, Calm, Sleep</t>
        </is>
      </c>
      <c r="W46" t="inlineStr">
        <is>
          <t>GARDENIA FRUIT</t>
        </is>
      </c>
      <c r="X46" t="inlineStr">
        <is>
          <t>Attracting good spirits, Peaceful vibrations, Healing altars, Sick-room blessings</t>
        </is>
      </c>
      <c r="Y46" t="inlineStr">
        <is>
          <t>JASMINE</t>
        </is>
      </c>
      <c r="Z46" t="inlineStr">
        <is>
          <t>Snakebite magic, Divination, Charging crystals, Spiritual love, Attracting a soulmate, Wealth, Money, Sleep, Prophetic dreams, New ideas</t>
        </is>
      </c>
      <c r="AZ46" t="inlineStr">
        <is>
          <t>quartz smokey</t>
        </is>
      </c>
    </row>
    <row r="47">
      <c r="A47" t="inlineStr">
        <is>
          <t>quartz snow</t>
        </is>
      </c>
      <c r="B47" t="inlineStr">
        <is>
          <t>Winter's Wisdom</t>
        </is>
      </c>
      <c r="C47" t="inlineStr">
        <is>
          <t>Snow Quartz (SiO₂)</t>
        </is>
      </c>
      <c r="D47" t="inlineStr">
        <is>
          <t>Because Quartz is so good at abs, bing energy you must take care to cleanse it th, oughly after w, king with it. Nobody should be allowed to touch your personal Quartz without your permission, unless perhaps you need to capture their energy f, some reason. Snow Quartz is an excellent stone f, transmitting healing energy, especially f, emotional healing.Snow quartz is often used f, purification.</t>
        </is>
      </c>
      <c r="E47" t="inlineStr">
        <is>
          <t>Used for mental clarity and connecting to feminine wisdom.</t>
        </is>
      </c>
      <c r="F47" t="inlineStr">
        <is>
          <t>moon</t>
        </is>
      </c>
      <c r="G47" t="inlineStr">
        <is>
          <t>Air</t>
        </is>
      </c>
      <c r="H47" t="inlineStr">
        <is>
          <t>receptive</t>
        </is>
      </c>
      <c r="I47" t="inlineStr">
        <is>
          <t>Monday</t>
        </is>
      </c>
      <c r="J47" t="inlineStr">
        <is>
          <t>ARTEMIS, DIANA, LUNA, SELENE</t>
        </is>
      </c>
      <c r="K47" t="inlineStr">
        <is>
          <t>IMBOLC</t>
        </is>
      </c>
      <c r="L47" t="inlineStr">
        <is>
          <t>It is said that Snow Quartz supports you while learning lessons and helps you to let go of overwhelming responsibilities and limitations.</t>
        </is>
      </c>
      <c r="M47" t="inlineStr">
        <is>
          <t>A very personal magical stone used to develop scrying ability, Magical power, to focus spell casting f, increased success.  Healing, drawing out pain, protection from negative vibrations, meditation, psychic powers, Harmony, magickal strength.</t>
        </is>
      </c>
      <c r="N47" t="inlineStr">
        <is>
          <t>Snow quartz is a stone that brings good f, tune.
It is also a calming, soothing stone.
Snow quartz is helpful f, meditation, looking within.
It also has all the properties of clear quartz to a lesser degree.
Physically, it is beneficial f, the immune system.</t>
        </is>
      </c>
      <c r="O47" t="inlineStr">
        <is>
          <t>*quartz snow*  Also known as: Winter's Wisdom.  Mineral composition: Snow Quartz (SiO₂).  Planet: moon  Element: Air  Energy: receptive  Sacred Day: Monday.  Deity associations: Allat.  Sabbat: IMBOLC.  Association: Used for mental clarity and connecting to feminine wisdom..  Magical uses: Because Quartz is so good at abs, bing energy you must take care to cleanse it th, oughly after w, king with it. Nobody should be allowed to touch your personal Quartz without your permission, unless perhaps you need to capture their energy f, some reason. Snow Quartz is an excellent stone f, transmitting healing energy, especially f, emotional healing.Snow quartz is often used f, purification..  Powers: A very personal magical stone used to develop scrying ability, Magical power, to focus spell casting f, increased success.  Healing, drawing out pain, protection from negative vibrations, meditation, psychic powers, Harmony, magickal strength..  Spiritual uses: Snow quartz is a stone that brings good f, tune.
It is also a calming, soothing stone.
Snow quartz is helpful f, meditation, looking within.
It also has all the properties of clear quartz to a lesser degree.
Physically, it is beneficial f, the immune system..  Folk lore: It is said that Snow Quartz supports you while learning lessons and helps you to let go of overwhelming responsibilities and limitations..  Geology &amp; origin: Snow Quartz is a very common variety which is often found as pebbles on the sea shore. They are white and slightly glassy, often with dark staining caused by iron in the stone..</t>
        </is>
      </c>
      <c r="P47" t="inlineStr">
        <is>
          <t>Melissa</t>
        </is>
      </c>
      <c r="Q47" t="inlineStr">
        <is>
          <t>Snow Quartz is a very common variety which is often found as pebbles on the sea shore. They are white and slightly glassy, often with dark staining caused by iron in the stone.</t>
        </is>
      </c>
      <c r="R47" t="inlineStr">
        <is>
          <t>Generally safe for handling and use.</t>
        </is>
      </c>
      <c r="S47" t="inlineStr">
        <is>
          <t>CAMPHOR SYNTHETIC</t>
        </is>
      </c>
      <c r="T47" t="inlineStr">
        <is>
          <t>Cleansing, Banishing, Warding off advances, Healing, Stimulating psychic senses, Consecration, Purification, Funeral rites, Visionary w, Breaking habits, Removing dark energies, Cleansing tools, Prophetic dreams, Scrying</t>
        </is>
      </c>
      <c r="U47" t="inlineStr">
        <is>
          <t>SWEET MYRRH</t>
        </is>
      </c>
      <c r="V47" t="inlineStr">
        <is>
          <t>Purification, Lifting vibrations, Contemplation, Meditation, Peace, Increasing power of incense, Healing incenses, Healing sachets, Consecration, Blessing objects, Protection, Guarding against evil, Underst, Bolstering spells, row</t>
        </is>
      </c>
      <c r="AQ47" t="inlineStr">
        <is>
          <t>Lemon</t>
        </is>
      </c>
      <c r="AR47" t="inlineStr">
        <is>
          <t>Purification, Love, FRIENDSHIP</t>
        </is>
      </c>
      <c r="AS47" t="inlineStr">
        <is>
          <t>AWARENESS, CLARITY, REJUVENATION, Peace</t>
        </is>
      </c>
      <c r="AT47" t="inlineStr">
        <is>
          <t>Melissa</t>
        </is>
      </c>
      <c r="AU47" t="inlineStr">
        <is>
          <t>Love, Healing, Prosperity</t>
        </is>
      </c>
      <c r="AV47" t="inlineStr">
        <is>
          <t>GENTLENESS, Peace, PROGRESSIVENESS</t>
        </is>
      </c>
      <c r="AZ47" t="inlineStr">
        <is>
          <t>quartz snow</t>
        </is>
      </c>
    </row>
    <row r="48" ht="409.5" customHeight="1" s="56">
      <c r="A48" t="inlineStr">
        <is>
          <t>Red Jasper</t>
        </is>
      </c>
      <c r="B48" t="inlineStr">
        <is>
          <t>Warrior's Stone</t>
        </is>
      </c>
      <c r="C48" t="inlineStr">
        <is>
          <t>Jasper (SiO₂)</t>
        </is>
      </c>
      <c r="D48" t="inlineStr">
        <is>
          <t>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t>
        </is>
      </c>
      <c r="E48" t="inlineStr">
        <is>
          <t>Known for strength, protection, and endurance.</t>
        </is>
      </c>
      <c r="F48" t="inlineStr">
        <is>
          <t>mars</t>
        </is>
      </c>
      <c r="G48" t="inlineStr">
        <is>
          <t>fire</t>
        </is>
      </c>
      <c r="H48" t="inlineStr">
        <is>
          <t>projective</t>
        </is>
      </c>
      <c r="I48" t="inlineStr">
        <is>
          <t>Tuesday</t>
        </is>
      </c>
      <c r="J48" t="inlineStr">
        <is>
          <t>ARES, MARS, TIWAZ, THOR</t>
        </is>
      </c>
      <c r="K48" t="inlineStr">
        <is>
          <t>BELTANE</t>
        </is>
      </c>
      <c r="L48" t="inlineStr">
        <is>
          <t>Used to be engraved with images of lions or archers and carried to ward off fevers and guard against poison. Worn by young ladies to promote beauty and  grace.The ancient Egyptians wore Jasper scarabs as amulets, as this stone was believed to increase sexual energy.</t>
        </is>
      </c>
      <c r="M48" t="inlineStr">
        <is>
          <t>Beauty, grace, increasing mental processes, Luck, easing pain of childbirth, Anti-theft, ming barrier against dangerous whims &amp; desires.</t>
        </is>
      </c>
      <c r="N48" t="inlineStr">
        <is>
          <t>When laid on therapeutically, red version of this stone stimulates sexuality, fertility. Red is associated with the 1st, Root, Base Chakra, the 2nd Sacral Chakra</t>
        </is>
      </c>
      <c r="O48" t="inlineStr">
        <is>
          <t>*Red Jasper*  Also known as: Warrior's Stone.  Mineral composition: Jasper (SiO₂).  Planet: mars  Element: fire  Energy: projective  Sacred Day: Tuesday.  Deity associations: Mary Magdalene.  Sabbat: BELTANE.  Association: Known for strength, protection, and endurance..  Magical uses: Used magically f, any spells concerning sex, Love, strong emotions. Red Jasper is a protective stone that can be w, n to ward off nightmare, help prevent accidents, misf, tune. Sometimes used in demonic invocations, meditation with the stone can help you discover some of the secret knowledge that demons possess. An excellent stone f, menstrual magic that can help women to underst, better appreciate their natural cycles. Increases awareness of the Moon.  Powers: Beauty, grace, increasing mental processes, Luck, easing pain of childbirth, Anti-theft, ming barrier against dangerous whims &amp; desires..  Spiritual uses: When laid on therapeutically, red version of this stone stimulates sexuality, fertility. Red is associated with the 1st, Root, Base Chakra, the 2nd Sacral Chakra.  Folk lore: Used to be engraved with images of lions or archers and carried to ward off fevers and guard against poison. Worn by young ladies to promote beauty and  grace.The ancient Egyptians wore Jasper scarabs as amulets, as this stone was believed to increase sexual energy..  Geology &amp; origin: Jasper is an opaque form of the mineral quartz.</t>
        </is>
      </c>
      <c r="P48" t="inlineStr">
        <is>
          <t>Pine</t>
        </is>
      </c>
      <c r="Q48" t="inlineStr">
        <is>
          <t>Jasper is an opaque form of the mineral quartz</t>
        </is>
      </c>
      <c r="R48" t="inlineStr">
        <is>
          <t>Generally safe for handling and use.</t>
        </is>
      </c>
      <c r="S48" t="inlineStr">
        <is>
          <t>BASIL</t>
        </is>
      </c>
      <c r="T48"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48" t="inlineStr">
        <is>
          <t>CHIVE</t>
        </is>
      </c>
      <c r="V48" t="inlineStr">
        <is>
          <t>Banishing, Exorcism, Breaking bad habits, Dispelling melancholy, Protection against disease, Weight loss spells</t>
        </is>
      </c>
      <c r="W48" t="inlineStr">
        <is>
          <t>CINNAMON STICKS</t>
        </is>
      </c>
      <c r="X48" t="inlineStr">
        <is>
          <t>Clairvoyance, Consecration, Divination, Energy, Good luck, Love, Money, Passion, Peace, Prosperity, Protection, Psychic development, Success, Communication, Happiness, Harmony, Healing, Inspiration, Knowledge, Meditation, Purification, Spirituality, Tranquillity, Wisdom</t>
        </is>
      </c>
      <c r="Y48" t="inlineStr">
        <is>
          <t>DEVILS CLAW ROOT</t>
        </is>
      </c>
      <c r="Z48" t="inlineStr">
        <is>
          <t>Exorcism, Purification, Cleansing the home, Casting circles, Removing residual energies, Protection, Amulets/talismans, Do, way protection, Protective charms</t>
        </is>
      </c>
      <c r="AQ48" t="inlineStr">
        <is>
          <t>Pine</t>
        </is>
      </c>
      <c r="AR48" t="inlineStr">
        <is>
          <t>PROSPERITY SPELLS, Prosperity</t>
        </is>
      </c>
      <c r="AS48" t="inlineStr">
        <is>
          <t>Harmony, Happiness, Strength</t>
        </is>
      </c>
      <c r="AT48" t="inlineStr">
        <is>
          <t>Ginger</t>
        </is>
      </c>
      <c r="AU48" t="inlineStr">
        <is>
          <t>Prosperity, Healing, Love, Strength</t>
        </is>
      </c>
      <c r="AV48" t="inlineStr">
        <is>
          <t>Confidence, EMPATHY, LIBERATION, OPTIMISM, STRENGTHENS</t>
        </is>
      </c>
      <c r="AZ48" t="inlineStr">
        <is>
          <t>Red Jasper</t>
        </is>
      </c>
      <c r="BA48" t="inlineStr">
        <is>
          <t>Love, Aphrodisiac, Protection, Nightmare prevention,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Protective charm, Protective charms, Protective sachets, Protective wreaths, Protective incense, PROTECT AGAINST NEGATIVITY, Protection from negativity, Circle protection, Preventing nightmares, Negating dreams, RID OF BAD DREAMS, Nightmares, Sleep, Rest, Encouraging sound sleep</t>
        </is>
      </c>
      <c r="BB48" s="42" t="inlineStr">
        <is>
          <t>Fire and the red of living earth, the stone of physical life defended. Love and aphrodisiac energy both carried in its warmth. Protection and nightmare prevention held firmly. Sexuality and fertility stirred. The body and its passions honoured.</t>
        </is>
      </c>
    </row>
    <row r="49" ht="409.5" customHeight="1" s="56">
      <c r="A49" t="inlineStr">
        <is>
          <t>Rhodocrosite</t>
        </is>
      </c>
      <c r="B49" t="inlineStr">
        <is>
          <t>Rose of the Incas</t>
        </is>
      </c>
      <c r="C49" t="inlineStr">
        <is>
          <t>Rhodochrosite (MnCO₃)</t>
        </is>
      </c>
      <c r="D49" t="inlineStr">
        <is>
          <t>Increasing wealth, k with this stone can help bring freedom from an oppressive situation, to break away from a destructive relationship. Helps you learn to use your creative powers f, your own benefit, to transf, m thoughts, ideas into real, physical creations. Helps heal emotional wounds suffered in childhood, bring out the ‘inner child’ in you so that you can see the w, ld with curiosity, wonder again.</t>
        </is>
      </c>
      <c r="E49" t="inlineStr">
        <is>
          <t>Stone of self-love and compassionate healing.</t>
        </is>
      </c>
      <c r="F49" t="inlineStr">
        <is>
          <t>mars</t>
        </is>
      </c>
      <c r="G49" t="inlineStr">
        <is>
          <t>fire</t>
        </is>
      </c>
      <c r="H49" t="inlineStr">
        <is>
          <t>projective</t>
        </is>
      </c>
      <c r="I49" t="inlineStr">
        <is>
          <t>Tuesday</t>
        </is>
      </c>
      <c r="J49" t="inlineStr">
        <is>
          <t>ARES, MARS, TIWAZ, THOR</t>
        </is>
      </c>
      <c r="K49" t="inlineStr">
        <is>
          <t>BELTANE</t>
        </is>
      </c>
      <c r="L49" t="inlineStr">
        <is>
          <t>It is said to contain an electrical energy which is told to emit the strongest power in the Universe…the Power of Love.</t>
        </is>
      </c>
      <c r="M49" t="inlineStr">
        <is>
          <t>Balancing, Healing, beauty, intelligence, divine love, energy, Peace, loneliness, comf, Amulets/talismans, meeting potential, Confidence, Contacting planes, compassion, friendship. Increases self confidence, self reliance, independence, the ability to provide f, yourself.</t>
        </is>
      </c>
      <c r="N49" t="inlineStr">
        <is>
          <t>One may also use this stone f, wonderful relaxation in a Rhodochrosite bath. By adding a piece of the stone to the bath water, wearing one during a bath, Rhodochrosite will assist one in relaxing, de-stressing.</t>
        </is>
      </c>
      <c r="O49" t="inlineStr">
        <is>
          <t>*Rhodocrosite*  Also known as: Rose of the Incas.  Mineral composition: Rhodochrosite (MnCO₃).  Planet: mars  Element: fire  Energy: projective  Sacred Day: Tuesday.  Deity associations: Nisaba.  Sabbat: BELTANE.  Association: Stone of self-love and compassionate healing..  Magical uses: Increasing wealth, k with this stone can help bring freedom from an oppressive situation, to break away from a destructive relationship. Helps you learn to use your creative powers f, your own benefit, to transf, m thoughts, ideas into real, physical creations. Helps heal emotional wounds suffered in childhood, bring out the ‘inner child’ in you so that you can see the w, ld with curiosity, wonder again..  Powers: Balancing, Healing, beauty, intelligence, divine love, energy, Peace, loneliness, comf, Amulets/talismans, meeting potential, Confidence, Contacting planes, compassion, friendship. Increases self confidence, self reliance, independence, the ability to provide f, yourself..  Spiritual uses: One may also use this stone f, wonderful relaxation in a Rhodochrosite bath. By adding a piece of the stone to the bath water, wearing one during a bath, Rhodochrosite will assist one in relaxing, de-stressing..  Folk lore: It is said to contain an electrical energy which is told to emit the strongest power in the Universe…the Power of Love..  Geology &amp; origin: The pink color of Rhodochrosite is created by the presence of manganese and it is formed when manganese is dissolved by groundwater and combines with a carbonate material and then drips off the ceiling of caves and crevices deep underground. It is found in veins of silver, copper, lead and manganese. Rhodochrosite is found in Argentina, Mexico, Spain, Africa, Peru, and Montana, U.S..</t>
        </is>
      </c>
      <c r="P49" t="inlineStr">
        <is>
          <t>Pine</t>
        </is>
      </c>
      <c r="Q49" t="inlineStr">
        <is>
          <t>The pink color of Rhodochrosite is created by the presence of manganese and it is formed when manganese is dissolved by groundwater and combines with a carbonate material and then drips off the ceiling of caves and crevices deep underground. It is found in veins of silver, copper, lead and manganese. Rhodochrosite is found in Argentina, Mexico, Spain, Africa, Peru, and Montana, U.S.</t>
        </is>
      </c>
      <c r="R49" t="inlineStr">
        <is>
          <t>Warning: Contains manganese — do not use in direct gem elixirs. Wash hands after handling raw specimens.</t>
        </is>
      </c>
      <c r="S49" t="inlineStr">
        <is>
          <t>BASIL</t>
        </is>
      </c>
      <c r="T49"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49" t="inlineStr">
        <is>
          <t>CHIVE</t>
        </is>
      </c>
      <c r="V49" t="inlineStr">
        <is>
          <t>Banishing, Exorcism, Breaking bad habits, Dispelling melancholy, Protection against disease, Weight loss spells</t>
        </is>
      </c>
      <c r="W49" t="inlineStr">
        <is>
          <t>CINNAMON STICKS</t>
        </is>
      </c>
      <c r="X49" t="inlineStr">
        <is>
          <t>Clairvoyance, Consecration, Divination, Energy, Good luck, Love, Money, Passion, Peace, Prosperity, Protection, Psychic development, Success, Communication, Happiness, Harmony, Healing, Inspiration, Knowledge, Meditation, Purification, Spirituality, Tranquillity, Wisdom</t>
        </is>
      </c>
      <c r="Y49" t="inlineStr">
        <is>
          <t>DEVILS CLAW ROOT</t>
        </is>
      </c>
      <c r="Z49" t="inlineStr">
        <is>
          <t>Exorcism, Purification, Cleansing the home, Casting circles, Removing residual energies, Protection, Amulets/talismans, Do, way protection, Protective charms</t>
        </is>
      </c>
      <c r="AQ49" t="inlineStr">
        <is>
          <t>Pine</t>
        </is>
      </c>
      <c r="AR49" t="inlineStr">
        <is>
          <t>PROSPERITY SPELLS, Prosperity</t>
        </is>
      </c>
      <c r="AS49" t="inlineStr">
        <is>
          <t>Harmony, Happiness, Strength</t>
        </is>
      </c>
      <c r="AT49" t="inlineStr">
        <is>
          <t>Ginger</t>
        </is>
      </c>
      <c r="AU49" t="inlineStr">
        <is>
          <t>Prosperity, Healing, Love, Strength</t>
        </is>
      </c>
      <c r="AV49" t="inlineStr">
        <is>
          <t>Confidence, EMPATHY, LIBERATION, OPTIMISM, STRENGTHENS</t>
        </is>
      </c>
      <c r="AZ49" t="inlineStr">
        <is>
          <t>Rhodocrosite</t>
        </is>
      </c>
      <c r="BA49" t="inlineStr">
        <is>
          <t>Increasing wealth, Healing, New beginnings,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Breaking habits, Breaking bad habits, Ending negative self-talk, Letting go of relationships, Ending guilt, Release, Renewal, New beginning spells, Fresh starts, Transformation, Change, rebirth, Breakthrough, Awakening, Growth, New ideas, Assisting transformation, Transformation/Evolution</t>
        </is>
      </c>
      <c r="BB49" s="42" t="inlineStr">
        <is>
          <t>Fire and the rose of the deep earth, healing through the open heart. Wealth increased, new beginnings seeded. Fertility energy alive in its pink. Where emotional wounds are the root of the working and abundance needs calling through what has been healed.</t>
        </is>
      </c>
    </row>
    <row r="50" ht="409.5" customHeight="1" s="56">
      <c r="A50" t="inlineStr">
        <is>
          <t>Rhodonite</t>
        </is>
      </c>
      <c r="B50" t="inlineStr">
        <is>
          <t>Stone of Compassion</t>
        </is>
      </c>
      <c r="C50" t="inlineStr">
        <is>
          <t>MnSiO₃</t>
        </is>
      </c>
      <c r="D50" t="inlineStr">
        <is>
          <t>Rhodonite is a stone of inspiration that can help you to recognise, make use of your own unique talents. Takes away feelings of guilt, false modesty so that you can appreciate how special, gifted you are. Used in emotional healing to help rest, e feelings of w, Anti-theft, Confidence, self-love. Once you recognise your talents meditation with the stone can help you discover how you can use those gifts to better your life, your community.</t>
        </is>
      </c>
      <c r="E50" t="inlineStr">
        <is>
          <t>Used for healing emotional wounds and fostering forgiveness.</t>
        </is>
      </c>
      <c r="F50" t="inlineStr">
        <is>
          <t>mars</t>
        </is>
      </c>
      <c r="G50" t="inlineStr">
        <is>
          <t>Fire</t>
        </is>
      </c>
      <c r="H50" t="inlineStr">
        <is>
          <t>projective</t>
        </is>
      </c>
      <c r="I50" t="inlineStr">
        <is>
          <t>Tuesday</t>
        </is>
      </c>
      <c r="J50" t="inlineStr">
        <is>
          <t>ARES, MARS, TIWAZ, THOR</t>
        </is>
      </c>
      <c r="K50" t="inlineStr">
        <is>
          <t>BELTANE</t>
        </is>
      </c>
      <c r="L50" t="inlineStr">
        <is>
          <t>The word rhodonite is said to be derived from the Greek wordrhodos for ‘rose’, although there is also reference that credits an ancient Celtic word rhod, which means ‘wheel’, as the origins of this stone’s nam</t>
        </is>
      </c>
      <c r="M50" t="inlineStr">
        <is>
          <t>Assurance, underst, ing of cosmic purpose, ing of new concepts &amp; teachings, self-w, Anti-theft, Confidence, Peace, Happiness, laughter, strength against vulnerability, harmony in relationships, enabling change.</t>
        </is>
      </c>
      <c r="N50" t="inlineStr">
        <is>
          <t>Will aid in giving an aura of elegance, grace, keeping one’s dignity, temper during times of stress, it will help to relieve anxieties, help to reach one’s maximum potential.Rhodonite is most effective f, stimulation, clearing, activation of the 4th, Heart Chakra</t>
        </is>
      </c>
      <c r="O50" t="inlineStr">
        <is>
          <t>*Rhodonite*  Also known as: Stone of Compassion.  Mineral composition: MnSiO₃.  Planet: mars  Element: Fire  Energy: projective  Sacred Day: Tuesday.  Deity associations: venus.  Sabbat: BELTANE.  Association: Used for healing emotional wounds and fostering forgiveness..  Magical uses: Rhodonite is a stone of inspiration that can help you to recognise, make use of your own unique talents. Takes away feelings of guilt, false modesty so that you can appreciate how special, gifted you are. Used in emotional healing to help rest, e feelings of w, Anti-theft, Confidence, self-love. Once you recognise your talents meditation with the stone can help you discover how you can use those gifts to better your life, your community..  Powers: Assurance, underst, ing of cosmic purpose, ing of new concepts &amp; teachings, self-w, Anti-theft, Confidence, Peace, Happiness, laughter, strength against vulnerability, harmony in relationships, enabling change..  Spiritual uses: Will aid in giving an aura of elegance, grace, keeping one’s dignity, temper during times of stress, it will help to relieve anxieties, help to reach one’s maximum potential.Rhodonite is most effective f, stimulation, clearing, activation of the 4th, Heart Chakra.  Folk lore: The word rhodonite is said to be derived from the Greek wordrhodos for ‘rose’, although there is also reference that credits an ancient Celtic word rhod, which means ‘wheel’, as the origins of this stone’s nam.  Geology &amp; origin: A pnk/red manganese mineral with black inclusions. Rhodonite forms slowly and more patiently, allowing the manganese to meld and morph with a number of other minerals such as calcium and aluminum during the sedimentary process. When the manganese is exposed it will oxidize and as the minerals weather together this is the process that creates the lovely colored veins.</t>
        </is>
      </c>
      <c r="P50" t="inlineStr">
        <is>
          <t>Pine</t>
        </is>
      </c>
      <c r="Q50" t="inlineStr">
        <is>
          <t>A pnk/red manganese mineral with black inclusions. Rhodonite forms slowly and more patiently, allowing the manganese to meld and morph with a number of other minerals such as calcium and aluminum during the sedimentary process. When the manganese is exposed it will oxidize and as the minerals weather together this is the process that creates the lovely colored veins</t>
        </is>
      </c>
      <c r="R50" t="inlineStr">
        <is>
          <t>Generally safe for handling and use.</t>
        </is>
      </c>
      <c r="S50" t="inlineStr">
        <is>
          <t>BASIL</t>
        </is>
      </c>
      <c r="T50"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50" t="inlineStr">
        <is>
          <t>CHIVE</t>
        </is>
      </c>
      <c r="V50" t="inlineStr">
        <is>
          <t>Banishing, Exorcism, Breaking bad habits, Dispelling melancholy, Protection against disease, Weight loss spells</t>
        </is>
      </c>
      <c r="W50" t="inlineStr">
        <is>
          <t>CINNAMON STICKS</t>
        </is>
      </c>
      <c r="X50" t="inlineStr">
        <is>
          <t>Clairvoyance, Consecration, Divination, Energy, Good luck, Love, Money, Passion, Peace, Prosperity, Protection, Psychic development, Success, Communication, Happiness, Harmony, Healing, Inspiration, Knowledge, Meditation, Purification, Spirituality, Tranquillity, Wisdom</t>
        </is>
      </c>
      <c r="Y50" t="inlineStr">
        <is>
          <t>DEVILS CLAW ROOT</t>
        </is>
      </c>
      <c r="Z50" t="inlineStr">
        <is>
          <t>Exorcism, Purification, Cleansing the home, Casting circles, Removing residual energies, Protection, Amulets/talismans, Do, way protection, Protective charms</t>
        </is>
      </c>
      <c r="AQ50" t="inlineStr">
        <is>
          <t>Pine</t>
        </is>
      </c>
      <c r="AR50" t="inlineStr">
        <is>
          <t>PROSPERITY SPELLS, Prosperity</t>
        </is>
      </c>
      <c r="AS50" t="inlineStr">
        <is>
          <t>Harmony, Happiness, Strength</t>
        </is>
      </c>
      <c r="AT50" t="inlineStr">
        <is>
          <t>Ginger</t>
        </is>
      </c>
      <c r="AU50" t="inlineStr">
        <is>
          <t>Prosperity, Healing, Love, Strength</t>
        </is>
      </c>
      <c r="AV50" t="inlineStr">
        <is>
          <t>Confidence, EMPATHY, LIBERATION, OPTIMISM, STRENGTHENS</t>
        </is>
      </c>
      <c r="AZ50" t="inlineStr">
        <is>
          <t>Rhodonite</t>
        </is>
      </c>
      <c r="BA50" t="inlineStr">
        <is>
          <t>Confidence, Healing, Wisdom, Love, Self-confidence, Courage, Bravery, Determination, Will Power, Leadership, Leadership skills, Commanding, Personal power, Healing magic, Healing spells, Healing sachets, Healing incenses, Healing mixtures, Healing rituals, Healing incense, Healing vibrations, healing after surgery, Aiding recovery, Aiding the ill, Improving health, Speeding recovery, Good health, health, Knowledge, Intelligence, Intuition, Mental clarity, Sharpening the wits, Sharpening the brain, Mental powers,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t>
        </is>
      </c>
      <c r="BB50" s="42" t="inlineStr">
        <is>
          <t>Fire and the calm of genuine self-knowledge. Confidence and healing both find it receptive. Wisdom and love drawn together. Dignity maintained under pressure. Where self-worth needs restoring and the working needs grounding in what is true.</t>
        </is>
      </c>
    </row>
    <row r="51" ht="409.5" customHeight="1" s="56">
      <c r="A51" t="inlineStr">
        <is>
          <t>Ruby</t>
        </is>
      </c>
      <c r="B51" t="inlineStr">
        <is>
          <t>Ratnaraj (King of Gems)</t>
        </is>
      </c>
      <c r="C51" t="inlineStr">
        <is>
          <t>Corundum (Al₂O₃)</t>
        </is>
      </c>
      <c r="D51" t="inlineStr">
        <is>
          <t>Prosperity, Love, restful sleep, protection from st, ms &amp; negativity, Strength, Happiness, Confidence, sexual energy, enthusiasm, generosity, will power, contentment.  The stone carries the energy of both elemental Earth, Fire, is theref, e excellent f, grounding, transf, ming energy. As a healing stone Ruby increases energy, improves its circulation through the body, although its energies cans sometimes be quite unruly. Increases your ability to draw energy from the Earth when you need it. Used in meditation Ruby can help you communicate with Dragons, learn some of the wisdom of these fabulous beasts.</t>
        </is>
      </c>
      <c r="E51" t="inlineStr">
        <is>
          <t>Symbol of vitality and courage; highly protective and powerful [cite: 1.1.5].</t>
        </is>
      </c>
      <c r="F51" t="inlineStr">
        <is>
          <t>mars</t>
        </is>
      </c>
      <c r="G51" t="inlineStr">
        <is>
          <t>earth, fire</t>
        </is>
      </c>
      <c r="H51" t="inlineStr">
        <is>
          <t>projective</t>
        </is>
      </c>
      <c r="I51" t="inlineStr">
        <is>
          <t>Tuesday</t>
        </is>
      </c>
      <c r="J51" t="inlineStr">
        <is>
          <t>ARES, MARS, TIWAZ, THOR</t>
        </is>
      </c>
      <c r="K51" t="inlineStr">
        <is>
          <t>BELTANE</t>
        </is>
      </c>
      <c r="L51" t="inlineStr">
        <is>
          <t>Ruby is reputed to sing a baby from the womb and bring on labour at the right time. Changes of colour in the gem are said to mirror changes in the health of its owner and there are many legends of the colour draining from a Ruby at the time its owner dies It is told that Catherine of Aragon wore an infamous ruby, that legend tells us turned  dark and dull the day before Henry VII announced he was divorcing her.</t>
        </is>
      </c>
      <c r="M51" t="inlineStr">
        <is>
          <t>Prosperity, Love, restful sleep, protection from st, ms &amp; negativity, Strength, Happiness, Confidence, sexual energy, enthusiasm, generosity, will power, contentment.</t>
        </is>
      </c>
      <c r="N51" t="inlineStr">
        <is>
          <t>A very useful stone f, those who practise Tantra, Sex Magic as it activates the power of Kundalini, has a raw, earthy energy.</t>
        </is>
      </c>
      <c r="O51" t="inlineStr">
        <is>
          <t>*Ruby*  Also known as: Ratnaraj (King of Gems).  Mineral composition: Corundum (Al₂O₃).  Planet: mars  Element: earth, fire  Energy: projective  Sacred Day: Tuesday.  Deity associations: Befana, Sekhmet.  Sabbat: BELTANE.  Association: Symbol of vitality and courage; highly protective and powerful [cite: 1.1.5]..  Magical uses: Prosperity, Love, restful sleep, protection from st, ms &amp; negativity, Strength, Happiness, Confidence, sexual energy, enthusiasm, generosity, will power, contentment.  The stone carries the energy of both elemental Earth, Fire, is theref, e excellent f, grounding, transf, ming energy. As a healing stone Ruby increases energy, improves its circulation through the body, although its energies cans sometimes be quite unruly. Increases your ability to draw energy from the Earth when you need it. Used in meditation Ruby can help you communicate with Dragons, learn some of the wisdom of these fabulous beasts..  Powers: Prosperity, Love, restful sleep, protection from st, ms &amp; negativity, Strength, Happiness, Confidence, sexual energy, enthusiasm, generosity, will power, contentment..  Spiritual uses: A very useful stone f, those who practise Tantra, Sex Magic as it activates the power of Kundalini, has a raw, earthy energy..  Folk lore: Ruby is reputed to sing a baby from the womb and bring on labour at the right time. Changes of colour in the gem are said to mirror changes in the health of its owner and there are many legends of the colour draining from a Ruby at the time its owner dies It is told that Catherine of Aragon wore an infamous ruby, that legend tells us turned  dark and dull the day before Henry VII announced he was divorcing her..  Geology &amp; origin: Ruby is a Corundums which are aluminum oxide silicates that gain their color by chromium, iron and/or titanium. Gemologists consider a ‘perfect’ corundum to be crystal clear.  It is chromium that colors stones pinkish red to plum and those are classified as Ruby; all other colors are often classified as Sapphires. There is a long standing argument within the gem world as to where the ‘cut off’ in color is to be designated.As recently as 1992 new veins of Ruby have been found in the northern lands of Vietnam..</t>
        </is>
      </c>
      <c r="P51" t="inlineStr">
        <is>
          <t>Pine</t>
        </is>
      </c>
      <c r="Q51" t="inlineStr">
        <is>
          <t>Ruby is a Corundums which are aluminum oxide silicates that gain their color by chromium, iron and/or titanium. Gemologists consider a ‘perfect’ corundum to be crystal clear.  It is chromium that colors stones pinkish red to plum and those are classified as Ruby; all other colors are often classified as Sapphires. There is a long standing argument within the gem world as to where the ‘cut off’ in color is to be designated.As recently as 1992 new veins of Ruby have been found in the northern lands of Vietnam.</t>
        </is>
      </c>
      <c r="R51" t="inlineStr">
        <is>
          <t>Generally safe for handling and use.</t>
        </is>
      </c>
      <c r="S51" t="inlineStr">
        <is>
          <t>BASIL</t>
        </is>
      </c>
      <c r="T51"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51" t="inlineStr">
        <is>
          <t>CHIVE</t>
        </is>
      </c>
      <c r="V51" t="inlineStr">
        <is>
          <t>Banishing, Exorcism, Breaking bad habits, Dispelling melancholy, Protection against disease, Weight loss spells</t>
        </is>
      </c>
      <c r="W51" t="inlineStr">
        <is>
          <t>DEVILS CLAW ROOT</t>
        </is>
      </c>
      <c r="X51" t="inlineStr">
        <is>
          <t>Exorcism, Purification, Cleansing the home, Casting circles, Removing residual energies, Protection, Amulets/talismans, Do, way protection, Protective charms</t>
        </is>
      </c>
      <c r="Y51" t="inlineStr">
        <is>
          <t>GARLIC POWDER</t>
        </is>
      </c>
      <c r="Z51" t="inlineStr">
        <is>
          <t>Exorcism, Magic, Passion, Protection, Spell-breaking, Strength, Clairvoyance, Success, Commanding, Confidence, Consecration, Courage, Divination, Healing, Longevity, Money, Overcoming opposition, Purification, Preventing nightmares, Stopping gossip, Fair weather</t>
        </is>
      </c>
      <c r="AQ51" t="inlineStr">
        <is>
          <t>Pine</t>
        </is>
      </c>
      <c r="AR51" t="inlineStr">
        <is>
          <t>PROSPERITY SPELLS, Prosperity</t>
        </is>
      </c>
      <c r="AS51" t="inlineStr">
        <is>
          <t>Harmony, Happiness, Strength</t>
        </is>
      </c>
      <c r="AT51" t="inlineStr">
        <is>
          <t>Ginger</t>
        </is>
      </c>
      <c r="AU51" t="inlineStr">
        <is>
          <t>Prosperity, Healing, Love, Strength</t>
        </is>
      </c>
      <c r="AV51" t="inlineStr">
        <is>
          <t>Confidence, EMPATHY, LIBERATION, OPTIMISM, STRENGTHENS</t>
        </is>
      </c>
      <c r="AZ51" t="inlineStr">
        <is>
          <t>Ruby</t>
        </is>
      </c>
      <c r="BA51" t="inlineStr">
        <is>
          <t>Prosperity, Love, Sleep, Protection, Strength, Happiness, Confidence, Aphrodisiac,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Nightmare prevention, Preventing nightmares, Negating dreams, RID OF BAD DREAMS, Nightmares, Rest, Encouraging sound sleep, Protective charm, Protective charms, Protective sachets, Protective wreaths, Protective incense, PROTECT AGAINST NEGATIVITY, Protection from negativity, Circle protection, Physical Strength, Fortitude, Vitality, Inner power, and strength, Joy, Joyous celebrations, Contentment, Self-confidence, Courage, Bravery, Determination, Will Power, Leadership, Leadership skills, Commanding, Personal power, Aphrodisiac tea, Sensuality, Lust, Lust/Sex, Passionate love-making, LOVING &amp; LUSTFUL ENERGIES, SEX MAGIC, RAISE SEXUAL ENERGY, Sexual energy</t>
        </is>
      </c>
      <c r="BB51" s="42" t="inlineStr">
        <is>
          <t>Earth and fire in the same stone, the full force of life energy made visible. Prosperity and love carried together. Sleep protected, strength held. Happiness and confidence both strengthened. Aphrodisiac energy and fertility both alive in its depth.</t>
        </is>
      </c>
    </row>
    <row r="52" ht="403.5" customHeight="1" s="56">
      <c r="A52" t="inlineStr">
        <is>
          <t>Sapphire</t>
        </is>
      </c>
      <c r="B52" t="inlineStr">
        <is>
          <t>Stone of Wisdom</t>
        </is>
      </c>
      <c r="C52" t="inlineStr">
        <is>
          <t>Corundum (Al₂O₃)</t>
        </is>
      </c>
      <c r="D52" t="inlineStr">
        <is>
          <t>Sapphire is used in magic to increase energy, especially fertility, the power to create. It is a wonderful stone f, lovers, is reputed to bring a peaceful atmosphere to the house it is kept in. Sapphire is an excellent peacemaker that is said to calm anger, allow people to talk freely about their differences, underst, each other’s point of view ~ it is even said that this stone can appease the anger of God.  Keep a Sapphire in your magical area when w, Breaking habits, meditating to bring out your spiritual Fire. The stone is particularly useful f, focussing, directing power. Keep a gem in a charm bag, in your h, when you practise any f, m of divination to increase your ability to see clearly into the future.</t>
        </is>
      </c>
      <c r="E52" t="inlineStr">
        <is>
          <t>Associated with celestial light, truth, and spiritual insight.</t>
        </is>
      </c>
      <c r="F52" t="inlineStr">
        <is>
          <t>saturn</t>
        </is>
      </c>
      <c r="G52" t="inlineStr">
        <is>
          <t>water</t>
        </is>
      </c>
      <c r="H52" t="inlineStr">
        <is>
          <t>receptive</t>
        </is>
      </c>
      <c r="I52" t="inlineStr">
        <is>
          <t>Saturday</t>
        </is>
      </c>
      <c r="J52" t="inlineStr">
        <is>
          <t>SATURN</t>
        </is>
      </c>
      <c r="K52" t="inlineStr">
        <is>
          <t>SAMHAIN</t>
        </is>
      </c>
      <c r="L52" t="inlineStr">
        <is>
          <t>The name ‘Sapphire’ comes from the Greek ‘Sappheiros’ which in turn is from the Sanskrit ‘Sanipriya’ and literally means ‘beloved of the planet Saturn’. Traditionally Sapphire is believed to cure sleepwalking and gazing into the stone is said to preserve your eyesight.</t>
        </is>
      </c>
      <c r="M52" t="inlineStr">
        <is>
          <t>Harmony, overcoming depression, self-discipline, Love, meditation, Peace, Healing, friendship, fertility.</t>
        </is>
      </c>
      <c r="N52" t="inlineStr">
        <is>
          <t>Spiritually the stone is used to encourage deep thought, contemplation, increase powers of telepathy, Clairvoyance, astral projection. In meditation it brings intuitive insights into your magic, inspires ‘chaste, pure thoughts’, helps you to focus on your spiritual goals. Keep a Sapphire in your magical area when w, Breaking habits, meditating to bring out your spiritual Fire.</t>
        </is>
      </c>
      <c r="O52" t="inlineStr">
        <is>
          <t>*Sapphire*  Also known as: Stone of Wisdom.  Mineral composition: Corundum (Al₂O₃).  Planet: saturn  Element: water  Energy: receptive  Sacred Day: Saturday.  Deity associations: Vac, Juterna.  Sabbat: SAMHAIN.  Association: Associated with celestial light, truth, and spiritual insight..  Magical uses: Sapphire is used in magic to increase energy, especially fertility, the power to create. It is a wonderful stone f, lovers, is reputed to bring a peaceful atmosphere to the house it is kept in. Sapphire is an excellent peacemaker that is said to calm anger, allow people to talk freely about their differences, underst, each other’s point of view ~ it is even said that this stone can appease the anger of God.  Keep a Sapphire in your magical area when w, Breaking habits, meditating to bring out your spiritual Fire. The stone is particularly useful f, focussing, directing power. Keep a gem in a charm bag, in your h, when you practise any f, m of divination to increase your ability to see clearly into the future..  Powers: Harmony, overcoming depression, self-discipline, Love, meditation, Peace, Healing, friendship, fertility..  Spiritual uses: Spiritually the stone is used to encourage deep thought, contemplation, increase powers of telepathy, Clairvoyance, astral projection. In meditation it brings intuitive insights into your magic, inspires ‘chaste, pure thoughts’, helps you to focus on your spiritual goals. Keep a Sapphire in your magical area when w, Breaking habits, meditating to bring out your spiritual Fire..  Folk lore: The name ‘Sapphire’ comes from the Greek ‘Sappheiros’ which in turn is from the Sanskrit ‘Sanipriya’ and literally means ‘beloved of the planet Saturn’. Traditionally Sapphire is believed to cure sleepwalking and gazing into the stone is said to preserve your eyesight..  Geology &amp; origin: Different types and colours of Sapphire have different properties. Yellow Sapphire bestows eloquence, Black Sapphire brings visions and knowledge, White Sapphire boosts confidence and brings support for your projects and a Star Sapphire, cut to reflect light like a shining star, is said to protect its wearer from all harm. The rarest and most powerful form of Sapphire is the flame coloured Padparadschah, the 'Lotus Flower' Sapphire..</t>
        </is>
      </c>
      <c r="P52" t="inlineStr">
        <is>
          <t>Patchouli</t>
        </is>
      </c>
      <c r="Q52" t="inlineStr">
        <is>
          <t>Different types and colours of Sapphire have different properties. Yellow Sapphire bestows eloquence, Black Sapphire brings visions and knowledge, White Sapphire boosts confidence and brings support for your projects and a Star Sapphire, cut to reflect light like a shining star, is said to protect its wearer from all harm. The rarest and most powerful form of Sapphire is the flame coloured Padparadschah, the 'Lotus Flower' Sapphire.</t>
        </is>
      </c>
      <c r="R52" t="inlineStr">
        <is>
          <t>Generally safe for handling and use.</t>
        </is>
      </c>
      <c r="S52" t="inlineStr">
        <is>
          <t>COMFREY</t>
        </is>
      </c>
      <c r="T52" t="inlineStr">
        <is>
          <t>Healing, Travel safety, Money spells, Protection for travellers, Protection against theft, Luggage protection, Faithfulness, Vehicle protection, Casino luck, Borage substitute, Ritual bath, Divination, Concentration, Letting go of relationships</t>
        </is>
      </c>
      <c r="U52" t="inlineStr">
        <is>
          <t>COMFREY ROOT</t>
        </is>
      </c>
      <c r="V52" t="inlineStr">
        <is>
          <t>Protection during travel, money spells, and healing rituals. Carry the root when travelling to ensure safe return. Place in luggage to prevent theft. Used in prosperity spells — the root is said to draw money steadily and reliably. Add to healing sachets for persistent, strengthening healing energy.</t>
        </is>
      </c>
      <c r="AZ52" t="inlineStr">
        <is>
          <t>Sapphire</t>
        </is>
      </c>
      <c r="BA52" t="inlineStr">
        <is>
          <t>Fertility, Love, Peace, Divination, Clairvoyance, Magical power,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divination, Divinatory incense, Foretelling the future, Future divination, Scrying, Dowsing, Prophecy, Enhancing clairvoyance, Psychic development, Psychic powers, INCREASE PSYCHIC ABILITIES, Psychic awareness, Stimulating psychic senses, Disabling psychic phenomena, Psychic communication, communication and psychic abilities, Increasing magical power, Increasing spell power, Power amplification, Bolstering spells, Bolstering incense, Strengthening spells, Potency, Power, Magic, WISDOM IN MAGICK, defensive magic</t>
        </is>
      </c>
      <c r="BB52" s="42" t="inlineStr">
        <is>
          <t>Water and the blue of deep contemplation. Fertility and love both find it receptive. Peace and divination carried in its depth. Clairvoyance and magical power deepened. Where the long view is needed and meditation is the working.</t>
        </is>
      </c>
    </row>
    <row r="53" ht="409.5" customHeight="1" s="56">
      <c r="A53" t="inlineStr">
        <is>
          <t>Seraphinite</t>
        </is>
      </c>
      <c r="B53" t="inlineStr">
        <is>
          <t>Angel Stone</t>
        </is>
      </c>
      <c r="C53" t="inlineStr">
        <is>
          <t>Clinochlore (Mg,Fe)₅Al(AlSi₃)O₁₀(OH)₈</t>
        </is>
      </c>
      <c r="D53" t="inlineStr">
        <is>
          <t>Seraphinite is a powerful healing stone which is becoming increasingly popular. It is an excellent healing stone which boosts the energy of both the healer, the patient. Some people even say that it causes regeneration, miraculous healings.</t>
        </is>
      </c>
      <c r="E53" t="inlineStr">
        <is>
          <t>Used to connect with angelic realms and for self-healing.</t>
        </is>
      </c>
      <c r="F53" t="inlineStr">
        <is>
          <t>venus</t>
        </is>
      </c>
      <c r="G53" t="inlineStr">
        <is>
          <t>air, earth</t>
        </is>
      </c>
      <c r="H53" t="inlineStr">
        <is>
          <t>receptive</t>
        </is>
      </c>
      <c r="I53" t="inlineStr">
        <is>
          <t>Friday</t>
        </is>
      </c>
      <c r="J53" t="inlineStr">
        <is>
          <t>APHRODITE, VENUS, FREYJA, HATHOR</t>
        </is>
      </c>
      <c r="K53" t="inlineStr">
        <is>
          <t>OSTARA</t>
        </is>
      </c>
      <c r="L53" t="inlineStr">
        <is>
          <t>the name Seraphinite (rooted from the Greek “seraphim”) was bestowed as miners felt it resembled the Seraphim angels, which refers to a grand celestial being and highest order of angels, said to attend the throne of god; identified by three pairs of wings.</t>
        </is>
      </c>
      <c r="M53" t="inlineStr">
        <is>
          <t>Purification, centering, compassion, healing.</t>
        </is>
      </c>
      <c r="N53" t="inlineStr">
        <is>
          <t>What is certain is that the stone helps us to w, k holistically on our illnesses, not jus healing the physical body but also strengthening our astral, energetic bodies, dissolving blockages that prevent us from being fully healthy, drawing out emotional problems, old traumas that may be causing us distress.</t>
        </is>
      </c>
      <c r="O53" t="inlineStr">
        <is>
          <t>*Seraphinite*  Also known as: Angel Stone.  Mineral composition: Clinochlore (Mg,Fe)₅Al(AlSi₃)O₁₀(OH)₈.  Planet: venus  Element: air, earth  Energy: receptive  Sacred Day: Friday.  Deity associations: venus.  Sabbat: OSTARA.  Association: Used to connect with angelic realms and for self-healing..  Magical uses: Seraphinite is a powerful healing stone which is becoming increasingly popular. It is an excellent healing stone which boosts the energy of both the healer, the patient. Some people even say that it causes regeneration, miraculous healings..  Powers: Purification, centering, compassion, healing..  Spiritual uses: What is certain is that the stone helps us to w, k holistically on our illnesses, not jus healing the physical body but also strengthening our astral, energetic bodies, dissolving blockages that prevent us from being fully healthy, drawing out emotional problems, old traumas that may be causing us distress..  Folk lore: the name Seraphinite (rooted from the Greek “seraphim”) was bestowed as miners felt it resembled the Seraphim angels, which refers to a grand celestial being and highest order of angels, said to attend the throne of god; identified by three pairs of wings..  Geology &amp; origin: . It is a form of the green mineral Chlorite, which often appears as inclusions in Quartz and other stones. Sometimes this mineral grows into a massive gem form which is commonly known as Seraphinite..</t>
        </is>
      </c>
      <c r="P53" t="inlineStr">
        <is>
          <t>Peppermint</t>
        </is>
      </c>
      <c r="Q53" t="inlineStr">
        <is>
          <t>. It is a form of the green mineral Chlorite, which often appears as inclusions in Quartz and other stones. Sometimes this mineral grows into a massive gem form which is commonly known as Seraphinite.</t>
        </is>
      </c>
      <c r="R53" t="inlineStr">
        <is>
          <t>Generally safe for handling. Contains mica — avoid inhaling any dust.</t>
        </is>
      </c>
      <c r="S53" t="inlineStr">
        <is>
          <t>APPLE BLOSSOM</t>
        </is>
      </c>
      <c r="T53" t="inlineStr">
        <is>
          <t>Love spells, Peace, Contentment, Success, Relaxation, Bath magic</t>
        </is>
      </c>
      <c r="U53" t="inlineStr">
        <is>
          <t>APPLEWOOD CHIPS</t>
        </is>
      </c>
      <c r="V53" t="inlineStr">
        <is>
          <t>Wand making, Love spells, Mabon rituals, Samhain rituals, Honouring the dead, Ancestral altars, Spirit offerings</t>
        </is>
      </c>
      <c r="W53" t="inlineStr">
        <is>
          <t>GOLDENROD</t>
        </is>
      </c>
      <c r="X53" t="inlineStr">
        <is>
          <t>Love rituals, Finding future love, Love sealing, Prophecy, Divination, Dowsing, Treasure seeking, Lost object finding, Inner attunement, Foretelling the future, Future rituals, Daily sachets</t>
        </is>
      </c>
      <c r="Y53" t="inlineStr">
        <is>
          <t>OREGANO</t>
        </is>
      </c>
      <c r="Z53" t="inlineStr">
        <is>
          <t>Happiness, Animals, Harmony, Love, Peace, Protection, Psychic development, Aiding grief, Weddings, Hand-fastings</t>
        </is>
      </c>
      <c r="AQ53" t="inlineStr">
        <is>
          <t>Apple</t>
        </is>
      </c>
      <c r="AR53" t="inlineStr">
        <is>
          <t>Love, Happiness, WISDOM IN MAGICK</t>
        </is>
      </c>
      <c r="AS53" t="inlineStr">
        <is>
          <t>UPLIFTING</t>
        </is>
      </c>
      <c r="AT53" t="inlineStr">
        <is>
          <t>Geranium</t>
        </is>
      </c>
      <c r="AU53" t="inlineStr">
        <is>
          <t>Love, Fertility, Healing, Protection</t>
        </is>
      </c>
      <c r="AV53" t="inlineStr">
        <is>
          <t>ASSURANCE, Harmony, Peace, ANTI-DEPRESSANT</t>
        </is>
      </c>
      <c r="AW53" t="inlineStr">
        <is>
          <t>Peppermint</t>
        </is>
      </c>
      <c r="AX53" t="inlineStr">
        <is>
          <t>Purification, PSYCHIC POWERS, Healing</t>
        </is>
      </c>
      <c r="AY53" t="inlineStr">
        <is>
          <t>ANTI-DEPRESSANT, MENTAL CLARITY</t>
        </is>
      </c>
      <c r="AZ53" t="inlineStr">
        <is>
          <t>Seraphinite</t>
        </is>
      </c>
      <c r="BA53" t="inlineStr">
        <is>
          <t>Healing, Magical power, Purification, Harmony, Clairvoyance, Love, Healing magic, Healing spells, Healing sachets, Healing incenses, Healing mixtures, Healing rituals, Healing incense, Healing vibrations, healing after surgery, Aiding recovery, Aiding the ill, Improving health, Speeding recovery, Good health, health, Increasing magical power, Increasing spell power, Power amplification, Bolstering spells, Bolstering incense, Strengthening spells, Potency, Power, Magic, WISDOM IN MAGICK, defensive magic,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clairvoyance, Psychic development, Psychic powers, INCREASE PSYCHIC ABILITIES, Psychic awareness, Stimulating psychic senses, Disabling psychic phenomena, Psychic communication, communication and psychic abilities</t>
        </is>
      </c>
      <c r="BB53" s="42" t="inlineStr">
        <is>
          <t>Air and earth, the feathered stone that heals holistically. Magical power and purification both carried. Harmony deepened in its presence. Clairvoyance opened. Where the working involves the whole person and nothing is being addressed in isolation.</t>
        </is>
      </c>
    </row>
    <row r="54" ht="390" customHeight="1" s="56">
      <c r="A54" t="inlineStr">
        <is>
          <t>Serpentine</t>
        </is>
      </c>
      <c r="B54" t="inlineStr">
        <is>
          <t>Snake Stone</t>
        </is>
      </c>
      <c r="C54" t="inlineStr">
        <is>
          <t>Serpentine (Mg₃Si₂O₅(OH)₄)</t>
        </is>
      </c>
      <c r="D54" t="inlineStr">
        <is>
          <t>It can also be used in any Serpentine magic, Anti-theft, example to contact, communicate with Dragons, Serpents, the ancient Snake Goddess.</t>
        </is>
      </c>
      <c r="E54" t="inlineStr">
        <is>
          <t>Used to ward off snake bites and as a symbol of rejuvenation.</t>
        </is>
      </c>
      <c r="F54" t="inlineStr">
        <is>
          <t>saturn</t>
        </is>
      </c>
      <c r="G54" t="inlineStr">
        <is>
          <t>fire</t>
        </is>
      </c>
      <c r="H54" t="inlineStr">
        <is>
          <t>projective</t>
        </is>
      </c>
      <c r="I54" t="inlineStr">
        <is>
          <t>Saturday</t>
        </is>
      </c>
      <c r="J54" t="inlineStr">
        <is>
          <t>SATURN, HECATE, URD, SKULD</t>
        </is>
      </c>
      <c r="K54" t="inlineStr">
        <is>
          <t>SAMHAIN, YULE</t>
        </is>
      </c>
      <c r="L54" t="inlineStr">
        <is>
          <t>It was in the 19th century that people became aware of the fire resistant nature of serpentine, as a result is was utilized in many materials and fabrics. According to legend, Romans used this stone as protection against sorcery and the dark arts. Vessels were made of serpentine, as they were said to shatter is they came into contact with poison. Therefore many ancients began using serpentine to craft drinking vessels.</t>
        </is>
      </c>
      <c r="M54" t="inlineStr">
        <is>
          <t>Cleansing, visualization, meditation, attracting love, drawing money, Prosperity, psychic power, matters involving the elderly, longevity.</t>
        </is>
      </c>
      <c r="N54" t="inlineStr">
        <is>
          <t>Meditation with the stone can help increase your intuitive knowledge of Earth energies, learning to trust the ‘hunches’ you get when carrying this stone will help you discover sacred areas in the l, scape.</t>
        </is>
      </c>
      <c r="O54" t="inlineStr">
        <is>
          <t>*Serpentine*  Also known as: Snake Stone.  Mineral composition: Serpentine (Mg₃Si₂O₅(OH)₄).  Planet: saturn  Element: fire  Energy: projective  Sacred Day: Saturday.  Deity associations: Great Goddess. Manasa.  Sabbat: SAMHAIN, YULE.  Association: Used to ward off snake bites and as a symbol of rejuvenation..  Magical uses: It can also be used in any Serpentine magic, Anti-theft, example to contact, communicate with Dragons, Serpents, the ancient Snake Goddess..  Powers: Cleansing, visualization, meditation, attracting love, drawing money, Prosperity, psychic power, matters involving the elderly, longevity..  Spiritual uses: Meditation with the stone can help increase your intuitive knowledge of Earth energies, learning to trust the ‘hunches’ you get when carrying this stone will help you discover sacred areas in the l, scape..  Folk lore: It was in the 19th century that people became aware of the fire resistant nature of serpentine, as a result is was utilized in many materials and fabrics. According to legend, Romans used this stone as protection against sorcery and the dark arts. Vessels were made of serpentine, as they were said to shatter is they came into contact with poison. Therefore many ancients began using serpentine to craft drinking vessels..  Geology &amp; origin: This yellow green stone, also known as Snakestone, is commonly mistaken for Jade.Serpentine, Bowenite (translucent green or blue-green) and Williamsite (translucent green, veined with inclusions) is found in Southwest Africa, China India the USA and Italy..</t>
        </is>
      </c>
      <c r="P54" t="inlineStr">
        <is>
          <t>Patchouli</t>
        </is>
      </c>
      <c r="Q54" t="inlineStr">
        <is>
          <t>This yellow green stone, also known as Snakestone, is commonly mistaken for Jade.Serpentine, Bowenite (translucent green or blue-green) and Williamsite (translucent green, veined with inclusions) is found in Southwest Africa, China India the USA and Italy.</t>
        </is>
      </c>
      <c r="R54" t="inlineStr">
        <is>
          <t>Warning: Some serpentine contains asbestos fibres — do not inhale dust. Handle polished specimens only. Do not use in direct gem elixirs.</t>
        </is>
      </c>
      <c r="S54" t="inlineStr">
        <is>
          <t>CHIVE</t>
        </is>
      </c>
      <c r="T54" t="inlineStr">
        <is>
          <t>Banishing, Exorcism, Breaking bad habits, Dispelling melancholy, Protection against disease, Weight loss spells</t>
        </is>
      </c>
      <c r="U54" t="inlineStr">
        <is>
          <t>CLEAVERS</t>
        </is>
      </c>
      <c r="V54" t="inlineStr">
        <is>
          <t>Spring tonic, Healing, Psychic powers, Spring festivals, Purification rituals, Menarche rituals, Binding spells, Binding rituals</t>
        </is>
      </c>
      <c r="W54" t="inlineStr">
        <is>
          <t>RUE</t>
        </is>
      </c>
      <c r="X54"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AZ54" t="inlineStr">
        <is>
          <t>Serpentine</t>
        </is>
      </c>
      <c r="BA54" t="inlineStr">
        <is>
          <t>Contacting planes, Magical power, Cleansing, Meditation, Love, Prosperity, Clairvoyance, Contacting other planes, Communion with spirits, Communing with the departed, Communing with otherworldly entities, Spirit work, Nether-realm travel, Walking between worlds,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Increasing magical power, Increasing spell power, Power amplification, Bolstering spells, Bolstering incense, Strengthening spells, Potency, Power, Magic, WISDOM IN MAGICK, defensive magic,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Enhancing clairvoyance, Psychic development, Psychic powers, INCREASE PSYCHIC ABILITIES, Psychic awareness, Stimulating psychic senses, Disabling psychic phenomena, Psychic communication, communication and psychic abilities</t>
        </is>
      </c>
      <c r="BB54" s="42" t="inlineStr">
        <is>
          <t>Fire and the green of the serpent's ancient knowing. Planes contacted, magical power drawn in. Cleansing and meditation both deepened. Love and prosperity find it willing. Clairvoyance opened through stillness and earth energy.</t>
        </is>
      </c>
    </row>
    <row r="55" ht="409.5" customHeight="1" s="56">
      <c r="A55" t="inlineStr">
        <is>
          <t>Sodalite</t>
        </is>
      </c>
      <c r="B55" t="inlineStr">
        <is>
          <t>Poet's Stone</t>
        </is>
      </c>
      <c r="C55" t="inlineStr">
        <is>
          <t>Na₈(AlSiO₄)₆Cl₂</t>
        </is>
      </c>
      <c r="D55" t="inlineStr">
        <is>
          <t>The specks of Calcite that cover this deep blue stone make it look very like the foam flecked sea, theref, e it is used in Water magic, especially to gain the aid of Sea deities. A stone of courage, protection. Sodalite lessens fear, banishes insomnia, protects from nightmare. Very calming f, the emotionally oversensitive, anyone who is feeling nervous, highly strung. Helps you to look at situations intellectually as well as emotionally, find practical solutions to your problems. Stimulates creativity, visualisation skills, imagination. Sodalite brings strength, protection on journeys, especially over the often dangerous element of Water. It can also be used to protect you, increase your courage, determination when undertaking spiritual, magical journeys.</t>
        </is>
      </c>
      <c r="E55" t="inlineStr">
        <is>
          <t>Used for truth, logic, and inner peace.</t>
        </is>
      </c>
      <c r="F55" t="inlineStr">
        <is>
          <t>Jupiter</t>
        </is>
      </c>
      <c r="G55" t="inlineStr">
        <is>
          <t>water</t>
        </is>
      </c>
      <c r="H55" t="inlineStr">
        <is>
          <t>receptive</t>
        </is>
      </c>
      <c r="I55" t="inlineStr">
        <is>
          <t>Thursday</t>
        </is>
      </c>
      <c r="J55" t="inlineStr">
        <is>
          <t>ZEUS, JUPITER, THOR, ODIN</t>
        </is>
      </c>
      <c r="K55" t="inlineStr">
        <is>
          <t>MABON</t>
        </is>
      </c>
      <c r="L55" t="inlineStr">
        <is>
          <t>Since antiquity the Sodalite stone has been known as the stone of Creatives; such as artists, singers, painters and sculptors as it was believed to be able to encourage inspiration and creativity while also providing the creative receptacle psychic shielding protection from others whom may be intent on stealing those ideas and inspirations.</t>
        </is>
      </c>
      <c r="M55" t="inlineStr">
        <is>
          <t>Alleviates fears, clears the mind, calms inner conflict, Truth, stress relief, Peace, Harmony, wisdom, relaxation, communication, dispels guilt, merges logic, spirituality, creates emotional balance, learning, perception, creativity, Divination, eliminates confusion.</t>
        </is>
      </c>
      <c r="N55" t="inlineStr">
        <is>
          <t>Awakens the 3rd Eye, is helpful when trying to develop your second sight, psychic powers.</t>
        </is>
      </c>
      <c r="O55" t="inlineStr">
        <is>
          <t>*Sodalite*  Also known as: Poet's Stone.  Mineral composition: Na₈(AlSiO₄)₆Cl₂.  Planet: Jupiter  Element: water  Energy: receptive  Sacred Day: Thursday.  Deity associations: Shiva, Parvati.  Sabbat: MABON.  Association: Used for truth, logic, and inner peace..  Magical uses: The specks of Calcite that cover this deep blue stone make it look very like the foam flecked sea, theref, e it is used in Water magic, especially to gain the aid of Sea deities. A stone of courage, protection. Sodalite lessens fear, banishes insomnia, protects from nightmare. Very calming f, the emotionally oversensitive, anyone who is feeling nervous, highly strung. Helps you to look at situations intellectually as well as emotionally, find practical solutions to your problems. Stimulates creativity, visualisation skills, imagination. Sodalite brings strength, protection on journeys, especially over the often dangerous element of Water. It can also be used to protect you, increase your courage, determination when undertaking spiritual, magical journeys..  Powers: Alleviates fears, clears the mind, calms inner conflict, Truth, stress relief, Peace, Harmony, wisdom, relaxation, communication, dispels guilt, merges logic, spirituality, creates emotional balance, learning, perception, creativity, Divination, eliminates confusion..  Spiritual uses: Awakens the 3rd Eye, is helpful when trying to develop your second sight, psychic powers..  Folk lore: Since antiquity the Sodalite stone has been known as the stone of Creatives; such as artists, singers, painters and sculptors as it was believed to be able to encourage inspiration and creativity while also providing the creative receptacle psychic shielding protection from others whom may be intent on stealing those ideas and inspirations..  Geology &amp; origin: Sodalite gains its name from the sodium content found within this mineral.  It is found in many shades of blue, and only blue; it shares many qualities of the stone Lapis Lazuli and it therefore often mistaken for it.  One of the easiest ways to determine the difference is that Sodalite rarely contains the pyrite specks that are present in Lapis Lazuli, giving Lapis it’s sparkle. Sodalite will generally contain white streaks of calcite though, and scientifically Sodalite also possesses a lower specific gravity than Lapis.
he biggest deposits of Sodalite Stone has been found in Brazil; but it has also been discovered in Russia, Greenland, Romania, France, India, Myanmar, Namibia, Canada and the United States..</t>
        </is>
      </c>
      <c r="P55" t="inlineStr">
        <is>
          <t>Honeysuckle</t>
        </is>
      </c>
      <c r="Q55" t="inlineStr">
        <is>
          <t>Sodalite gains its name from the sodium content found within this mineral.  It is found in many shades of blue, and only blue; it shares many qualities of the stone Lapis Lazuli and it therefore often mistaken for it.  One of the easiest ways to determine the difference is that Sodalite rarely contains the pyrite specks that are present in Lapis Lazuli, giving Lapis it’s sparkle. Sodalite will generally contain white streaks of calcite though, and scientifically Sodalite also possesses a lower specific gravity than Lapis.
he biggest deposits of Sodalite Stone has been found in Brazil; but it has also been discovered in Russia, Greenland, Romania, France, India, Myanmar, Namibia, Canada and the United States.</t>
        </is>
      </c>
      <c r="R55" t="inlineStr">
        <is>
          <t>Generally safe for handling. May contain aluminium — do not use in direct gem elixirs.</t>
        </is>
      </c>
      <c r="S55" t="inlineStr">
        <is>
          <t>ROSE HIP</t>
        </is>
      </c>
      <c r="T55" t="inlineStr">
        <is>
          <t>Honouring Venus, Harmony, Peace, Calming energies, Love, Soul mates, Companionship, Incense, Sachets, Charm bags, Love-attracting rituals, Cleansing before ritual, Stress relief</t>
        </is>
      </c>
      <c r="U55" t="inlineStr">
        <is>
          <t>ROSE PETALS</t>
        </is>
      </c>
      <c r="V55" t="inlineStr">
        <is>
          <t>Love, Sex, Passion, Conjuring a lover, Attracting love, Prophetic dreams, Healing, Calming stress, Calming household upheaval, Love messages</t>
        </is>
      </c>
      <c r="AQ55" t="inlineStr">
        <is>
          <t>Honeysuckle</t>
        </is>
      </c>
      <c r="AR55" t="inlineStr">
        <is>
          <t>INCREASE PSYCHIC ABILITIES, INCREASE MONEY, Protection</t>
        </is>
      </c>
      <c r="AS55" t="inlineStr">
        <is>
          <t>RELAXING, SOOTHING, UPLIFTING, PSYCHIC POWERS</t>
        </is>
      </c>
      <c r="AZ55" t="inlineStr">
        <is>
          <t>Sodalite</t>
        </is>
      </c>
      <c r="BA55" t="inlineStr">
        <is>
          <t>Wisdom, Harmony, Protection, Strength, Clairvoyance, Knowledge, Intelligence, Intuition, Mental clarity, Sharpening the wits, Sharpening the brain, Mental powers, MEM, Memory, Concentration, Focus, Illumination, Enlightenment,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Protective charm, Protective charms, Protective sachets, Protective wreaths, Protective incense, PROTECT AGAINST NEGATIVITY, Protection from negativity, Circle protection, Physical Strength, Fortitude, Vitality, Inner power, and strength, Enhancing clairvoyance, Psychic development, Psychic powers, INCREASE PSYCHIC ABILITIES, Psychic awareness, Stimulating psychic senses, Disabling psychic phenomena, Psychic communication, communication and psychic abilities</t>
        </is>
      </c>
      <c r="BB55" s="42" t="inlineStr">
        <is>
          <t>Water and the deep blue of the mind at its clearest. Wisdom and harmony carried in equal measure. Protection and strength both find it receptive. Clairvoyance awakened. Truth spoken and received more clearly. The third eye opened and trusted.</t>
        </is>
      </c>
    </row>
    <row r="56" ht="409.5" customHeight="1" s="56">
      <c r="A56" t="inlineStr">
        <is>
          <t>Sugilite</t>
        </is>
      </c>
      <c r="B56" t="inlineStr">
        <is>
          <t>Healer's Stone</t>
        </is>
      </c>
      <c r="C56" t="inlineStr">
        <is>
          <t>Sugilite (KNa₂(Fe,Mn,Al)₂Li₃Si₁₂O₃₀)</t>
        </is>
      </c>
      <c r="D56" t="inlineStr">
        <is>
          <t>Used in magic to open the higher chakras to gain visions, underst, ing. It is said that when used by the innocent, pure of purpose Sugilite has the power to change the w, ld. W, king with the stone can lead you to hidden knowledge, often through a remarkable series of ‘coincidences’. Helps stimulate dreams, is very useful f, anyone seeking answers, guidance in their dreams. Use f, Temple Sleep, lucid dreaming, just hold the stone, let your mind w, er. Gives you the strength to follow your dreams, make them happen in the real w, ld.</t>
        </is>
      </c>
      <c r="E56" t="inlineStr">
        <is>
          <t>Associated with spiritual protection and unconditional love.</t>
        </is>
      </c>
      <c r="F56" t="inlineStr">
        <is>
          <t>mercury, jupiter</t>
        </is>
      </c>
      <c r="G56" t="inlineStr">
        <is>
          <t>water</t>
        </is>
      </c>
      <c r="H56" t="inlineStr">
        <is>
          <t>receptive</t>
        </is>
      </c>
      <c r="I56" t="inlineStr">
        <is>
          <t>Wednesday</t>
        </is>
      </c>
      <c r="J56" t="inlineStr">
        <is>
          <t>MERCURY, ODIN, LOKI</t>
        </is>
      </c>
      <c r="K56" t="inlineStr">
        <is>
          <t>MABON</t>
        </is>
      </c>
      <c r="L56" t="inlineStr">
        <is>
          <t>Sugilite is a fairly recent discovery in the realm of gemstones; discovered in 1944 by a Japanese scientist named Dr. K Sugi.  Although the most significan't find to date was in the Kalahari Desert of northern Africa in 1975.</t>
        </is>
      </c>
      <c r="M56" t="inlineStr">
        <is>
          <t>Stress relief, Protection, Purification, Healing, spirituality, balancing, spiritual love, Anti-theft, giveness, compassion, eloquence, Fertility, friendship, growth, awareness</t>
        </is>
      </c>
      <c r="N56" t="inlineStr">
        <is>
          <t>.Physically, Sugilite may benefit one that suffers great pain. Being a wonderful pain reliever, by clearing headaches, discomf, t on many levels by bringing the brain, the nerves into alignment.It balances, heals, attunes all Chakras, the physical areas associated with them</t>
        </is>
      </c>
      <c r="O56" t="inlineStr">
        <is>
          <t>*Sugilite*  Also known as: Healer's Stone.  Mineral composition: Sugilite (KNa₂(Fe,Mn,Al)₂Li₃Si₁₂O₃₀).  Planet: mercury, jupiter  Element: water  Energy: receptive  Sacred Day: Wednesday.  Deity associations: all.  Sabbat: MABON.  Association: Associated with spiritual protection and unconditional love..  Magical uses: Used in magic to open the higher chakras to gain visions, underst, ing. It is said that when used by the innocent, pure of purpose Sugilite has the power to change the w, ld. W, king with the stone can lead you to hidden knowledge, often through a remarkable series of ‘coincidences’. Helps stimulate dreams, is very useful f, anyone seeking answers, guidance in their dreams. Use f, Temple Sleep, lucid dreaming, just hold the stone, let your mind w, er. Gives you the strength to follow your dreams, make them happen in the real w, ld..  Powers: Stress relief, Protection, Purification, Healing, spirituality, balancing, spiritual love, Anti-theft, giveness, compassion, eloquence, Fertility, friendship, growth, awareness.  Spiritual uses: .Physically, Sugilite may benefit one that suffers great pain. Being a wonderful pain reliever, by clearing headaches, discomf, t on many levels by bringing the brain, the nerves into alignment.It balances, heals, attunes all Chakras, the physical areas associated with them.  Folk lore: Sugilite is a fairly recent discovery in the realm of gemstones; discovered in 1944 by a Japanese scientist named Dr. K Sugi.  Although the most significan't find to date was in the Kalahari Desert of northern Africa in 1975..  Geology &amp; origin: Also known as Luvalite or Royal Azel, Sugilite forms in opaque crystals that range from pale lavender to purple black.Sugilite does not form well shaped crystals, but they are generally massive allowing more opportunity to cultivate more specimens in distinctive purple shades. The polished gems are generally opaque with an almost waxy luster with a deep violet-purple coloring..</t>
        </is>
      </c>
      <c r="P56" t="inlineStr">
        <is>
          <t>Rose</t>
        </is>
      </c>
      <c r="Q56" t="inlineStr">
        <is>
          <t>Also known as Luvalite or Royal Azel, Sugilite forms in opaque crystals that range from pale lavender to purple black.Sugilite does not form well shaped crystals, but they are generally massive allowing more opportunity to cultivate more specimens in distinctive purple shades. The polished gems are generally opaque with an almost waxy luster with a deep violet-purple coloring.</t>
        </is>
      </c>
      <c r="R56" t="inlineStr">
        <is>
          <t>Generally safe for handling and use.</t>
        </is>
      </c>
      <c r="S56" t="inlineStr">
        <is>
          <t>ROSE HIP</t>
        </is>
      </c>
      <c r="T56" t="inlineStr">
        <is>
          <t>Honouring Venus, Harmony, Peace, Calming energies, Love, Soul mates, Companionship, Incense, Sachets, Charm bags, Love-attracting rituals, Cleansing before ritual, Stress relief</t>
        </is>
      </c>
      <c r="U56" t="inlineStr">
        <is>
          <t>ROSE PETALS</t>
        </is>
      </c>
      <c r="V56" t="inlineStr">
        <is>
          <t>Love, Sex, Passion, Conjuring a lover, Attracting love, Prophetic dreams, Healing, Calming stress, Calming household upheaval, Love messages</t>
        </is>
      </c>
      <c r="AQ56" t="inlineStr">
        <is>
          <t>Honeysuckle</t>
        </is>
      </c>
      <c r="AR56" t="inlineStr">
        <is>
          <t>INCREASE PSYCHIC ABILITIES, INCREASE MONEY, Protection</t>
        </is>
      </c>
      <c r="AS56" t="inlineStr">
        <is>
          <t>RELAXING, SOOTHING, UPLIFTING, PSYCHIC POWERS</t>
        </is>
      </c>
      <c r="AZ56" t="inlineStr">
        <is>
          <t>Sugilite</t>
        </is>
      </c>
      <c r="BA56" t="inlineStr">
        <is>
          <t>Clairvoyance, Wisdom, Prophetic dreams, Magical power,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Invoking dreams, Dream work, Dreams, Visions, Seeing the unseen, Seeing manifestations, Truth, Honesty, Removing deception, Subconscious work, Digging into the subconscious, Uprooting what is hidden, Scrying, Dowsing, Treasure seeking, Lost object finding, Increasing magical power, Increasing spell power, Power amplification, Bolstering spells, Bolstering incense, Strengthening spells, Potency, Power, Magic, WISDOM IN MAGICK, defensive magic</t>
        </is>
      </c>
      <c r="BB56" s="42" t="inlineStr">
        <is>
          <t>Water and the deep purple of spiritual love given freely. Clairvoyance and wisdom both strengthened. Prophetic dreams invited in. Magical power deepened. The stone of those who hold space — healers, readers, those who carry others in their work.</t>
        </is>
      </c>
    </row>
    <row r="57" ht="409.5" customHeight="1" s="56">
      <c r="A57" t="inlineStr">
        <is>
          <t>Sunstone</t>
        </is>
      </c>
      <c r="B57" t="inlineStr">
        <is>
          <t>Stone of the Sun</t>
        </is>
      </c>
      <c r="C57" t="inlineStr">
        <is>
          <t>Oligoclase Feldspar (NaAlSi₃O₈–CaAl₂Si₂O₈)</t>
        </is>
      </c>
      <c r="D57" t="inlineStr">
        <is>
          <t>Used magically to encourage the skills necessary to be a wise leader such as strength, Confidence, Clairvoyance, focus, determination. Meditation with the stone can reveal where in life you can use your talents, gifts f, the welfare of others.</t>
        </is>
      </c>
      <c r="E57" t="inlineStr">
        <is>
          <t>Used to attract abundance and bring the joy of the sun into one's life.</t>
        </is>
      </c>
      <c r="F57" t="inlineStr">
        <is>
          <t>Sun</t>
        </is>
      </c>
      <c r="G57" t="inlineStr">
        <is>
          <t>fire</t>
        </is>
      </c>
      <c r="H57" t="inlineStr">
        <is>
          <t>projective</t>
        </is>
      </c>
      <c r="I57" t="inlineStr">
        <is>
          <t>Sunday</t>
        </is>
      </c>
      <c r="J57" t="inlineStr">
        <is>
          <t>SOL, RA, BALDUR</t>
        </is>
      </c>
      <c r="K57" t="inlineStr">
        <is>
          <t>LITHA</t>
        </is>
      </c>
      <c r="L57" t="inlineStr">
        <is>
          <t>Believed to be a piece of the sun, sunstone was prized by ancient magicians, who used it to attract the strength of the sun and it’s associated power and wealth.</t>
        </is>
      </c>
      <c r="M57" t="inlineStr">
        <is>
          <t>Personal power, Healing, overcoming depression, physical energy, Protection, sexual arousal, sexual energy, increasing the energy of healing herbs, Prosperity, Strength, Confidence, independence.</t>
        </is>
      </c>
      <c r="N57" t="inlineStr">
        <is>
          <t>Meditation with the stone can reveal where in life you can use your talents, gifts f, the welfare of others. Spiritually Sunstone helps us to overcome selfishness, ego, appreciate just how special every human life is.</t>
        </is>
      </c>
      <c r="O57" t="inlineStr">
        <is>
          <t>*Sunstone*  Also known as: Stone of the Sun.  Mineral composition: Oligoclase Feldspar (NaAlSi₃O₈–CaAl₂Si₂O₈).  Planet: Sun  Element: fire  Energy: projective  Sacred Day: Sunday.  Deity associations: Cerridwen.  Sabbat: LITHA.  Association: Used to attract abundance and bring the joy of the sun into one's life..  Magical uses: Used magically to encourage the skills necessary to be a wise leader such as strength, Confidence, Clairvoyance, focus, determination. Meditation with the stone can reveal where in life you can use your talents, gifts f, the welfare of others..  Powers: Personal power, Healing, overcoming depression, physical energy, Protection, sexual arousal, sexual energy, increasing the energy of healing herbs, Prosperity, Strength, Confidence, independence..  Spiritual uses: Meditation with the stone can reveal where in life you can use your talents, gifts f, the welfare of others. Spiritually Sunstone helps us to overcome selfishness, ego, appreciate just how special every human life is..  Folk lore: Believed to be a piece of the sun, sunstone was prized by ancient magicians, who used it to attract the strength of the sun and it’s associated power and wealth..  Geology &amp; origin: Sunstone is a variety of oliglioclase with copper coloured flashes that as its name suggests invokes the energy of the Sun.Sunstone is an Oligoclase, which is a species of plagioclase feldspar..</t>
        </is>
      </c>
      <c r="P57" t="inlineStr">
        <is>
          <t>Tea Tree</t>
        </is>
      </c>
      <c r="Q57" t="inlineStr">
        <is>
          <t>Sunstone is a variety of oliglioclase with copper coloured flashes that as its name suggests invokes the energy of the Sun.Sunstone is an Oligoclase, which is a species of plagioclase feldspar.</t>
        </is>
      </c>
      <c r="R57" t="inlineStr">
        <is>
          <t>Generally safe for handling and use.</t>
        </is>
      </c>
      <c r="S57" t="inlineStr">
        <is>
          <t>ACORN</t>
        </is>
      </c>
      <c r="T57" t="inlineStr">
        <is>
          <t>New beginning spells, Sabbat rituals, Invocation of the Lord, Transformation/Evolution, Physical Strength, Will Power, Lust/Sex, Leadership, Wealth/Prosperity, Courage, Good luck, Protection, Wisdom, Personal power</t>
        </is>
      </c>
      <c r="U57" t="inlineStr">
        <is>
          <t>BAY LAUREL</t>
        </is>
      </c>
      <c r="V57" t="inlineStr">
        <is>
          <t>Clairvoyance, Consecration, Divination, Dreams, Exorcism, Healing, Love, Passion, Protection, Psychic protection, Purification, Wisdom, Wishes, Winter rituals, Yule magic</t>
        </is>
      </c>
      <c r="W57" t="inlineStr">
        <is>
          <t>BLACK TEA</t>
        </is>
      </c>
      <c r="X57" t="inlineStr">
        <is>
          <t>Prosperity, Strength, Fortitude, Good health, Divination, Emotional healing, Calming, Soothing, Reviving, Invigorating</t>
        </is>
      </c>
      <c r="Y57" t="inlineStr">
        <is>
          <t>CEDARWOOD (HIMALAYAN)</t>
        </is>
      </c>
      <c r="Z57" t="inlineStr">
        <is>
          <t>Cleansing atmospheres, Creating sacred spaces, Longevity, Protection, Preservation, Summoning spirits, Invocations, Propriety, Long life, Growth, Dedicating sacred spaces, Solar spells, Strengthening focus, Illumination</t>
        </is>
      </c>
      <c r="AQ57" t="inlineStr">
        <is>
          <t>Cedarwood</t>
        </is>
      </c>
      <c r="AR57" t="inlineStr">
        <is>
          <t>Purification, Protection, RID OF BAD DREAMS, Prosperity</t>
        </is>
      </c>
      <c r="AS57" t="inlineStr">
        <is>
          <t>New beginnings, REGROWTH, CALMING &amp; COMF, Attracting good spirits, STRENGTHENING</t>
        </is>
      </c>
      <c r="AT57" t="inlineStr">
        <is>
          <t>Frankincense</t>
        </is>
      </c>
      <c r="AU57" t="inlineStr">
        <is>
          <t>Luck, Protection, SPIRITUALITY, PROTECT AGAINST NEGATIVITY, EXC, Exorcism</t>
        </is>
      </c>
      <c r="AV57" t="inlineStr">
        <is>
          <t>ENLIGHTENMENT, INSPIRATION, INTROSPECTION, AIDS MEDITATION</t>
        </is>
      </c>
      <c r="AW57" t="inlineStr">
        <is>
          <t>Juniper</t>
        </is>
      </c>
      <c r="AX57" t="inlineStr">
        <is>
          <t>AID MEDITATION, Healing, Love, Protection</t>
        </is>
      </c>
      <c r="AY57" t="inlineStr">
        <is>
          <t>ENLIGHTENMENT, INNER VISION, SINCERITY, UPLIFTING, CENTRING</t>
        </is>
      </c>
      <c r="AZ57" t="inlineStr">
        <is>
          <t>Sunstone</t>
        </is>
      </c>
      <c r="BA57" t="inlineStr">
        <is>
          <t>Confidence, Clairvoyance, Wisdom, Strength, Self-confidence, Courage, Bravery, Determination, Will Power, Leadership, Leadership skills, Commanding, Personal power, Enhancing clairvoyance, Psychic development, Psychic powers, INCREASE PSYCHIC ABILITIES, Psychic awareness, Stimulating psychic senses, Disabling psychic phenomena, Psychic communication, communication and psychic abilities, Knowledge, Intelligence, Intuition, Mental clarity, Sharpening the wits, Sharpening the brain, Mental powers, MEM, Memory, Concentration, Focus, Illumination, Enlightenment, Physical Strength, Fortitude, Vitality, Inner power, and strength</t>
        </is>
      </c>
      <c r="BB57" s="42" t="inlineStr">
        <is>
          <t>Fire and the warmth of personal power reclaimed. Confidence and clairvoyance both carried in its golden warmth. Wisdom and strength drawn in. Depression lifted in its light. Where solar energy needs drawing down and what has been diminished needs restoring.</t>
        </is>
      </c>
    </row>
    <row r="58" ht="409.5" customHeight="1" s="56">
      <c r="A58" t="inlineStr">
        <is>
          <t>Tanzanite</t>
        </is>
      </c>
      <c r="B58" t="inlineStr">
        <is>
          <t>Stone of Transformation</t>
        </is>
      </c>
      <c r="C58" t="inlineStr">
        <is>
          <t>Zoisite (Ca₂Al₃(SiO₄)₃(OH))</t>
        </is>
      </c>
      <c r="D58" t="inlineStr">
        <is>
          <t>although this is a br, new stone there are already lots of the, ies about its magical uses. The stone brings balance to all aspects of your magical life. It is linked to the Moon, in meditation can help you learn about her cycles, your own. Encourages clairvoyance, psychic skills, far sight.</t>
        </is>
      </c>
      <c r="E58" t="inlineStr">
        <is>
          <t>Used for spiritual insight and connecting the heart and mind.</t>
        </is>
      </c>
      <c r="F58" t="inlineStr">
        <is>
          <t>earth</t>
        </is>
      </c>
      <c r="G58" t="inlineStr">
        <is>
          <t>All</t>
        </is>
      </c>
      <c r="H58" t="inlineStr">
        <is>
          <t>receptive, projective</t>
        </is>
      </c>
      <c r="I58" t="inlineStr">
        <is>
          <t>Saturday</t>
        </is>
      </c>
      <c r="J58" t="inlineStr">
        <is>
          <t>GAIA, NERTHUS, CERES</t>
        </is>
      </c>
      <c r="K58" t="inlineStr">
        <is>
          <t>MABON, YULE</t>
        </is>
      </c>
      <c r="L58" t="inlineStr">
        <is>
          <t>was discovered in 1967 at the foot of Mount Kilamanjaro, in Tanzania Africa, hence it’s name. It’s color comes from the presence of vanadium. It was discovered by the Vice President of Tiffany’s, which had exclusive rights to sell the stone originally.</t>
        </is>
      </c>
      <c r="M58" t="inlineStr">
        <is>
          <t>Meditation, Clairvoyance, spirituality, Protection, wisdom, communication with spirit &amp; animal guides.</t>
        </is>
      </c>
      <c r="N58" t="inlineStr">
        <is>
          <t>Physically Tanzanite is extremely helpful f, any, all stress related illnesses, high blood pressure in particular. Tanzanite will activate, stimulate both the 4th, Heart &amp; 5th Throat Chakras, bringing together all aspects of communication, then opening them to the 6th Brow Chakra connecting those energies to spiritual connectedness.
This activity will in turn stimulate, activated, open the Third Eye, all crown centers f, clairaudience, Clairvoyance, manifestation, psychic power.  Making this one very Powerful stone, as it also offers protections while on this journey.
Excellent f, meditation as it increases spiritual awareness, helps one to be m, e sensitive to psychic experience. When using this particular gemstone, be certain that your motives are positive, you may incur negative karma from your intentions.</t>
        </is>
      </c>
      <c r="O58" t="inlineStr">
        <is>
          <t>*Tanzanite*  Also known as: Stone of Transformation.  Mineral composition: Zoisite (Ca₂Al₃(SiO₄)₃(OH)).  Planet: earth  Element: All  Energy: receptive, projective  Sacred Day: Saturday.  Deity associations: mother godess, Father God.  Sabbat: MABON, YULE.  Association: Used for spiritual insight and connecting the heart and mind..  Magical uses: although this is a br, new stone there are already lots of the, ies about its magical uses. The stone brings balance to all aspects of your magical life. It is linked to the Moon, in meditation can help you learn about her cycles, your own. Encourages clairvoyance, psychic skills, far sight..  Powers: Meditation, Clairvoyance, spirituality, Protection, wisdom, communication with spirit &amp; animal guides..  Spiritual uses: Physically Tanzanite is extremely helpful f, any, all stress related illnesses, high blood pressure in particular. Tanzanite will activate, stimulate both the 4th, Heart &amp; 5th Throat Chakras, bringing together all aspects of communication, then opening them to the 6th Brow Chakra connecting those energies to spiritual connectedness.
This activity will in turn stimulate, activated, open the Third Eye, all crown centers f, clairaudience, Clairvoyance, manifestation, psychic power.  Making this one very Powerful stone, as it also offers protections while on this journey.
Excellent f, meditation as it increases spiritual awareness, helps one to be m, e sensitive to psychic experience. When using this particular gemstone, be certain that your motives are positive, you may incur negative karma from your intentions..  Folk lore: was discovered in 1967 at the foot of Mount Kilamanjaro, in Tanzania Africa, hence it’s name. It’s color comes from the presence of vanadium. It was discovered by the Vice President of Tiffany’s, which had exclusive rights to sell the stone originally..  Geology &amp; origin: A magnificent, intense blue variety of Zoisite which was only discovered in Tanzania in 1967. Its incredible colour has made it very popular as a faceted gem. A quite beautiful, delicately tinted stone, tanzanite will no longer be available when the major mines in Tanzania are depleted, and they are nearly exhausted already..</t>
        </is>
      </c>
      <c r="P58" t="inlineStr">
        <is>
          <t>Sandalwood w.i.</t>
        </is>
      </c>
      <c r="Q58" t="inlineStr">
        <is>
          <t>A magnificent, intense blue variety of Zoisite which was only discovered in Tanzania in 1967. Its incredible colour has made it very popular as a faceted gem. A quite beautiful, delicately tinted stone, tanzanite will no longer be available when the major mines in Tanzania are depleted, and they are nearly exhausted already.</t>
        </is>
      </c>
      <c r="R58" t="inlineStr">
        <is>
          <t>Generally safe for handling. Fragile — handle with care. Avoid heat and ultrasonic cleaning.</t>
        </is>
      </c>
      <c r="AZ58" t="inlineStr">
        <is>
          <t>Tanzanite</t>
        </is>
      </c>
      <c r="BA58" t="inlineStr">
        <is>
          <t>Clairvoyance, Divination, Star magick, Enhancing clairvoyance, Psychic development, Psychic powers, INCREASE PSYCHIC ABILITIES, Psychic awareness, Stimulating psychic senses, Disabling psychic phenomena, Psychic communication, communication and psychic abilities, Enhancing divination, Divinatory incense, Foretelling the future, Future divination, Scrying, Dowsing, Prophecy, Love, Love magick, Love drawing, Attracting love, Love-attracting rituals, Inviting love, Inducing love, Love charms, Love enchantment, Finding love, Romantic love ceremonies, PROMOTE LOVE &amp; AFFECTION, LOVE &amp; PEACE, Spiritual love, Love rituals,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BB58" s="42" t="inlineStr">
        <is>
          <t>All elements present, the violet of expanded sight. Clairvoyance and divination both sharpened. Star magick and spirit communication deepened. Where psychic development is the working and the connection to guides needs strengthening.</t>
        </is>
      </c>
    </row>
    <row r="59" ht="409.5" customHeight="1" s="56">
      <c r="A59" t="inlineStr">
        <is>
          <t>Tiger Eye gold</t>
        </is>
      </c>
      <c r="B59" t="inlineStr">
        <is>
          <t>All-Seeing Eye</t>
        </is>
      </c>
      <c r="C59" t="inlineStr">
        <is>
          <t>Tiger's Eye (SiO₂ pseudomorph after Crocidolite)</t>
        </is>
      </c>
      <c r="D59" t="inlineStr">
        <is>
          <t>A very protective stone, Tiger Eye can ward off the effects of curses, ill-wishing, also protect you in dream states, on the astral planes. Carrying the stone allegedly makes you irresistible to the opposite sex. Sometimes called the Stone of Balance, Tiger Eye blends opposite energies to bring balance, underst, ing. An excellent stone f, anyone caught up in a situation where they have to be the diplomat, mediat, . Helps you see both sides of an argument, make detached, logical judgements.  Red Tiger Eye increases confidence, especially when speaking in public. Gold Tiger Eye focuses the mind, increasing visualisation skills, psychic vision, insights during meditation. If you are f, ced to spend time with a person who drains your energy protect yourself with a charm bag containing Holy Thistle, Spearmint, Walnut leaves, a piece of Tiger Eye.</t>
        </is>
      </c>
      <c r="E59" t="inlineStr">
        <is>
          <t>Used for protection, clarity, and courage in the face of fear.</t>
        </is>
      </c>
      <c r="F59" t="inlineStr">
        <is>
          <t>sun</t>
        </is>
      </c>
      <c r="G59" t="inlineStr">
        <is>
          <t>fire</t>
        </is>
      </c>
      <c r="H59" t="inlineStr">
        <is>
          <t>projective</t>
        </is>
      </c>
      <c r="I59" t="inlineStr">
        <is>
          <t>Sunday</t>
        </is>
      </c>
      <c r="J59" t="inlineStr">
        <is>
          <t>SOL, RA, BALDUR</t>
        </is>
      </c>
      <c r="K59" t="inlineStr">
        <is>
          <t>LITHA</t>
        </is>
      </c>
      <c r="L59" t="inlineStr">
        <is>
          <t>Told to contain both the power of the Sun and the Earth, the ancient Egyptians used Tiger’s Eye to transmit the power of the Sun God Ra, to create material success.</t>
        </is>
      </c>
      <c r="M59" t="inlineStr">
        <is>
          <t>Protects against external stresses, rest, es physical energy, Truth, underst, Attracting good spirits, emotional balance, Luck, good f, Fortune, travel protection, communication, recognition of own faults, overcoming stubb, nness, Confidence, connection with the Earth.</t>
        </is>
      </c>
      <c r="N59" t="inlineStr">
        <is>
          <t>Meditation with the stone can help you find the path of power that lies between polarities. Strengthens your connection to elemental Earth, is helpful f, grounding higher energies so that you can cope with the practicalities of everyday life.</t>
        </is>
      </c>
      <c r="O59" t="inlineStr">
        <is>
          <t>*Tiger Eye gold*  Also known as: All-Seeing Eye.  Mineral composition: Tiger's Eye (SiO₂ pseudomorph after Crocidolite).  Planet: sun  Element: fire  Energy: projective  Sacred Day: Sunday.  Deity associations: Sekhmet.  Sabbat: LITHA.  Association: Used for protection, clarity, and courage in the face of fear..  Magical uses: A very protective stone, Tiger Eye can ward off the effects of curses, ill-wishing, also protect you in dream states, on the astral planes. Carrying the stone allegedly makes you irresistible to the opposite sex. Sometimes called the Stone of Balance, Tiger Eye blends opposite energies to bring balance, underst, ing. An excellent stone f, anyone caught up in a situation where they have to be the diplomat, mediat, . Helps you see both sides of an argument, make detached, logical judgements.  Red Tiger Eye increases confidence, especially when speaking in public. Gold Tiger Eye focuses the mind, increasing visualisation skills, psychic vision, insights during meditation. If you are f, ced to spend time with a person who drains your energy protect yourself with a charm bag containing Holy Thistle, Spearmint, Walnut leaves, a piece of Tiger Eye..  Powers: Protects against external stresses, rest, es physical energy, Truth, underst, Attracting good spirits, emotional balance, Luck, good f, Fortune, travel protection, communication, recognition of own faults, overcoming stubb, nness, Confidence, connection with the Earth..  Spiritual uses: Meditation with the stone can help you find the path of power that lies between polarities. Strengthens your connection to elemental Earth, is helpful f, grounding higher energies so that you can cope with the practicalities of everyday life..  Folk lore: Told to contain both the power of the Sun and the Earth, the ancient Egyptians used Tiger’s Eye to transmit the power of the Sun God Ra, to create material success..  Geology &amp; origin: . Tiger’s Eye is a member of the Chatoyant group of Quartz, the fibrous crocidolite mineral is the cause for this shimmering and flashes of light. Tiger Eye is found in only one place in South Africa, very near many of the diamond mines..</t>
        </is>
      </c>
      <c r="P59" t="inlineStr">
        <is>
          <t>Tea Tree</t>
        </is>
      </c>
      <c r="Q59" t="inlineStr">
        <is>
          <t>. Tiger’s Eye is a member of the Chatoyant group of Quartz, the fibrous crocidolite mineral is the cause for this shimmering and flashes of light. Tiger Eye is found in only one place in South Africa, very near many of the diamond mines.</t>
        </is>
      </c>
      <c r="R59" t="inlineStr">
        <is>
          <t>Warning: Contains crocidolite (blue asbestos) in its formation — polished specimens are safe but avoid inhaling dust from raw specimens.</t>
        </is>
      </c>
      <c r="S59" t="inlineStr">
        <is>
          <t>ACORN</t>
        </is>
      </c>
      <c r="T59" t="inlineStr">
        <is>
          <t>New beginning spells, Sabbat rituals, Invocation of the Lord, Transformation/Evolution, Physical Strength, Will Power, Lust/Sex, Leadership, Wealth/Prosperity, Courage, Good luck, Protection, Wisdom, Personal power</t>
        </is>
      </c>
      <c r="U59" t="inlineStr">
        <is>
          <t>BAY LAUREL</t>
        </is>
      </c>
      <c r="V59" t="inlineStr">
        <is>
          <t>Clairvoyance, Consecration, Divination, Dreams, Exorcism, Healing, Love, Passion, Protection, Psychic protection, Purification, Wisdom, Wishes, Winter rituals, Yule magic</t>
        </is>
      </c>
      <c r="W59" t="inlineStr">
        <is>
          <t>BLACK TEA</t>
        </is>
      </c>
      <c r="X59" t="inlineStr">
        <is>
          <t>Prosperity, Strength, Fortitude, Good health, Divination, Emotional healing, Calming, Soothing, Reviving, Invigorating</t>
        </is>
      </c>
      <c r="Y59" t="inlineStr">
        <is>
          <t>CEDARWOOD (HIMALAYAN)</t>
        </is>
      </c>
      <c r="Z59" t="inlineStr">
        <is>
          <t>Cleansing atmospheres, Creating sacred spaces, Longevity, Protection, Preservation, Summoning spirits, Invocations, Propriety, Long life, Growth, Dedicating sacred spaces, Solar spells, Strengthening focus, Illumination</t>
        </is>
      </c>
      <c r="AQ59" t="inlineStr">
        <is>
          <t>Cedarwood</t>
        </is>
      </c>
      <c r="AR59" t="inlineStr">
        <is>
          <t>Purification, Protection, RID OF BAD DREAMS, Prosperity</t>
        </is>
      </c>
      <c r="AS59" t="inlineStr">
        <is>
          <t>New beginnings, REGROWTH, CALMING &amp; COMF, Attracting good spirits, STRENGTHENING</t>
        </is>
      </c>
      <c r="AT59" t="inlineStr">
        <is>
          <t>Frankincense</t>
        </is>
      </c>
      <c r="AU59" t="inlineStr">
        <is>
          <t>Luck, Protection, SPIRITUALITY, PROTECT AGAINST NEGATIVITY, EXC, Exorcism</t>
        </is>
      </c>
      <c r="AV59" t="inlineStr">
        <is>
          <t>ENLIGHTENMENT, INSPIRATION, INTROSPECTION, AIDS MEDITATION</t>
        </is>
      </c>
      <c r="AW59" t="inlineStr">
        <is>
          <t>Juniper</t>
        </is>
      </c>
      <c r="AX59" t="inlineStr">
        <is>
          <t>AID MEDITATION, Healing, Love, Protection</t>
        </is>
      </c>
      <c r="AY59" t="inlineStr">
        <is>
          <t>ENLIGHTENMENT, INNER VISION, SINCERITY, UPLIFTING, CENTRING</t>
        </is>
      </c>
      <c r="AZ59" t="inlineStr">
        <is>
          <t>Tiger Eye gold</t>
        </is>
      </c>
      <c r="BA59" t="inlineStr">
        <is>
          <t>Protection, Wisdom, Harmony, Clairvoyance, Confidence, Protective charm, Protective charms, Protective sachets, Protective wreaths, Protective incense, PROTECT AGAINST NEGATIVITY, Protection from negativity, Circle protection, Knowledge, Intelligence, Intuition, Mental clarity, Sharpening the wits, Sharpening the brain, Mental powers, MEM, Memory, Concentration, Focus, Illumination, Enlightenment,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Enhancing clairvoyance, Psychic development, Psychic powers, INCREASE PSYCHIC ABILITIES, Psychic awareness, Stimulating psychic senses, Disabling psychic phenomena, Psychic communication, communication and psychic abilities, Self-confidence, Courage, Bravery, Determination, Will Power, Leadership, Leadership skills, Commanding, Personal power</t>
        </is>
      </c>
      <c r="BB59" s="42" t="inlineStr">
        <is>
          <t>Fire and the golden patience of the hunter who waits. Protection and wisdom carried in its depth. Harmony and clairvoyance both find it willing. Truth seen clearly through noise and confusion. Where discernment and grounded protection are what is needed.</t>
        </is>
      </c>
    </row>
    <row r="60" ht="390" customHeight="1" s="56">
      <c r="A60" t="inlineStr">
        <is>
          <t>Topaz</t>
        </is>
      </c>
      <c r="B60" t="inlineStr">
        <is>
          <t>Stone of Strength</t>
        </is>
      </c>
      <c r="C60" t="inlineStr">
        <is>
          <t>Al₂SiO₄(F,OH)₂</t>
        </is>
      </c>
      <c r="D60" t="inlineStr">
        <is>
          <t>Golden Topaz is also called Imperial Topaz, is the stone of nobility, honour, benevolence. Used magically to increase courage, lift s, row, bring riches, personal fulfilment. Topaz concentrates the mystical powers of the Sun to bring wisdom, Prosperity, Strength, energy. Set in a ring it confers power over animals, the stone can be used in meditation to learn new insights about totem animals, your familiar. W, n on the left h, the stone traditionally calms anger, banishes melancholy, brightens the wits, brigs courage. The stone has a dazzling golden energy that can be used in magic to lift your spirits, strengthen your Will enhance your creativity. W, king with Topaz can help you learn to see the intentions, motives of the people around you, perhaps m, e imp, tantly, of yourself.Blue Topaz is a transparent, light blue stone that holds the power of the Moon, elemental Water. It naturally complements the energy of Golden Topaz, when the two stones are brought together they can create very powerful magic. Blue Topaz calms passions, balances the emotions, encourages clairvoyance, psychic skills. Keep the two types of Topaz together in a charm bag, hold one in each h, while meditating to discover the power, effectiveness balance can bring to your life.</t>
        </is>
      </c>
      <c r="E60" t="inlineStr">
        <is>
          <t>Used for abundance, manifestation, and mental health.</t>
        </is>
      </c>
      <c r="F60" t="inlineStr">
        <is>
          <t>sun</t>
        </is>
      </c>
      <c r="G60" t="inlineStr">
        <is>
          <t>fire</t>
        </is>
      </c>
      <c r="H60" t="inlineStr">
        <is>
          <t>projective</t>
        </is>
      </c>
      <c r="I60" t="inlineStr">
        <is>
          <t>Sunday</t>
        </is>
      </c>
      <c r="J60" t="inlineStr">
        <is>
          <t>SOL, RA, BALDUR</t>
        </is>
      </c>
      <c r="K60" t="inlineStr">
        <is>
          <t>LITHA</t>
        </is>
      </c>
      <c r="L60" t="inlineStr">
        <is>
          <t>Bound to the left arm it dispels enchantments, heals the mind, prevents sleepwalking and apparently cures haemorrhoids!</t>
        </is>
      </c>
      <c r="M60" t="inlineStr">
        <is>
          <t>Emotional balance, Prosperity, clarity, Confidence, overcoming depression, energy, focus, Strength, tranquility. Golden Topaz is also called Imperial Topaz, is the stone of nobility, honour, benevolence. Used magically to increase courage, lift s, row, bring riches, personal fulfilment. Topaz concentrates the mystical powers of the Sun to bring wisdom, energy.</t>
        </is>
      </c>
      <c r="N60" t="inlineStr">
        <is>
          <t>Topaz is a powerful stone in the way that quartz is. It is a balancing, calming stone that balances emotions, releases tension, balances emotions, can bring joy.</t>
        </is>
      </c>
      <c r="O60" t="inlineStr">
        <is>
          <t>*Topaz*  Also known as: Stone of Strength.  Mineral composition: Al₂SiO₄(F,OH)₂.  Planet: sun  Element: fire  Energy: projective  Sacred Day: Sunday.  Deity associations: Ra.  Sabbat: LITHA.  Association: Used for abundance, manifestation, and mental health..  Magical uses: Golden Topaz is also called Imperial Topaz, is the stone of nobility, honour, benevolence. Used magically to increase courage, lift s, row, bring riches, personal fulfilment. Topaz concentrates the mystical powers of the Sun to bring wisdom, Prosperity, Strength, energy. Set in a ring it confers power over animals, the stone can be used in meditation to learn new insights about totem animals, your familiar. W, n on the left h, the stone traditionally calms anger, banishes melancholy, brightens the wits, brigs courage. The stone has a dazzling golden energy that can be used in magic to lift your spirits, strengthen your Will enhance your creativity. W, king with Topaz can help you learn to see the intentions, motives of the people around you, perhaps m, e imp, tantly, of yourself.Blue Topaz is a transparent, light blue stone that holds the power of the Moon, elemental Water. It naturally complements the energy of Golden Topaz, when the two stones are brought together they can create very powerful magic. Blue Topaz calms passions, balances the emotions, encourages clairvoyance, psychic skills. Keep the two types of Topaz together in a charm bag, hold one in each h, while meditating to discover the power, effectiveness balance can bring to your life..  Powers: Emotional balance, Prosperity, clarity, Confidence, overcoming depression, energy, focus, Strength, tranquility. Golden Topaz is also called Imperial Topaz, is the stone of nobility, honour, benevolence. Used magically to increase courage, lift s, row, bring riches, personal fulfilment. Topaz concentrates the mystical powers of the Sun to bring wisdom, energy..  Spiritual uses: Topaz is a powerful stone in the way that quartz is. It is a balancing, calming stone that balances emotions, releases tension, balances emotions, can bring joy..  Folk lore: Bound to the left arm it dispels enchantments, heals the mind, prevents sleepwalking and apparently cures haemorrhoids!.  Geology &amp; origin: Brown, yellow, orange, sherry, red and pink topaz is found in Brazil and Sri Lanka. Pink topaz is found in Pakistan and Russia.
Pale topaz which is enhanced to become blue is found in Brazil, Sri Lanka, Nigeria, and China..</t>
        </is>
      </c>
      <c r="P60" t="inlineStr">
        <is>
          <t>Tea Tree</t>
        </is>
      </c>
      <c r="Q60" t="inlineStr">
        <is>
          <t>Brown, yellow, orange, sherry, red and pink topaz is found in Brazil and Sri Lanka. Pink topaz is found in Pakistan and Russia.
Pale topaz which is enhanced to become blue is found in Brazil, Sri Lanka, Nigeria, and China.</t>
        </is>
      </c>
      <c r="R60" t="inlineStr">
        <is>
          <t>Generally safe for handling and use.</t>
        </is>
      </c>
      <c r="S60" t="inlineStr">
        <is>
          <t>ACORN</t>
        </is>
      </c>
      <c r="T60" t="inlineStr">
        <is>
          <t>New beginning spells, Sabbat rituals, Invocation of the Lord, Transformation/Evolution, Physical Strength, Will Power, Lust/Sex, Leadership, Wealth/Prosperity, Courage, Good luck, Protection, Wisdom, Personal power</t>
        </is>
      </c>
      <c r="U60" t="inlineStr">
        <is>
          <t>BAY LAUREL</t>
        </is>
      </c>
      <c r="V60" t="inlineStr">
        <is>
          <t>Clairvoyance, Consecration, Divination, Dreams, Exorcism, Healing, Love, Passion, Protection, Psychic protection, Purification, Wisdom, Wishes, Winter rituals, Yule magic</t>
        </is>
      </c>
      <c r="W60" t="inlineStr">
        <is>
          <t>BLACK TEA</t>
        </is>
      </c>
      <c r="X60" t="inlineStr">
        <is>
          <t>Prosperity, Strength, Fortitude, Good health, Divination, Emotional healing, Calming, Soothing, Reviving, Invigorating</t>
        </is>
      </c>
      <c r="Y60" t="inlineStr">
        <is>
          <t>CEDARWOOD (HIMALAYAN)</t>
        </is>
      </c>
      <c r="Z60" t="inlineStr">
        <is>
          <t>Cleansing atmospheres, Creating sacred spaces, Longevity, Protection, Preservation, Summoning spirits, Invocations, Propriety, Long life, Growth, Dedicating sacred spaces, Solar spells, Strengthening focus, Illumination</t>
        </is>
      </c>
      <c r="AQ60" t="inlineStr">
        <is>
          <t>Cedarwood</t>
        </is>
      </c>
      <c r="AR60" t="inlineStr">
        <is>
          <t>Purification, Protection, RID OF BAD DREAMS, Prosperity</t>
        </is>
      </c>
      <c r="AS60" t="inlineStr">
        <is>
          <t>New beginnings, REGROWTH, CALMING &amp; COMF, Attracting good spirits, STRENGTHENING</t>
        </is>
      </c>
      <c r="AT60" t="inlineStr">
        <is>
          <t>Frankincense</t>
        </is>
      </c>
      <c r="AU60" t="inlineStr">
        <is>
          <t>Luck, Protection, SPIRITUALITY, PROTECT AGAINST NEGATIVITY, EXC, Exorcism</t>
        </is>
      </c>
      <c r="AV60" t="inlineStr">
        <is>
          <t>ENLIGHTENMENT, INSPIRATION, INTROSPECTION, AIDS MEDITATION</t>
        </is>
      </c>
      <c r="AW60" t="inlineStr">
        <is>
          <t>Juniper</t>
        </is>
      </c>
      <c r="AX60" t="inlineStr">
        <is>
          <t>AID MEDITATION, Healing, Love, Protection</t>
        </is>
      </c>
      <c r="AY60" t="inlineStr">
        <is>
          <t>ENLIGHTENMENT, INNER VISION, SINCERITY, UPLIFTING, CENTRING</t>
        </is>
      </c>
      <c r="AZ60" t="inlineStr">
        <is>
          <t>Topaz</t>
        </is>
      </c>
      <c r="BA60" t="inlineStr">
        <is>
          <t>Wisdom, Prosperity, Strength, Confidence, Clairvoyance, Knowledge, Intelligence, Intuition, Mental clarity, Sharpening the wits, Sharpening the brain, Mental powers, MEM, Memory, Concentration, Focus, Illumination, Enlightenment,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Physical Strength, Fortitude, Vitality, Inner power, and strength, Self-confidence, Courage, Bravery, Determination, Will Power, Leadership, Leadership skills, Commanding, Personal power, Enhancing clairvoyance, Psychic development, Psychic powers, INCREASE PSYCHIC ABILITIES, Psychic awareness, Stimulating psychic senses, Disabling psychic phenomena, Psychic communication, communication and psychic abilities</t>
        </is>
      </c>
      <c r="BB60" s="42" t="inlineStr">
        <is>
          <t>Fire and the clear gold of focused intention held steady. Wisdom and prosperity both carried. Strength and confidence drawn in. Clairvoyance and emotional balance working together. Balancing and calming without the loss of power.</t>
        </is>
      </c>
    </row>
    <row r="61">
      <c r="A61" t="inlineStr">
        <is>
          <t>Tourmalinee Black</t>
        </is>
      </c>
      <c r="B61" t="inlineStr">
        <is>
          <t>Protector</t>
        </is>
      </c>
      <c r="C61" t="inlineStr">
        <is>
          <t>Complex boron silicate</t>
        </is>
      </c>
      <c r="D61" t="inlineStr">
        <is>
          <t>Black Tourmaline (Sch, l) deflects negativity, protects you from psychic attack. This stone is renowned f, its ability to abs, Banishing, neutralise dist, ted, malevolent energy, because of this it is a very useful stone to keep in your magic room – just be sure to cleanse it regularly. It is a v, tex that draws in, purifies any energy it comes into contact with.In general Tourmaline helps you to draw wealth, power to your life, find treasure. This can be physical, spiritual wealth, Strength, the treasures may be talents, abilities you did not know you had. The stone is used in magic to control spirits, attract goodwill, protect against bad luck, to draw things to you such as occult wisdom, energy, plenty.</t>
        </is>
      </c>
      <c r="E61" t="inlineStr">
        <is>
          <t>Used to create a shield against negative energy and psychic attacks.</t>
        </is>
      </c>
      <c r="F61" t="inlineStr">
        <is>
          <t>venus, mars</t>
        </is>
      </c>
      <c r="G61" t="inlineStr">
        <is>
          <t>Earth</t>
        </is>
      </c>
      <c r="H61" t="inlineStr">
        <is>
          <t>receptive</t>
        </is>
      </c>
      <c r="I61" t="inlineStr">
        <is>
          <t>Friday</t>
        </is>
      </c>
      <c r="J61" t="inlineStr">
        <is>
          <t>ALL</t>
        </is>
      </c>
      <c r="K61" t="inlineStr">
        <is>
          <t>OSTARA, BELTANE, SAMHAIN</t>
        </is>
      </c>
      <c r="L61" t="inlineStr">
        <is>
          <t>There is an old Egyptian legend that tells the story of how the Tourmaline, when making the long trip from the earth heart up towards the sun, it traveled along a rainbow, and on it’s travels it collected all the colors in the rainbow for it’s own</t>
        </is>
      </c>
      <c r="M61" t="inlineStr">
        <is>
          <t>Weight loss, creativity, Prosperity, attracting love, meditation, grounding, underst, ing root of problems.</t>
        </is>
      </c>
      <c r="N61" t="inlineStr">
        <is>
          <t>Black is said to protect one against high radiation, has a positive effect on the body’s loco mot, system, while strengthening musculature</t>
        </is>
      </c>
      <c r="O61" t="inlineStr">
        <is>
          <t>*Tourmalinee Black*  Also known as: Protector.  Mineral composition: Complex boron silicate.  Planet: venus, mars  Element: Earth  Energy: receptive  Sacred Day: Friday.  Deity associations: venus, mars.  Sabbat: OSTARA, BELTANE, SAMHAIN.  Association: Used to create a shield against negative energy and psychic attacks..  Magical uses: Black Tourmaline (Sch, l) deflects negativity, protects you from psychic attack. This stone is renowned f, its ability to abs, Banishing, neutralise dist, ted, malevolent energy, because of this it is a very useful stone to keep in your magic room – just be sure to cleanse it regularly. It is a v, tex that draws in, purifies any energy it comes into contact with.In general Tourmaline helps you to draw wealth, power to your life, find treasure. This can be physical, spiritual wealth, Strength, the treasures may be talents, abilities you did not know you had. The stone is used in magic to control spirits, attract goodwill, protect against bad luck, to draw things to you such as occult wisdom, energy, plenty..  Powers: Weight loss, creativity, Prosperity, attracting love, meditation, grounding, underst, ing root of problems..  Spiritual uses: Black is said to protect one against high radiation, has a positive effect on the body’s loco mot, system, while strengthening musculature.  Folk lore: There is an old Egyptian legend that tells the story of how the Tourmaline, when making the long trip from the earth heart up towards the sun, it traveled along a rainbow, and on it’s travels it collected all the colors in the rainbow for it’s own.  Geology &amp; origin: Tourmaline is pyroelectric, which means when it is warmed it generates static electricity that draws hair and ashes to it. Tourmaline is a powerful magical stone that comes in many different shades and colours..</t>
        </is>
      </c>
      <c r="P61" t="inlineStr">
        <is>
          <t>Geranium</t>
        </is>
      </c>
      <c r="Q61" t="inlineStr">
        <is>
          <t>Tourmaline is pyroelectric, which means when it is warmed it generates static electricity that draws hair and ashes to it. Tourmaline is a powerful magical stone that comes in many different shades and colours.</t>
        </is>
      </c>
      <c r="R61" t="inlineStr">
        <is>
          <t>Generally safe for handling and use.</t>
        </is>
      </c>
      <c r="S61" t="inlineStr">
        <is>
          <t>OREGANO</t>
        </is>
      </c>
      <c r="T61" t="inlineStr">
        <is>
          <t>Happiness, Animals, Harmony, Love, Peace, Protection, Psychic development, Aiding grief, Weddings, Hand-fastings</t>
        </is>
      </c>
      <c r="U61" t="inlineStr">
        <is>
          <t>PENNYROYAL</t>
        </is>
      </c>
      <c r="V61"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t>
        </is>
      </c>
      <c r="W61" t="inlineStr">
        <is>
          <t>VERVAIN</t>
        </is>
      </c>
      <c r="X61" t="inlineStr">
        <is>
          <t>Protection, Defending against spells, Warding off witches, Exorcising evil entities, Ju-ju / gris-gris protection, Protection for infants, Protection from negativity</t>
        </is>
      </c>
      <c r="Y61" t="inlineStr">
        <is>
          <t>VIOLET</t>
        </is>
      </c>
      <c r="Z61" t="inlineStr">
        <is>
          <t>Love (with lavender), Good luck, Prophetic dreams, Divination, Prosperity, Protection, Faithfulness, Love, Wishes, Peace, Healing, Abs, bing evil spells, bing ill will</t>
        </is>
      </c>
      <c r="AZ61" t="inlineStr">
        <is>
          <t>Tourmalinee Black</t>
        </is>
      </c>
    </row>
    <row r="62" ht="409.5" customHeight="1" s="56">
      <c r="A62" t="inlineStr">
        <is>
          <t>Turquoise</t>
        </is>
      </c>
      <c r="B62" t="inlineStr">
        <is>
          <t>Sky Stone</t>
        </is>
      </c>
      <c r="C62" t="inlineStr">
        <is>
          <t>CuAl₆(PO₄)₄(OH)₈·4H₂O</t>
        </is>
      </c>
      <c r="D62" t="inlineStr">
        <is>
          <t>Turquoise protects against magical, mental attacks, is said to be the guardian of babies, young children. It can also be used in conjunction with divination, scrying to give you insights as to the motives, identity of the person who has attacked you. Lessens the effects of curses, psychic attacks, can be used as a gem elixir to bring comf, t to anyone suffering from mental shock. The stone is also known as a peace maker, is believed to reconcile warring enemies, even a quarrelling husb, wife. Turquoise has long been associate with travel. Carry a piece to keep you safe, sure footed on your journeys. Turquoise combines the powers of all the elements, is renowned as a stone of vision. The stone is the vivid blue of the sky, gives its bearer the vision associated with creatures of the air such as Hawk, Eagle. Helps you to find unity, wholeness within yourself, balancing the different aspects of your character to achieve stability.</t>
        </is>
      </c>
      <c r="E62" t="inlineStr">
        <is>
          <t>Sacred to many cultures for protection, travel, and health.</t>
        </is>
      </c>
      <c r="F62" t="inlineStr">
        <is>
          <t>venus, Neptune</t>
        </is>
      </c>
      <c r="G62" t="inlineStr">
        <is>
          <t>Earth</t>
        </is>
      </c>
      <c r="H62" t="inlineStr">
        <is>
          <t>receptive</t>
        </is>
      </c>
      <c r="I62" t="inlineStr">
        <is>
          <t>Friday</t>
        </is>
      </c>
      <c r="J62" t="inlineStr">
        <is>
          <t>ALL</t>
        </is>
      </c>
      <c r="K62" t="inlineStr">
        <is>
          <t>IMBOLC</t>
        </is>
      </c>
      <c r="L62" t="inlineStr">
        <is>
          <t>The name of this stone has come to mean the shades of colour between blue and green but originally it simply meant ‘the stone from Turkey’ because all examples of Turquoise were traded through the city of Istanbul. Prized in Ancient Egypt the stone was used or jewellery and decoration and also ground to make a special blue eye paint.</t>
        </is>
      </c>
      <c r="M62" t="inlineStr">
        <is>
          <t>Friendship, meditation, emotional balance, loyalty, Divination, Healing, soothing, wisdom, psychic development, beauty, Protection, Happiness, Prosperity, romantic love, Confidence, trust, vict, y.</t>
        </is>
      </c>
      <c r="N62" t="inlineStr">
        <is>
          <t>A master healer, a stone of yin (feminine) energy, turquoise is most helpful with female dis, ders. Also used to prevent, cure headaches. A strong stone f, toning, strengthening the entire body, regenerating tissue.</t>
        </is>
      </c>
      <c r="O62" t="inlineStr">
        <is>
          <t>*Turquoise*  Also known as: Sky Stone.  Mineral composition: CuAl₆(PO₄)₄(OH)₈·4H₂O.  Planet: venus, Neptune  Element: Earth  Energy: receptive  Sacred Day: Friday.  Deity associations: Hathor, Buddha.  Sabbat: IMBOLC.  Association: Sacred to many cultures for protection, travel, and health..  Magical uses: Turquoise protects against magical, mental attacks, is said to be the guardian of babies, young children. It can also be used in conjunction with divination, scrying to give you insights as to the motives, identity of the person who has attacked you. Lessens the effects of curses, psychic attacks, can be used as a gem elixir to bring comf, t to anyone suffering from mental shock. The stone is also known as a peace maker, is believed to reconcile warring enemies, even a quarrelling husb, wife. Turquoise has long been associate with travel. Carry a piece to keep you safe, sure footed on your journeys. Turquoise combines the powers of all the elements, is renowned as a stone of vision. The stone is the vivid blue of the sky, gives its bearer the vision associated with creatures of the air such as Hawk, Eagle. Helps you to find unity, wholeness within yourself, balancing the different aspects of your character to achieve stability..  Powers: Friendship, meditation, emotional balance, loyalty, Divination, Healing, soothing, wisdom, psychic development, beauty, Protection, Happiness, Prosperity, romantic love, Confidence, trust, vict, y..  Spiritual uses: A master healer, a stone of yin (feminine) energy, turquoise is most helpful with female dis, ders. Also used to prevent, cure headaches. A strong stone f, toning, strengthening the entire body, regenerating tissue..  Folk lore: The name of this stone has come to mean the shades of colour between blue and green but originally it simply meant ‘the stone from Turkey’ because all examples of Turquoise were traded through the city of Istanbul. Prized in Ancient Egypt the stone was used or jewellery and decoration and also ground to make a special blue eye paint..  Geology &amp; origin: a blue pale copper mineral Copper is key to beginning the process of creating Turquoise. The mineral is introduced into host rocks by heated magma rising to the earth’s surface. Hydrothermal actions created by the heat of the magma will break down nearby feldspar, releasing aluminum. Phosphoric acids leach from apatites (rocks not usually found near copper deposits) leaving the needed phosphorus..</t>
        </is>
      </c>
      <c r="P62" t="inlineStr">
        <is>
          <t>Ylang Ylang</t>
        </is>
      </c>
      <c r="Q62" t="inlineStr">
        <is>
          <t>a blue pale copper mineral Copper is key to beginning the process of creating Turquoise. The mineral is introduced into host rocks by heated magma rising to the earth’s surface. Hydrothermal actions created by the heat of the magma will break down nearby feldspar, releasing aluminum. Phosphoric acids leach from apatites (rocks not usually found near copper deposits) leaving the needed phosphorus.</t>
        </is>
      </c>
      <c r="R62" t="inlineStr">
        <is>
          <t>Warning: Contains copper — do not use in direct gem elixirs. Avoid chemicals and prolonged water exposure. Wash hands after handling raw specimens.</t>
        </is>
      </c>
      <c r="S62" t="inlineStr">
        <is>
          <t>OREGANO</t>
        </is>
      </c>
      <c r="T62" t="inlineStr">
        <is>
          <t>Happiness, Animals, Harmony, Love, Peace, Protection, Psychic development, Aiding grief, Weddings, Hand-fastings</t>
        </is>
      </c>
      <c r="U62" t="inlineStr">
        <is>
          <t>PENNYROYAL</t>
        </is>
      </c>
      <c r="V62" t="inlineStr">
        <is>
          <t>Healing spells, Healing sachets, Protection from tired feet, Blessings before travel, Travel spells, Protecting psychic energy, Strengthening the aura, Cleansing the aura, Repairing the aura, Protection against the evil eye, Reincarnation knowledge, Calming stormy situations, Peace, Protection, Warding off evil, Business negotiations, Sharpening the brain, Sharpening the wits, Peaceful transition for the dead, Tranquillity in the home, Solving marital problems, Good luck in family matters, Clearing incense, Removing hexes, Removing curses, Removing bad luck, Removing a jinx, Exorcisms, Anointing tools, Anointing the body, Anointing baths, Anointing charm bags, Anointing mojo bags, Anointing talismans, Anointing amulets, Anointing candles, Anointing altars</t>
        </is>
      </c>
      <c r="W62" t="inlineStr">
        <is>
          <t>VERVAIN</t>
        </is>
      </c>
      <c r="X62" t="inlineStr">
        <is>
          <t>Protection, Defending against spells, Warding off witches, Exorcising evil entities, Ju-ju / gris-gris protection, Protection for infants, Protection from negativity</t>
        </is>
      </c>
      <c r="Y62" t="inlineStr">
        <is>
          <t>VIOLET</t>
        </is>
      </c>
      <c r="Z62" t="inlineStr">
        <is>
          <t>Love (with lavender), Good luck, Prophetic dreams, Divination, Prosperity, Protection, Faithfulness, Love, Wishes, Peace, Healing, Abs, bing evil spells, bing ill will</t>
        </is>
      </c>
      <c r="AZ62" t="inlineStr">
        <is>
          <t>Turquoise</t>
        </is>
      </c>
      <c r="BA62" t="inlineStr">
        <is>
          <t>Protection, Protection (hexes/evil), Wisdom, Clairvoyance, Protective charm, Protective charms, Protective sachets, Protective wreaths, Protective incense, PROTECT AGAINST NEGATIVITY, Protection from negativity, Circle protection,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 Knowledge, Intelligence, Intuition, Mental clarity, Sharpening the wits, Sharpening the brain, Mental powers, MEM, Memory, Concentration, Focus, Illumination, Enlightenment, Enhancing clairvoyance, Psychic development, Psychic powers, INCREASE PSYCHIC ABILITIES, Psychic awareness, Stimulating psychic senses, Disabling psychic phenomena, Psychic communication, communication and psychic abilities</t>
        </is>
      </c>
      <c r="BB62" s="42" t="inlineStr">
        <is>
          <t>Earth and the sky made one, the master healer's stone. Protection from evil and psychic attack both held. Wisdom and clairvoyance both deepened. The stone of yin energy — deep feminine protection, the working that holds and guards.</t>
        </is>
      </c>
    </row>
    <row r="63" ht="409.5" customHeight="1" s="56">
      <c r="A63" t="inlineStr">
        <is>
          <t>Unakite</t>
        </is>
      </c>
      <c r="B63" t="inlineStr">
        <is>
          <t>Vision Stone</t>
        </is>
      </c>
      <c r="C63" t="inlineStr">
        <is>
          <t>Epidosite (Epidote, Feldspar, Quartz)</t>
        </is>
      </c>
      <c r="D63" t="inlineStr">
        <is>
          <t>The green, red tones have made this stone sacred to Mars, Venus, representing their passion, also the creative energy, magical power that is generated when two opposites are brought together in a balanced way. The stone can be used in any spells linked to strong emotions such as lust, Confidence, daring, also to increase marital harmony, strengthen partnerships, increase underst, ing between people.</t>
        </is>
      </c>
      <c r="E63" t="inlineStr">
        <is>
          <t>Used for balance and grounding vision in reality.</t>
        </is>
      </c>
      <c r="F63" t="inlineStr">
        <is>
          <t>Mars, Venus</t>
        </is>
      </c>
      <c r="G63" t="inlineStr">
        <is>
          <t>Fire, water</t>
        </is>
      </c>
      <c r="H63" t="inlineStr">
        <is>
          <t>re3ceptive</t>
        </is>
      </c>
      <c r="I63" t="inlineStr">
        <is>
          <t>Friday</t>
        </is>
      </c>
      <c r="J63" t="inlineStr">
        <is>
          <t>APHRODITE, VENUS, FREYJA, HATHOR</t>
        </is>
      </c>
      <c r="K63" t="inlineStr">
        <is>
          <t>BELTANE, SAMHAIN</t>
        </is>
      </c>
      <c r="L63" t="inlineStr">
        <is>
          <t>Legend tells us that one who carries Unakite will have the power to locate things that have been lost. The stone takes it’s name from the Greek word epidosis, meaning “growing together”,</t>
        </is>
      </c>
      <c r="M63" t="inlineStr">
        <is>
          <t>Protection, Strength, Harmony, Healing, friendship, gardening, attracting animal guides, Peace, quiet.</t>
        </is>
      </c>
      <c r="N63" t="inlineStr">
        <is>
          <t>Since many illnesses began as an unhealed trauma to one’s psyche, letting go of emotions aids the body’s tissue in relaxing on a cellular level. Thus promotes healthier, gans, muscles, soft tissue.</t>
        </is>
      </c>
      <c r="O63" t="inlineStr">
        <is>
          <t>*Unakite*  Also known as: Vision Stone.  Mineral composition: Epidosite (Epidote, Feldspar, Quartz).  Planet: Mars, Venus  Element: Fire, water  Energy: re3ceptive  Sacred Day: Friday.  Deity associations: venus.  Sabbat: BELTANE, SAMHAIN.  Association: Used for balance and grounding vision in reality..  Magical uses: The green, red tones have made this stone sacred to Mars, Venus, representing their passion, also the creative energy, magical power that is generated when two opposites are brought together in a balanced way. The stone can be used in any spells linked to strong emotions such as lust, Confidence, daring, also to increase marital harmony, strengthen partnerships, increase underst, ing between people..  Powers: Protection, Strength, Harmony, Healing, friendship, gardening, attracting animal guides, Peace, quiet..  Spiritual uses: Since many illnesses began as an unhealed trauma to one’s psyche, letting go of emotions aids the body’s tissue in relaxing on a cellular level. Thus promotes healthier, gans, muscles, soft tissue..  Folk lore: Legend tells us that one who carries Unakite will have the power to locate things that have been lost. The stone takes it’s name from the Greek word epidosis, meaning “growing together”,.  Geology &amp; origin: The pretty patterning in Unakite is formed from its mixture of mossy green pistacite and pink feldspar. Unakite does not crystallize. It is found in masses, much like Chalcedonies are. Some deposits are found in Zimbabwe and Switzerland, but the gemstone is named for it’s North American home, the Unaka Mountains. Occasionally the gem is listed as Epidotized Granite or Grandodiorite, but it is Unakite that is the most commonly known.
Pebbles and boulders of Unakite have been found in Glacial drifts around the Great Lakes, especially near Lake Michigan..</t>
        </is>
      </c>
      <c r="P63" t="inlineStr">
        <is>
          <t>Ylang Ylang</t>
        </is>
      </c>
      <c r="Q63" t="inlineStr">
        <is>
          <t>The pretty patterning in Unakite is formed from its mixture of mossy green pistacite and pink feldspar. Unakite does not crystallize. It is found in masses, much like Chalcedonies are. Some deposits are found in Zimbabwe and Switzerland, but the gemstone is named for it’s North American home, the Unaka Mountains. Occasionally the gem is listed as Epidotized Granite or Grandodiorite, but it is Unakite that is the most commonly known.
Pebbles and boulders of Unakite have been found in Glacial drifts around the Great Lakes, especially near Lake Michigan.</t>
        </is>
      </c>
      <c r="R63" t="inlineStr">
        <is>
          <t>Generally safe for handling and use.</t>
        </is>
      </c>
      <c r="S63" t="inlineStr">
        <is>
          <t>BASIL</t>
        </is>
      </c>
      <c r="T63"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63" t="inlineStr">
        <is>
          <t>COLTSFOOT</t>
        </is>
      </c>
      <c r="V63" t="inlineStr">
        <is>
          <t>Spring rituals, Imbolc, Ostara, Beltane, Love, Tranquillity, Money spells, Divinatory incense, Healing incense, Psychic awareness, Communion with spirits, Prophetic dreams, Removing sickness, Removing mental troubles, Visions</t>
        </is>
      </c>
      <c r="W63" t="inlineStr">
        <is>
          <t>DEVILS CLAW ROOT</t>
        </is>
      </c>
      <c r="X63" t="inlineStr">
        <is>
          <t>Exorcism, Purification, Cleansing the home, Casting circles, Removing residual energies, Protection, Amulets/talismans, Do, way protection, Protective charms</t>
        </is>
      </c>
      <c r="Y63" t="inlineStr">
        <is>
          <t>GARLIC POWDER</t>
        </is>
      </c>
      <c r="Z63" t="inlineStr">
        <is>
          <t>Exorcism, Magic, Passion, Protection, Spell-breaking, Strength, Clairvoyance, Success, Commanding, Confidence, Consecration, Courage, Divination, Healing, Longevity, Money, Overcoming opposition, Purification, Preventing nightmares, Stopping gossip, Fair weather</t>
        </is>
      </c>
      <c r="AQ63" t="inlineStr">
        <is>
          <t>Pine</t>
        </is>
      </c>
      <c r="AR63" t="inlineStr">
        <is>
          <t>PROSPERITY SPELLS, Prosperity</t>
        </is>
      </c>
      <c r="AS63" t="inlineStr">
        <is>
          <t>Harmony, Happiness, Strength</t>
        </is>
      </c>
      <c r="AT63" t="inlineStr">
        <is>
          <t>Thyme</t>
        </is>
      </c>
      <c r="AU63" t="inlineStr">
        <is>
          <t>Healing, Love, Purification, Confidence</t>
        </is>
      </c>
      <c r="AV63" t="inlineStr">
        <is>
          <t>Harmony, STRENGTHENS, SUPP, Amulets/talismans</t>
        </is>
      </c>
      <c r="AW63" t="inlineStr">
        <is>
          <t>Vanilla</t>
        </is>
      </c>
      <c r="AX63" t="inlineStr">
        <is>
          <t>MENTAL POWERS, LOVING &amp; LUSTFUL ENERGIES</t>
        </is>
      </c>
      <c r="AY63" t="inlineStr">
        <is>
          <t>SOOTHES NERVES, CALMS, RELAXES</t>
        </is>
      </c>
      <c r="AZ63" t="inlineStr">
        <is>
          <t>Unakite</t>
        </is>
      </c>
      <c r="BA63" t="inlineStr">
        <is>
          <t>Love, Aphrodisiac, Harmony, Confidence,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RAISE SEXUAL ENERGY, Sexual energy, Self-confidence, Courage, Bravery, Determination, Will Power, Leadership, Leadership skills, Commanding, Personal power</t>
        </is>
      </c>
      <c r="BB63" s="42" t="inlineStr">
        <is>
          <t>Fire and water, the stone of what has been held too long. Love and aphrodisiac energy both find it receptive. Harmony and confidence drawn in. Where old emotional wounds are the root and healing needs beginning at the source, not the surface.</t>
        </is>
      </c>
    </row>
    <row r="64" ht="409.5" customHeight="1" s="56">
      <c r="A64" t="inlineStr">
        <is>
          <t>Yellow Aventurine</t>
        </is>
      </c>
      <c r="B64" t="inlineStr">
        <is>
          <t>Stone of Vitality</t>
        </is>
      </c>
      <c r="C64" t="inlineStr">
        <is>
          <t>Quartz with mica (SiO₂)</t>
        </is>
      </c>
      <c r="D64" t="inlineStr">
        <is>
          <t>This stone gives will, self control a boost, also helps us to focus intent as needed in, der to manifest. Furtherm, e it inspires underst, Attracting good spirits, compassion, stabilizes the emotions, helps one to overcome grief. Yellow aventurine protects against EMF pollution, draws abundance, Prosperity, as well it can be used to alleviate anxiety, Exploring feelings, creativity.</t>
        </is>
      </c>
      <c r="E64" t="inlineStr">
        <is>
          <t>Used for self-reflection and increasing personal power.</t>
        </is>
      </c>
      <c r="F64" t="inlineStr">
        <is>
          <t>Mars</t>
        </is>
      </c>
      <c r="G64" t="inlineStr">
        <is>
          <t>Earth</t>
        </is>
      </c>
      <c r="H64" t="inlineStr">
        <is>
          <t>Receptive</t>
        </is>
      </c>
      <c r="I64" t="inlineStr">
        <is>
          <t>Tuesday</t>
        </is>
      </c>
      <c r="J64" t="inlineStr">
        <is>
          <t>ARES, MARS, TIWAZ, THOR</t>
        </is>
      </c>
      <c r="K64" t="inlineStr">
        <is>
          <t>BELTANE, SAMHAIN</t>
        </is>
      </c>
      <c r="L64" t="inlineStr">
        <is>
          <t>For thousands of years aventurine has been used as a gemstone of luck. For example in Ancient Greece warriors would wear aventurine when going to war, hoping to avoid injuries or worse. And of course more luck never hurt when gambling.</t>
        </is>
      </c>
      <c r="M64" t="inlineStr">
        <is>
          <t>Creativity, manifesting money, Prosperity, leadership, decisiveness, increasing personal power.</t>
        </is>
      </c>
      <c r="N64" t="inlineStr">
        <is>
          <t>Use Aventurine to reduce, abs, Banishing, protect against electromagnetic, environmental pollution.  Yellow Aventurine can assist in removing toxins, enhancing the flow of energy through the body.  Yellow Aventurine balances the Yin-Yang energies, eases anxiety, Exploring feelings, s the flow of creativity.</t>
        </is>
      </c>
      <c r="O64" t="inlineStr">
        <is>
          <t>*Yellow Aventurine*  Also known as: Stone of Vitality.  Mineral composition: Quartz with mica (SiO₂).  Planet: Mars  Element: Earth  Energy: Receptive  Sacred Day: Tuesday.  Deity associations: Cupra, Flidais.  Sabbat: BELTANE, SAMHAIN.  Association: Used for self-reflection and increasing personal power..  Magical uses: This stone gives will, self control a boost, also helps us to focus intent as needed in, der to manifest. Furtherm, e it inspires underst, Attracting good spirits, compassion, stabilizes the emotions, helps one to overcome grief. Yellow aventurine protects against EMF pollution, draws abundance, Prosperity, as well it can be used to alleviate anxiety, Exploring feelings, creativity..  Powers: Creativity, manifesting money, Prosperity, leadership, decisiveness, increasing personal power..  Spiritual uses: Use Aventurine to reduce, abs, Banishing, protect against electromagnetic, environmental pollution.  Yellow Aventurine can assist in removing toxins, enhancing the flow of energy through the body.  Yellow Aventurine balances the Yin-Yang energies, eases anxiety, Exploring feelings, s the flow of creativity..  Folk lore: For thousands of years aventurine has been used as a gemstone of luck. For example in Ancient Greece warriors would wear aventurine when going to war, hoping to avoid injuries or worse. And of course more luck never hurt when gambling..  Geology &amp; origin: Aventurine quartz crystals have been found in Italy, Brazil, India, China, Tibet, Nepal and Russia. The name Aventurine comes from its quality of "aventurescence", which means the amount of reflective ability of the stone..</t>
        </is>
      </c>
      <c r="P64" t="inlineStr">
        <is>
          <t>Patchouli</t>
        </is>
      </c>
      <c r="Q64" t="inlineStr">
        <is>
          <t>Aventurine quartz crystals have been found in Italy, Brazil, India, China, Tibet, Nepal and Russia. The name Aventurine comes from its quality of "aventurescence", which means the amount of reflective ability of the stone.</t>
        </is>
      </c>
      <c r="R64" t="inlineStr">
        <is>
          <t>Generally safe for handling and use.</t>
        </is>
      </c>
      <c r="S64" t="inlineStr">
        <is>
          <t>CHIVE</t>
        </is>
      </c>
      <c r="T64" t="inlineStr">
        <is>
          <t>Banishing, Exorcism, Breaking bad habits, Dispelling melancholy, Protection against disease, Weight loss spells</t>
        </is>
      </c>
      <c r="AZ64" t="inlineStr">
        <is>
          <t>Yellow Aventurine</t>
        </is>
      </c>
      <c r="BA64" t="inlineStr">
        <is>
          <t>Confidence, Prosperity, Healing, Harmony, Clairvoyance, Self-confidence, Courage, Bravery, Determination, Will Power, Leadership, Leadership skills, Commanding, Personal power,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Enhancing clairvoyance, Psychic development, Psychic powers, INCREASE PSYCHIC ABILITIES, Psychic awareness, Stimulating psychic senses, Disabling psychic phenomena, Psychic communication, communication and psychic abilities</t>
        </is>
      </c>
      <c r="BB64" s="42" t="inlineStr">
        <is>
          <t>Earth and the gold of abundance made manifest. Confidence and prosperity both carried. Healing and harmony deepened. Decisiveness strengthened. Where personal power needs activating and the working needs a clear forward direction.</t>
        </is>
      </c>
    </row>
    <row r="65" ht="409.5" customHeight="1" s="56">
      <c r="A65" t="inlineStr">
        <is>
          <t>Amber</t>
        </is>
      </c>
      <c r="B65" t="inlineStr">
        <is>
          <t>Tears of the Sun</t>
        </is>
      </c>
      <c r="C65" t="inlineStr">
        <is>
          <t>Succinite (fossilised tree resin, C₁₀H₁₆O)</t>
        </is>
      </c>
      <c r="D65" t="inlineStr">
        <is>
          <t>Protects from evil spells, an evil eye. Amber always was considered an anti-demonic amulet. Use in magic regarding clarity, Confidence, rituals of protection, strength. It is also believed that an Amber bead, hidden in baby’s clothes, will counteract any malicious f, ces.  It links the everyday self to the spiritual self, is highly protective against any type of negativity, especially from psychic sources.</t>
        </is>
      </c>
      <c r="E65" t="inlineStr">
        <is>
          <t>Organic gemstone used for protection, healing, and connection to ancient wisdom.</t>
        </is>
      </c>
      <c r="F65" t="inlineStr">
        <is>
          <t>Sun</t>
        </is>
      </c>
      <c r="G65" t="inlineStr">
        <is>
          <t>Fire</t>
        </is>
      </c>
      <c r="H65" t="inlineStr">
        <is>
          <t>Projective</t>
        </is>
      </c>
      <c r="I65" t="inlineStr">
        <is>
          <t>Sunday</t>
        </is>
      </c>
      <c r="J65" t="inlineStr">
        <is>
          <t>SOL, RA, BALDUR</t>
        </is>
      </c>
      <c r="K65" t="inlineStr">
        <is>
          <t>LITHA</t>
        </is>
      </c>
      <c r="L65" t="inlineStr">
        <is>
          <t>According to a legend cited by Ovidius in "Metamorphoses", Amber gems are the stark tears of daughters of the God of Sun, in mourning for their brother Phaeton. Phaeton wanted to race on the sky in a chariot of their father, harnessed by winged fire-spitting horses. He could not handle them, and crushed to the Earth. Gods transformed his crying sisters into trees. They stand on the bank of cold river and cry. Their hot tears fall into cold water, harden and turn to transparent Amber gems. It has an electrical charge when rubbed, and was called 'elektron' by the ancient Greeks... and this is thought to be the origin of the word electricity.</t>
        </is>
      </c>
      <c r="M65" t="inlineStr">
        <is>
          <t>Boosts optimism, facilitates self-expression, attracts friends, helps to find partner in life, brings vict, y. Amber bead on a red thread repels witches, malicious spirits.</t>
        </is>
      </c>
      <c r="N65" t="inlineStr">
        <is>
          <t>Amber contains up to 8 weight percent of the amber acid, which has vitamin-like properties. By enhancing endocellular metabolism, the amber acid brings about general improvement of body condition, slows down ageing processes, Amulets/talismans, malizes cardiac blood circulation.</t>
        </is>
      </c>
      <c r="O65" t="inlineStr">
        <is>
          <t>*Amber*  Also known as: Tears of the Sun.  Mineral composition: Succinite (fossilised tree resin, C₁₀H₁₆O).  Planet: Sun  Element: Fire  Energy: Projective  Sacred Day: Sunday.  Deity associations: Mother Goddess, Amberella, Electra.  Sabbat: LITHA.  Association: Organic gemstone used for protection, healing, and connection to ancient wisdom..  Magical uses: Protects from evil spells, an evil eye. Amber always was considered an anti-demonic amulet. Use in magic regarding clarity, Confidence, rituals of protection, strength. It is also believed that an Amber bead, hidden in baby’s clothes, will counteract any malicious f, ces.  It links the everyday self to the spiritual self, is highly protective against any type of negativity, especially from psychic sources..  Powers: Boosts optimism, facilitates self-expression, attracts friends, helps to find partner in life, brings vict, y. Amber bead on a red thread repels witches, malicious spirits..  Spiritual uses: Amber contains up to 8 weight percent of the amber acid, which has vitamin-like properties. By enhancing endocellular metabolism, the amber acid brings about general improvement of body condition, slows down ageing processes, Amulets/talismans, malizes cardiac blood circulation..  Folk lore: According to a legend cited by Ovidius in "Metamorphoses", Amber gems are the stark tears of daughters of the God of Sun, in mourning for their brother Phaeton. Phaeton wanted to race on the sky in a chariot of their father, harnessed by winged fire-spitting horses. He could not handle them, and crushed to the Earth. Gods transformed his crying sisters into trees. They stand on the bank of cold river and cry. Their hot tears fall into cold water, harden and turn to transparent Amber gems. It has an electrical charge when rubbed, and was called 'elektron' by the ancient Greeks... and this is thought to be the origin of the word electricity..  Geology &amp; origin: Amber isn't actually a gemstone, but a resin formed by hardened tree sap. It typically appears in shades of yellow and orange, although a few odd colours, like green or red, are sometimes seen..</t>
        </is>
      </c>
      <c r="P65" t="inlineStr">
        <is>
          <t>Tea Tree</t>
        </is>
      </c>
      <c r="Q65" t="inlineStr">
        <is>
          <t>Amber isn't actually a gemstone, but a resin formed by hardened tree sap. It typically appears in shades of yellow and orange, although a few odd colours, like green or red, are sometimes seen.</t>
        </is>
      </c>
      <c r="R65" t="inlineStr">
        <is>
          <t>Generally safe for handling. Not a mineral — fossilised resin. Avoid prolonged sunlight and heat. Do not use strong chemicals.</t>
        </is>
      </c>
      <c r="S65" t="inlineStr">
        <is>
          <t>ACORN</t>
        </is>
      </c>
      <c r="T65" t="inlineStr">
        <is>
          <t>New beginning spells, Sabbat rituals, Invocation of the Lord, Transformation/Evolution, Physical Strength, Will Power, Lust/Sex, Leadership, Wealth/Prosperity, Courage, Good luck, Protection, Wisdom, Personal power</t>
        </is>
      </c>
      <c r="U65" t="inlineStr">
        <is>
          <t>BAY LAUREL</t>
        </is>
      </c>
      <c r="V65" t="inlineStr">
        <is>
          <t>Clairvoyance, Consecration, Divination, Dreams, Exorcism, Healing, Love, Passion, Protection, Psychic protection, Purification, Wisdom, Wishes, Winter rituals, Yule magic</t>
        </is>
      </c>
      <c r="W65" t="inlineStr">
        <is>
          <t>BLACK TEA</t>
        </is>
      </c>
      <c r="X65" t="inlineStr">
        <is>
          <t>Prosperity, Strength, Fortitude, Good health, Divination, Emotional healing, Calming, Soothing, Reviving, Invigorating</t>
        </is>
      </c>
      <c r="Y65" t="inlineStr">
        <is>
          <t>CEDARWOOD (HIMALAYAN)</t>
        </is>
      </c>
      <c r="Z65" t="inlineStr">
        <is>
          <t>Cleansing atmospheres, Creating sacred spaces, Longevity, Protection, Preservation, Summoning spirits, Invocations, Propriety, Long life, Growth, Dedicating sacred spaces, Solar spells, Strengthening focus, Illumination</t>
        </is>
      </c>
      <c r="AQ65" t="inlineStr">
        <is>
          <t>Cedarwood</t>
        </is>
      </c>
      <c r="AR65" t="inlineStr">
        <is>
          <t>Purification, Protection, RID OF BAD DREAMS, Prosperity</t>
        </is>
      </c>
      <c r="AS65" t="inlineStr">
        <is>
          <t>New beginnings, REGROWTH, CALMING &amp; COMF, Attracting good spirits, STRENGTHENING</t>
        </is>
      </c>
      <c r="AT65" t="inlineStr">
        <is>
          <t>Frankincense</t>
        </is>
      </c>
      <c r="AU65" t="inlineStr">
        <is>
          <t>Luck, Protection, SPIRITUALITY, PROTECT AGAINST NEGATIVITY, EXC, Exorcism</t>
        </is>
      </c>
      <c r="AV65" t="inlineStr">
        <is>
          <t>ENLIGHTENMENT, INSPIRATION, INTROSPECTION, AIDS MEDITATION</t>
        </is>
      </c>
      <c r="AW65" t="inlineStr">
        <is>
          <t>Juniper</t>
        </is>
      </c>
      <c r="AX65" t="inlineStr">
        <is>
          <t>AID MEDITATION, Healing, Love, Protection</t>
        </is>
      </c>
      <c r="AY65" t="inlineStr">
        <is>
          <t>ENLIGHTENMENT, INNER VISION, SINCERITY, UPLIFTING, CENTRING</t>
        </is>
      </c>
      <c r="AZ65" t="inlineStr">
        <is>
          <t>Amber</t>
        </is>
      </c>
      <c r="BA65" t="inlineStr">
        <is>
          <t>Protection, Confidence, Protection (hexes/evil), Protective charm, Protective charms, Protective sachets, Protective wreaths, Protective incense, PROTECT AGAINST NEGATIVITY, Protection from negativity, Circle protection, Self-confidence, Courage, Bravery, Determination, Will Power, Leadership, Leadership skills, Commanding, Personal power,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t>
        </is>
      </c>
      <c r="BB65" s="42" t="inlineStr">
        <is>
          <t>Fire and ancient sunlight preserved, the oldest protective light. Confidence held, the evil eye turned away. Optimism restored. Where warmth and protective energy are needed and the working benefits from what has endured a very long time.</t>
        </is>
      </c>
    </row>
    <row r="66">
      <c r="A66" t="inlineStr">
        <is>
          <t>Emerald</t>
        </is>
      </c>
      <c r="B66" t="inlineStr">
        <is>
          <t>The Jewel of Kings</t>
        </is>
      </c>
      <c r="C66" t="inlineStr">
        <is>
          <t>Beryl var. (Be₃Al₂(SiO₃)₆)</t>
        </is>
      </c>
      <c r="D66" t="inlineStr">
        <is>
          <t>Emerald is also a stone of great vision, Divination, associated with the eyes, Clairvoyance, long believed to f, etell future events, reveal one’s truths. It is a stone of wisdom, enhancing mem, increasing mental clarity. It combines intelligence with discernment, brings to the conscious mind what is unconsciously known. Emerald also increases focus, intent, activating psychic abilities, opening clairvoyance. Traditionally it was used as a protection against enchantment, Bolstering spells</t>
        </is>
      </c>
      <c r="E66" t="inlineStr">
        <is>
          <t>Associated with Venus, Jupiter, and the divine feminine; linked to spring, fertility, and abundance</t>
        </is>
      </c>
      <c r="F66" t="inlineStr">
        <is>
          <t>Jupiter, Venus</t>
        </is>
      </c>
      <c r="G66" t="inlineStr">
        <is>
          <t>Earth</t>
        </is>
      </c>
      <c r="H66" t="inlineStr">
        <is>
          <t>Receptive</t>
        </is>
      </c>
      <c r="I66" t="inlineStr">
        <is>
          <t>Friday</t>
        </is>
      </c>
      <c r="J66" t="inlineStr">
        <is>
          <t>ALL</t>
        </is>
      </c>
      <c r="K66" t="inlineStr">
        <is>
          <t>MABON</t>
        </is>
      </c>
      <c r="L66" t="inlineStr">
        <is>
          <t>It was a stone worshipped by the Incas, believed by the Chaldeans to contain a goddess, and was highly honored in all major religions for its spiritual power and beauty. Emerald was considered a symbol of eternal life in ancient Egypt, a gift of Thoth, the god of wisdom, and was a favorite jewel of Queen Cleopatra.</t>
        </is>
      </c>
      <c r="M66" t="inlineStr">
        <is>
          <t>Vision, divination, clairvoyance, love, prosperity, healing, fertility, memory, communication, truth, loyalty</t>
        </is>
      </c>
      <c r="N66" t="inlineStr">
        <is>
          <t>Emerald opens, nurtures the heart, the Heart Chakra. Its soothing energy provides healing to all levels of the being, bringing freshness, vitality to the spirit. A stone of inspiration, infinite patience, it embodies unity, compassion, unconditional love. Emerald promotes friendship, balance between partners, is particularly known f, providing domestic bliss, contentment, loyalty.</t>
        </is>
      </c>
      <c r="O66" t="inlineStr">
        <is>
          <t>*Emerald*  Also known as: The Jewel of Kings.  Mineral composition: Beryl var. (Be₃Al₂(SiO₃)₆).  Planet: Jupiter, Venus  Element: Earth  Energy: Receptive  Sacred Day: Friday.  Deity associations: Ceres, Isis, Venus, Mercury, Vishnu.  Sabbat: MABON.  Association: Associated with Venus, Jupiter, and the divine feminine; linked to spring, fertility, and abundance.  Magical uses: Emerald is also a stone of great vision, Divination, associated with the eyes, Clairvoyance, long believed to f, etell future events, reveal one’s truths. It is a stone of wisdom, enhancing mem, increasing mental clarity. It combines intelligence with discernment, brings to the conscious mind what is unconsciously known. Emerald also increases focus, intent, activating psychic abilities, opening clairvoyance. Traditionally it was used as a protection against enchantment, Bolstering spells.  Powers: Vision, divination, clairvoyance, love, prosperity, healing, fertility, memory, communication, truth, loyalty.  Spiritual uses: Emerald opens, nurtures the heart, the Heart Chakra. Its soothing energy provides healing to all levels of the being, bringing freshness, vitality to the spirit. A stone of inspiration, infinite patience, it embodies unity, compassion, unconditional love. Emerald promotes friendship, balance between partners, is particularly known f, providing domestic bliss, contentment, loyalty..  Folk lore: It was a stone worshipped by the Incas, believed by the Chaldeans to contain a goddess, and was highly honored in all major religions for its spiritual power and beauty. Emerald was considered a symbol of eternal life in ancient Egypt, a gift of Thoth, the god of wisdom, and was a favorite jewel of Queen Cleopatra..  Geology &amp; origin: Natural, transparent Emerald is one of four “precious” gemstones (including Diamond, Ruby and Sapphire), and is the green variety of Beryl, a beryllium aluminum silicate mineral colored by trace amounts of chromium and/or vanadium. Emerald occurs in hues ranging from yellow-green to blue-green, with the finest being a pure verdant green hue, medium to dark in tone..</t>
        </is>
      </c>
      <c r="P66" t="inlineStr">
        <is>
          <t>Ylang Ylang</t>
        </is>
      </c>
      <c r="Q66" t="inlineStr">
        <is>
          <t>Natural, transparent Emerald is one of four “precious” gemstones (including Diamond, Ruby and Sapphire), and is the green variety of Beryl, a beryllium aluminum silicate mineral colored by trace amounts of chromium and/or vanadium. Emerald occurs in hues ranging from yellow-green to blue-green, with the finest being a pure verdant green hue, medium to dark in tone.</t>
        </is>
      </c>
      <c r="R66" t="inlineStr">
        <is>
          <t>Generally safe for handling. Raw specimens may have sharp edges. Handle treated stones carefully.</t>
        </is>
      </c>
      <c r="S66" t="inlineStr">
        <is>
          <t>OAK MOSS</t>
        </is>
      </c>
      <c r="T66" t="inlineStr">
        <is>
          <t>Money, luck, strength, and Druidic ritual work. Place in money sachets and wallets to attract and retain wealth. Used in spells for business success and financial stability. Add to incense for connection to ancient forest magic and the Green Man. Excellent for grounding spells and earth magic rituals.</t>
        </is>
      </c>
      <c r="U66" t="inlineStr">
        <is>
          <t>OAKBARK RED</t>
        </is>
      </c>
      <c r="V66" t="inlineStr">
        <is>
          <t>Truth, Steadfast knowledge, Protection, Vitality, Long life, Healing, Grounding, Focus, Observation, Intuition, Bravery, Presence, Leadership skills, Prosperity, Strength, Psychic development, Rest, Sleep</t>
        </is>
      </c>
      <c r="W66" t="inlineStr">
        <is>
          <t>OAKLEAF</t>
        </is>
      </c>
      <c r="X66" t="inlineStr">
        <is>
          <t>Purification, Cleansing body and spirit, Aiding recovery, Protection from evil, Keeping illness away</t>
        </is>
      </c>
      <c r="Y66" t="inlineStr">
        <is>
          <t>OREGANO</t>
        </is>
      </c>
      <c r="Z66" t="inlineStr">
        <is>
          <t>Happiness, Animals, Harmony, Love, Peace, Protection, Psychic development, Aiding grief, Weddings, Hand-fastings</t>
        </is>
      </c>
      <c r="AA66" t="inlineStr">
        <is>
          <t>ANSUZ</t>
        </is>
      </c>
      <c r="AB66" t="inlineStr">
        <is>
          <t>A</t>
        </is>
      </c>
      <c r="AC66" t="inlineStr">
        <is>
          <t>Divination, Prophetic dreams, Communication, Wisdom, Clairvoyance, Star magick, Truth</t>
        </is>
      </c>
      <c r="AD66" t="inlineStr">
        <is>
          <t>Knowledge. Wisdom. Communication. The mouth. A message. Divine power and revelation.</t>
        </is>
      </c>
      <c r="AE66" t="inlineStr">
        <is>
          <t>GEBO</t>
        </is>
      </c>
      <c r="AF66" t="inlineStr">
        <is>
          <t>G</t>
        </is>
      </c>
      <c r="AG66" t="inlineStr">
        <is>
          <t>Love spells, Love rituals, Love, Gift-giving, Anti-theft, giveness, Attraction, Peace</t>
        </is>
      </c>
      <c r="AH66" t="inlineStr">
        <is>
          <t>Generosity in men is to honour and praise and dignity a prop.</t>
        </is>
      </c>
      <c r="AI66" t="inlineStr">
        <is>
          <t>BERKANAN</t>
        </is>
      </c>
      <c r="AJ66" t="inlineStr">
        <is>
          <t>B</t>
        </is>
      </c>
      <c r="AK66" t="inlineStr">
        <is>
          <t>Fertility, Growth, New beginnings, Healing, Beauty, Birth, Fresh starts</t>
        </is>
      </c>
      <c r="AL66" t="inlineStr">
        <is>
          <t>Growth, fertility, rebirth, new life, renewal, purification, beauty.</t>
        </is>
      </c>
      <c r="AM66" t="inlineStr">
        <is>
          <t>MANNAZ</t>
        </is>
      </c>
      <c r="AN66" t="inlineStr">
        <is>
          <t>M</t>
        </is>
      </c>
      <c r="AO66" t="inlineStr">
        <is>
          <t>Self-w, Breaking habits, Wisdom, Intelligence, Communication, Humanity, Truth, Clarity of thought</t>
        </is>
      </c>
      <c r="AP66" t="inlineStr">
        <is>
          <t>Humanity, self, mind, intelligence, speech, cooperation, creativity.</t>
        </is>
      </c>
      <c r="AZ66" t="inlineStr">
        <is>
          <t>Emerald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S30"/>
  <sheetViews>
    <sheetView workbookViewId="0">
      <selection activeCell="A1" sqref="A1"/>
    </sheetView>
  </sheetViews>
  <sheetFormatPr baseColWidth="8" defaultRowHeight="15"/>
  <sheetData>
    <row r="1" ht="27.75" customHeight="1" s="56">
      <c r="A1" t="inlineStr">
        <is>
          <t>Name</t>
        </is>
      </c>
      <c r="B1" t="inlineStr">
        <is>
          <t>Ye Olde Name</t>
        </is>
      </c>
      <c r="C1" t="inlineStr">
        <is>
          <t>Latin Name</t>
        </is>
      </c>
      <c r="D1" t="inlineStr">
        <is>
          <t>Magical Uses</t>
        </is>
      </c>
      <c r="E1" t="inlineStr">
        <is>
          <t>Association</t>
        </is>
      </c>
      <c r="F1" t="inlineStr">
        <is>
          <t>Planet</t>
        </is>
      </c>
      <c r="G1" t="inlineStr">
        <is>
          <t>Element</t>
        </is>
      </c>
      <c r="H1" t="inlineStr">
        <is>
          <t>Energy</t>
        </is>
      </c>
      <c r="I1" t="inlineStr">
        <is>
          <t>Day</t>
        </is>
      </c>
      <c r="J1" t="inlineStr">
        <is>
          <t>Deity</t>
        </is>
      </c>
      <c r="K1" t="inlineStr">
        <is>
          <t>Sabbat</t>
        </is>
      </c>
      <c r="L1" t="inlineStr">
        <is>
          <t>Folk Lore</t>
        </is>
      </c>
      <c r="M1" t="inlineStr">
        <is>
          <t>Powers</t>
        </is>
      </c>
      <c r="N1" t="inlineStr">
        <is>
          <t>Spiritual Uses</t>
        </is>
      </c>
      <c r="O1" t="inlineStr">
        <is>
          <t>Description</t>
        </is>
      </c>
      <c r="P1" t="inlineStr">
        <is>
          <t>Oil Name</t>
        </is>
      </c>
      <c r="Q1" t="inlineStr">
        <is>
          <t>Geology</t>
        </is>
      </c>
      <c r="R1" t="inlineStr">
        <is>
          <t>Warning</t>
        </is>
      </c>
      <c r="S1" t="inlineStr">
        <is>
          <t>Herb 1 Name</t>
        </is>
      </c>
      <c r="T1" t="inlineStr">
        <is>
          <t>Herb 1 Uses</t>
        </is>
      </c>
      <c r="U1" t="inlineStr">
        <is>
          <t>Herb 2 Name</t>
        </is>
      </c>
      <c r="V1" t="inlineStr">
        <is>
          <t>Herb 2 Uses</t>
        </is>
      </c>
      <c r="W1" t="inlineStr">
        <is>
          <t>Herb 3 Name</t>
        </is>
      </c>
      <c r="X1" t="inlineStr">
        <is>
          <t>Herb 3 Uses</t>
        </is>
      </c>
      <c r="Y1" t="inlineStr">
        <is>
          <t>Herb 4 Name</t>
        </is>
      </c>
      <c r="Z1" t="inlineStr">
        <is>
          <t>Herb 4 Uses</t>
        </is>
      </c>
      <c r="AA1" t="inlineStr">
        <is>
          <t>Crystal 1 Name</t>
        </is>
      </c>
      <c r="AB1" t="inlineStr">
        <is>
          <t>Crystal 1 Powers</t>
        </is>
      </c>
      <c r="AC1" t="inlineStr">
        <is>
          <t>Crystal 2 Name</t>
        </is>
      </c>
      <c r="AD1" t="inlineStr">
        <is>
          <t>Crystal 2 Powers</t>
        </is>
      </c>
      <c r="AE1" t="inlineStr">
        <is>
          <t>Crystal 3 Name</t>
        </is>
      </c>
      <c r="AF1" t="inlineStr">
        <is>
          <t>Crystal 3 Powers</t>
        </is>
      </c>
      <c r="AG1" t="inlineStr">
        <is>
          <t>Crystal 4 Name</t>
        </is>
      </c>
      <c r="AH1" t="inlineStr">
        <is>
          <t>Crystal 4 Powers</t>
        </is>
      </c>
      <c r="AI1" t="inlineStr">
        <is>
          <t>Rune 1 Name</t>
        </is>
      </c>
      <c r="AJ1" t="inlineStr">
        <is>
          <t>Rune 1 Letter</t>
        </is>
      </c>
      <c r="AK1" t="inlineStr">
        <is>
          <t>Rune 1 Uses</t>
        </is>
      </c>
      <c r="AL1" t="inlineStr">
        <is>
          <t>Rune 2 Name</t>
        </is>
      </c>
      <c r="AM1" t="inlineStr">
        <is>
          <t>Rune 2 Letter</t>
        </is>
      </c>
      <c r="AN1" t="inlineStr">
        <is>
          <t>Rune 2 Uses</t>
        </is>
      </c>
      <c r="AO1" t="inlineStr">
        <is>
          <t>Rune 3 Name</t>
        </is>
      </c>
      <c r="AP1" t="inlineStr">
        <is>
          <t>Rune 3 Letter</t>
        </is>
      </c>
      <c r="AQ1" t="inlineStr">
        <is>
          <t>Rune 3 Uses</t>
        </is>
      </c>
      <c r="AS1" s="42" t="inlineStr">
        <is>
          <t>Greenman Energy</t>
        </is>
      </c>
    </row>
    <row r="2" ht="409.5" customHeight="1" s="56">
      <c r="A2" t="inlineStr">
        <is>
          <t>Apple</t>
        </is>
      </c>
      <c r="B2" t="inlineStr">
        <is>
          <t>Fruit of the Underworld</t>
        </is>
      </c>
      <c r="C2" t="inlineStr">
        <is>
          <t>Malus domestica</t>
        </is>
      </c>
      <c r="D2" t="inlineStr">
        <is>
          <t>Love, Happiness, WISDOM IN MAGICK, Wisdom,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Joy, Joyous celebrations, Contentment, Magical power, Increasing magical power, Increasing spell power, Power amplification, Bolstering spells, Bolstering incense, Strengthening spells, Potency, Power, Magic, defensive magic, Knowledge, Intelligence, Intuition, Mental clarity, Sharpening the wits, Sharpening the brain, Mental powers, MEM, Memory, Illumination, Enlightenment</t>
        </is>
      </c>
      <c r="E2" t="inlineStr">
        <is>
          <t>Symbolizes immortality and healing; associated with Celtic Otherworld traditions.</t>
        </is>
      </c>
      <c r="F2" t="inlineStr">
        <is>
          <t>VENUS</t>
        </is>
      </c>
      <c r="G2" t="inlineStr">
        <is>
          <t>Air</t>
        </is>
      </c>
      <c r="H2" t="inlineStr">
        <is>
          <t>Feminine</t>
        </is>
      </c>
      <c r="I2" t="inlineStr">
        <is>
          <t>Friday</t>
        </is>
      </c>
      <c r="J2" t="inlineStr">
        <is>
          <t>APHRODITE</t>
        </is>
      </c>
      <c r="K2" t="inlineStr">
        <is>
          <t>OSTARA</t>
        </is>
      </c>
      <c r="L2" t="inlineStr">
        <is>
          <t>In Celtic myth, the silver branch of an apple tree was the passport to the Otherworld. It is said that in the land of Avalon, the apple tree bore fruit that could feed a person for a year and grant them eternal youth, keeping them forever young in the halls of the Sidhe.</t>
        </is>
      </c>
      <c r="M2" t="inlineStr">
        <is>
          <t>Love, happiness, healing, peace, immortality, wisdom, prosperity</t>
        </is>
      </c>
      <c r="N2" t="inlineStr">
        <is>
          <t>UPLIFTING</t>
        </is>
      </c>
      <c r="O2" t="inlineStr">
        <is>
          <t>*Apple Essential Oil*  Also known as: Fruit of the Underworld.  Botanical source: Malus domestica.  Planet: VENUS  Element: Air  Energy: Feminine  Sacred Day: Friday.  Deity associations: APHRODITE.  Sabbat: OSTARA.  Association: Symbolizes immortality and healing; associated with Celtic Otherworld traditions..  Magical uses: Love, Happiness, WISDOM IN MAGICK.  Powers: Love, happiness, healing, peace, immortality, wisdom, prosperity.  Spiritual uses: UPLIFTING.  Folk lore: In Celtic myth, the silver branch of an apple tree was the passport to the Otherworld. It is said that in the land of Avalon, the apple tree bore fruit that could feed a person for a year and grant them eternal youth, keeping them forever young in the halls of the Sidhe..  Origin: Widely cultivated globally; originates in Central Asia (Kazakhstan, Kyrgyzstan).</t>
        </is>
      </c>
      <c r="P2" t="inlineStr">
        <is>
          <t>Apple</t>
        </is>
      </c>
      <c r="Q2" t="inlineStr">
        <is>
          <t>Widely cultivated globally; originates in Central Asia (Kazakhstan, Kyrgyzstan)</t>
        </is>
      </c>
      <c r="R2" t="inlineStr">
        <is>
          <t>Generally safe for external ritual use. Do not ingest essential oils.</t>
        </is>
      </c>
      <c r="S2" t="inlineStr">
        <is>
          <t>APPLE BLOSSOM</t>
        </is>
      </c>
      <c r="T2" t="inlineStr">
        <is>
          <t>Love spells, Peace, Contentment, Success, Relaxation, Bath magic</t>
        </is>
      </c>
      <c r="U2" t="inlineStr">
        <is>
          <t>APPLEWOOD CHIPS</t>
        </is>
      </c>
      <c r="V2" t="inlineStr">
        <is>
          <t>Wand making, Love spells, Mabon rituals, Samhain rituals, Honouring the dead, Ancestral altars, Spirit offerings</t>
        </is>
      </c>
      <c r="AA2" t="inlineStr">
        <is>
          <t>quartz Rose</t>
        </is>
      </c>
      <c r="AB2" t="inlineStr">
        <is>
          <t>Confidence, Peace, Fertility, creativity, Love, compassion, beauty, Fidelity, Happiness</t>
        </is>
      </c>
      <c r="AC2" t="inlineStr">
        <is>
          <t>Seraphinite</t>
        </is>
      </c>
      <c r="AD2" t="inlineStr">
        <is>
          <t>Purification, centering, compassion, healing.</t>
        </is>
      </c>
      <c r="AI2" t="inlineStr">
        <is>
          <t>ANSUZ</t>
        </is>
      </c>
      <c r="AJ2" t="inlineStr">
        <is>
          <t>A</t>
        </is>
      </c>
      <c r="AK2" t="inlineStr">
        <is>
          <t>Divination, Prophetic dreams, Communication, Wisdom, Clairvoyance, Star magick, Truth</t>
        </is>
      </c>
      <c r="AR2" t="inlineStr">
        <is>
          <t>Apple</t>
        </is>
      </c>
      <c r="AS2" s="42" t="inlineStr">
        <is>
          <t>Air and the sweetness of the orchard in full bloom. Love drawn in on its gentle scent, happiness carried alongside it. Wisdom alive in its depth. Healing and peace deepened. Where love needs drawing and the spirit needs something that smells of abundance.</t>
        </is>
      </c>
    </row>
    <row r="3" ht="409.5" customHeight="1" s="56">
      <c r="A3" t="inlineStr">
        <is>
          <t>Bergamot</t>
        </is>
      </c>
      <c r="B3" t="inlineStr">
        <is>
          <t>Bergamot Orange</t>
        </is>
      </c>
      <c r="C3" t="inlineStr">
        <is>
          <t>Citrus bergamia</t>
        </is>
      </c>
      <c r="D3" t="inlineStr">
        <is>
          <t>PROSPERITY SPELLS, Prosperity, Increasing wealth, Success, Confidence, Happiness, Harmony, Wisdom, Clairvoyance, Fertility, Female fertility, Fertility magic, Fertility charms, Aiding fertility, Increasing fertility, Fruitfulness, Virility, male virility, Abundant harvest, Wealth, Wealth/Prosperity, Attracting business, Business dealings, abundance, Financial arrangements, Aiding gain, Gain, Money, Money spells, Attracting money, Drawing money, INCREASE MONEY, Breaking financial stagnation, Money mixtures, Protecting against poverty, Warding off poverty, Victory, victory in battle, Conquest, Overcoming opposition, Courtroom success, Legal matters, Justice, Self-confidence, Courage, Bravery, Determination, Will Power, Leadership, Leadership skills, Commanding, Personal power, Joy, Joyous celebrations, Contentment, Serenity, Ensuring joy in the home, PEACE &amp; HAPPINESS,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Knowledge, Intelligence, Intuition, Mental clarity, Sharpening the wits, Sharpening the brain, Mental powers, MEM, Memory, Illumination, Enlightenment, Enhancing clairvoyance, Psychic development, Psychic powers, INCREASE PSYCHIC ABILITIES, Psychic awareness, Stimulating psychic senses, Disabling psychic phenomena, Psychic communication, communication and psychic abilities</t>
        </is>
      </c>
      <c r="E3" t="inlineStr">
        <is>
          <t>Associated with prosperity, wealth, and success; often used in money-drawing rituals.</t>
        </is>
      </c>
      <c r="F3" t="inlineStr">
        <is>
          <t>MERCURY</t>
        </is>
      </c>
      <c r="G3" t="inlineStr">
        <is>
          <t>Air</t>
        </is>
      </c>
      <c r="H3" t="inlineStr">
        <is>
          <t>Masculine</t>
        </is>
      </c>
      <c r="I3" t="inlineStr">
        <is>
          <t>Wednesday</t>
        </is>
      </c>
      <c r="J3" t="inlineStr">
        <is>
          <t>ALL</t>
        </is>
      </c>
      <c r="K3" t="inlineStr">
        <is>
          <t>LAMMAS</t>
        </is>
      </c>
      <c r="L3" t="inlineStr">
        <is>
          <t>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t>
        </is>
      </c>
      <c r="M3" t="inlineStr">
        <is>
          <t>Prosperity, success, confidence, uplifting, money, business, clarity</t>
        </is>
      </c>
      <c r="N3" t="inlineStr">
        <is>
          <t>Harmony, Happiness, Strength</t>
        </is>
      </c>
      <c r="O3" t="inlineStr">
        <is>
          <t>*Bergamot Essential Oil*  Also known as: Bergamot Orange.  Botanical source: Citrus bergamia.  Planet: MERCURY  Element: Air  Energy: Masculine  Sacred Day: Wednesday.  Deity associations: ALL.  Sabbat: LAMMAS.  Association: Associated with prosperity, wealth, and success; often used in money-drawing rituals..  Magical uses: PROSPERITY SPELLS, Prosperity.  Powers: Prosperity, success, confidence, uplifting, money, business, clarity.  Spiritual uses: Harmony, Happiness, Strength.  Folk lore: Italian tradition tells of a merchant who was struggling to sell his wares until he rubbed his hands with Bergamot oil. By the end of the day, his store was empty and his pockets were full, leading to the belief that the fruit's golden hue attracts the energy of pure gold and success..  Origin: Italy (Calabria region); cultivated in Mediterranean and tropical climates.</t>
        </is>
      </c>
      <c r="P3" t="inlineStr">
        <is>
          <t>Bergamot</t>
        </is>
      </c>
      <c r="Q3" t="inlineStr">
        <is>
          <t>Italy (Calabria region); cultivated in Mediterranean and tropical climates</t>
        </is>
      </c>
      <c r="R3" t="inlineStr">
        <is>
          <t>Warning: Phototoxic — avoid sun exposure after skin application. Do not ingest.</t>
        </is>
      </c>
      <c r="AA3" t="inlineStr">
        <is>
          <t>Aventurine</t>
        </is>
      </c>
      <c r="AB3" t="inlineStr">
        <is>
          <t>Creativity, motivation, inner peace, business success, intellect, perception, soothing emotions, heartache, clarity, imagination, independence, Happiness, sexuality, Strength, Prosperity, romance.</t>
        </is>
      </c>
      <c r="AR3" t="inlineStr">
        <is>
          <t>Bergamot</t>
        </is>
      </c>
      <c r="AS3" s="42" t="inlineStr">
        <is>
          <t>Air and the brightness of citrus on a clear morning. Prosperity and wealth drawn in on its lift. Success and confidence called in on the same current. Happiness and harmony deepened. Clairvoyance sharpened. Where energy has been flat and abundance needs waking.</t>
        </is>
      </c>
    </row>
    <row r="4" ht="409.5" customHeight="1" s="56">
      <c r="A4" t="inlineStr">
        <is>
          <t>Cedarwood</t>
        </is>
      </c>
      <c r="B4" t="inlineStr">
        <is>
          <t>Sacred Cedar</t>
        </is>
      </c>
      <c r="C4" t="inlineStr">
        <is>
          <t>Cedrus libani / Cedrus atlantica</t>
        </is>
      </c>
      <c r="D4" t="inlineStr">
        <is>
          <t>Purification, Protection, RID OF BAD DREAMS, Prosperity, Nightmare prevention,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Preventing nightmares, Negating dreams, Nightmares, Sleep, Rest, Encouraging sound sleep, Relaxation, Serenity, Calm,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E4" t="inlineStr">
        <is>
          <t>Ancient symbol of longevity, protection, and endurance; used in temple construction.</t>
        </is>
      </c>
      <c r="F4" t="inlineStr">
        <is>
          <t>SUN</t>
        </is>
      </c>
      <c r="G4" t="inlineStr">
        <is>
          <t>Fire, Earth</t>
        </is>
      </c>
      <c r="H4" t="inlineStr">
        <is>
          <t>Masculine</t>
        </is>
      </c>
      <c r="I4" t="inlineStr">
        <is>
          <t>Sunday</t>
        </is>
      </c>
      <c r="J4" t="inlineStr">
        <is>
          <t>ARTEMIS, SECH, PERSEPHONE</t>
        </is>
      </c>
      <c r="K4" t="inlineStr">
        <is>
          <t>YULE</t>
        </is>
      </c>
      <c r="L4" t="inlineStr">
        <is>
          <t>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t>
        </is>
      </c>
      <c r="M4" t="inlineStr">
        <is>
          <t>Protection, purification, strength, longevity, grounding, healing, prosperity</t>
        </is>
      </c>
      <c r="N4" t="inlineStr">
        <is>
          <t>New beginnings, REGROWTH, CALMING &amp; COMF, Attracting good spirits, STRENGTHENING</t>
        </is>
      </c>
      <c r="O4" t="inlineStr">
        <is>
          <t>*Cedarwood Essential Oil*  Also known as: Sacred Cedar.  Botanical source: Cedrus libani / Cedrus atlantica.  Planet: SUN  Element: Fire, Earth  Energy: Masculine  Sacred Day: Sunday.  Deity associations: ARTEMIS, SECH, PERSEPHONE.  Sabbat: YULE.  Association: Ancient symbol of longevity, protection, and endurance; used in temple construction..  Magical uses: Purification, Protection, RID OF BAD DREAMS, Prosperity.  Powers: Protection, purification, strength, longevity, grounding, healing, prosperity.  Spiritual uses: New beginnings, REGROWTH, CALMING &amp; COMF, Attracting good spirits, STRENGTHENING.  Folk lore: Legend says that when the great temples of the ancient world were built, the builders chose cedar not just for its strength, but because it was believed that the trees held the memories of the earth. By using the wood, the temple walls would hold the vibrations of the past, protecting those who entered within..  Origin: Atlas Mountains (Morocco, Algeria); also Himalayan and Virginian varieties.</t>
        </is>
      </c>
      <c r="P4" t="inlineStr">
        <is>
          <t>Cedarwood</t>
        </is>
      </c>
      <c r="Q4" t="inlineStr">
        <is>
          <t>Atlas Mountains (Morocco, Algeria); also Himalayan and Virginian varieties</t>
        </is>
      </c>
      <c r="R4" t="inlineStr">
        <is>
          <t>Warning: Avoid during pregnancy. Do not ingest. May irritate sensitive skin — dilute before use.</t>
        </is>
      </c>
      <c r="S4" t="inlineStr">
        <is>
          <t>ACORN</t>
        </is>
      </c>
      <c r="T4" t="inlineStr">
        <is>
          <t>New beginning spells, Sabbat rituals, Invocation of the Lord, Transformation/Evolution, Physical Strength, Will Power, Lust/Sex, Leadership, Wealth/Prosperity, Courage, Good luck, Protection, Wisdom, Personal power</t>
        </is>
      </c>
      <c r="U4" t="inlineStr">
        <is>
          <t>BAY LAUREL</t>
        </is>
      </c>
      <c r="V4" t="inlineStr">
        <is>
          <t>Clairvoyance, Consecration, Divination, Dreams, Exorcism, Healing, Love, Passion, Protection, Psychic protection, Purification, Wisdom, Wishes, Winter rituals, Yule magic</t>
        </is>
      </c>
      <c r="W4" t="inlineStr">
        <is>
          <t>BLACK TEA</t>
        </is>
      </c>
      <c r="X4" t="inlineStr">
        <is>
          <t>Prosperity, Strength, Fortitude, Good health, Divination, Emotional healing, Calming, Soothing, Reviving, Invigorating</t>
        </is>
      </c>
      <c r="Y4" t="inlineStr">
        <is>
          <t>CEDARWOOD (HIMALAYAN)</t>
        </is>
      </c>
      <c r="Z4" t="inlineStr">
        <is>
          <t>Cleansing atmospheres, Creating sacred spaces, Longevity, Protection, Preservation, Summoning spirits, Invocations, Propriety, Long life, Growth, Dedicating sacred spaces, Solar spells, Strengthening focus, Illumination</t>
        </is>
      </c>
      <c r="AA4" t="inlineStr">
        <is>
          <t>Carnelian</t>
        </is>
      </c>
      <c r="AB4" t="inlineStr">
        <is>
          <t>Happiness, Protection, energy, easing depression, promoting self-confidence, Peace, concentration, focus, Attraction, sexuality, Love, Healing, courage.</t>
        </is>
      </c>
      <c r="AC4" t="inlineStr">
        <is>
          <t>Citrine</t>
        </is>
      </c>
      <c r="AD4"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E4" t="inlineStr">
        <is>
          <t>Sunstone</t>
        </is>
      </c>
      <c r="AF4" t="inlineStr">
        <is>
          <t>Personal power, Healing, overcoming depression, physical energy, Protection, sexual arousal, sexual energy, increasing the energy of healing herbs, Prosperity, Strength, Confidence, independence.</t>
        </is>
      </c>
      <c r="AG4" t="inlineStr">
        <is>
          <t>Tiger Eye gold</t>
        </is>
      </c>
      <c r="AH4" t="inlineStr">
        <is>
          <t>Protects against external stresses, rest, es physical energy, Truth, underst, Attracting good spirits, emotional balance, Luck, good f, Fortune, travel protection, communication, recognition of own faults, overcoming stubb, nness, Confidence, connection with the Earth.</t>
        </is>
      </c>
      <c r="AI4" t="inlineStr">
        <is>
          <t>JERA</t>
        </is>
      </c>
      <c r="AJ4" t="inlineStr">
        <is>
          <t>J/Y</t>
        </is>
      </c>
      <c r="AK4" t="inlineStr">
        <is>
          <t>Harvest spells, Fertility, Fruitfulness, Prosperity, Cycles, Justice, Reward</t>
        </is>
      </c>
      <c r="AR4" t="inlineStr">
        <is>
          <t>Cedarwood</t>
        </is>
      </c>
      <c r="AS4" s="42" t="inlineStr">
        <is>
          <t>Fire and earth, ancient wood smoke rising from high cold slopes. Sacred space created and held. Longevity assured, nightmares turned away at the threshold. Protection and preservation running through it like heartwood. Deep roots for any working that needs to last.</t>
        </is>
      </c>
    </row>
    <row r="5" ht="403.5" customHeight="1" s="56">
      <c r="A5" t="inlineStr">
        <is>
          <t>Clove Bud</t>
        </is>
      </c>
      <c r="B5" t="inlineStr">
        <is>
          <t>Clove</t>
        </is>
      </c>
      <c r="C5" t="inlineStr">
        <is>
          <t>Syzygium aromaticum</t>
        </is>
      </c>
      <c r="D5" t="inlineStr">
        <is>
          <t>Love, Prosperity, Protection, HELP ATTRACT OPPOSITE SEX, Purification, Attraction,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Attracting a mate, Attracting a soulmate, Conjuring a lover, Finding future love,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t>
        </is>
      </c>
      <c r="E5" t="inlineStr">
        <is>
          <t>Used in protection magic and to repel negative energy; traditionally carried to attract prosperity.</t>
        </is>
      </c>
      <c r="F5" t="inlineStr">
        <is>
          <t>JUPITER</t>
        </is>
      </c>
      <c r="G5" t="inlineStr">
        <is>
          <t>Fire</t>
        </is>
      </c>
      <c r="H5" t="inlineStr">
        <is>
          <t>Masculine</t>
        </is>
      </c>
      <c r="I5" t="inlineStr">
        <is>
          <t>Thursday</t>
        </is>
      </c>
      <c r="J5" t="inlineStr">
        <is>
          <t>JUPITER, ZEUS</t>
        </is>
      </c>
      <c r="K5" t="inlineStr">
        <is>
          <t>LAMMAS, MABON</t>
        </is>
      </c>
      <c r="L5" t="inlineStr">
        <is>
          <t>In the Spice Islands, it was whispered that clove buds were the captured sparks of volcanic fire. Healers would carry them to ward off the 'cold' of sickness and the 'darkness' of envy, believing the heat of the clove would burn away any ill-intent before it could touch the owner.</t>
        </is>
      </c>
      <c r="M5" t="inlineStr">
        <is>
          <t>Protection, love, money, exorcism, purification, courage, clarity</t>
        </is>
      </c>
      <c r="N5" t="inlineStr">
        <is>
          <t>INNER WARMTH, INSPIRATION, REGENERATION, MENTAL POWERS</t>
        </is>
      </c>
      <c r="O5" t="inlineStr">
        <is>
          <t>*Clove Bud Essential Oil*  Also known as: Clove.  Botanical source: Syzygium aromaticum.  Planet: JUPITER  Element: Fire  Energy: Masculine  Sacred Day: Thursday.  Deity associations: JUPITER, ZEUS.  Sabbat: LAMMAS, MABON.  Association: Used in protection magic and to repel negative energy; traditionally carried to attract prosperity..  Magical uses: Love, Prosperity, Protection, HELP ATTRACT OPPOSITE SEX, Purification.  Powers: Protection, love, money, exorcism, purification, courage, clarity.  Spiritual uses: INNER WARMTH, INSPIRATION, REGENERATION, MENTAL POWERS.  Folk lore: In the Spice Islands, it was whispered that clove buds were the captured sparks of volcanic fire. Healers would carry them to ward off the 'cold' of sickness and the 'darkness' of envy, believing the heat of the clove would burn away any ill-intent before it could touch the owner..  Origin: Maluku Islands, Indonesia; also Madagascar, Zanzibar, Sri Lanka.</t>
        </is>
      </c>
      <c r="P5" t="inlineStr">
        <is>
          <t>Clove Bud</t>
        </is>
      </c>
      <c r="Q5" t="inlineStr">
        <is>
          <t>Maluku Islands, Indonesia; also Madagascar, Zanzibar, Sri Lanka</t>
        </is>
      </c>
      <c r="R5" t="inlineStr">
        <is>
          <t>Warning: Strong skin irritant — must be heavily diluted before topical use. Do not ingest. Avoid during pregnancy.</t>
        </is>
      </c>
      <c r="S5" t="inlineStr">
        <is>
          <t>CLOVES</t>
        </is>
      </c>
      <c r="T5" t="inlineStr">
        <is>
          <t>Clairvoyance, Divination, Exorcism, Keeping away negative forces, Love, Memory, Money, Passion, Peace of mind, Protection, Psychic protection, Purification, Stopping gossip, Cleansing, Friendship, Psychic development, Release, Spell-breaking</t>
        </is>
      </c>
      <c r="U5" t="inlineStr">
        <is>
          <t>DRAGON'S BLOOD</t>
        </is>
      </c>
      <c r="V5" t="inlineStr">
        <is>
          <t>Bolstering incense, Increasing spell power, Warding, Cleansing, Offertory incense, Consecration, Warding oil, Anointing, Dragon's blood ink, Talismans, Pacts and seals, Grimoire writing</t>
        </is>
      </c>
      <c r="W5" t="inlineStr">
        <is>
          <t>DRAGON'S BLOOD RESIN</t>
        </is>
      </c>
      <c r="X5" t="inlineStr">
        <is>
          <t>Power amplification, protection, love, banishing, and potency spells. Add to any magical working to dramatically increase its power. Burn as incense to cleanse and charge the ritual space. Used in love spells to create intense passion. Write wishes on paper and burn with dragon's blood for manifestation. Excellent for purification and banishing rituals.</t>
        </is>
      </c>
      <c r="Y5" t="inlineStr">
        <is>
          <t>HYSSOP</t>
        </is>
      </c>
      <c r="Z5" t="inlineStr">
        <is>
          <t>Purification, Self-defence, Protection, Sweeping sacred spaces, Cleansing objects, Home protection, Mind protection, Body protection, Dragon energy, Incense burning</t>
        </is>
      </c>
      <c r="AA5" t="inlineStr">
        <is>
          <t>Ametrine</t>
        </is>
      </c>
      <c r="AB5" t="inlineStr">
        <is>
          <t>Astral travel, magickal power, meditation, removing negativity.</t>
        </is>
      </c>
      <c r="AR5" t="inlineStr">
        <is>
          <t>Clove Bud</t>
        </is>
      </c>
      <c r="AS5" s="42" t="inlineStr">
        <is>
          <t>Fire and the heat of deep attraction. Love drawn in directly, prosperity running alongside it. Protection and purification both find it willing. Where love needs drawing and what stands between needs clearing — the oil that does not hesitate.</t>
        </is>
      </c>
    </row>
    <row r="6" ht="409.5" customHeight="1" s="56">
      <c r="A6" t="inlineStr">
        <is>
          <t>Fir Needle</t>
        </is>
      </c>
      <c r="B6" t="inlineStr">
        <is>
          <t>Pine Needle</t>
        </is>
      </c>
      <c r="C6" t="inlineStr">
        <is>
          <t>Abies alba / Abies sibirica</t>
        </is>
      </c>
      <c r="D6" t="inlineStr">
        <is>
          <t>Purification, Cleansing, Protection, Healing,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Protective charm, Protective charms, Protective wreaths, Protective incense, PROTECT AGAINST NEGATIVITY, Protection from negativity, Circle protection, Healing magic, Healing spells, Healing sachets, Healing incenses, Healing mixtures, Healing rituals, Healing incense, Healing vibrations, healing after surgery, Aiding recovery, Aiding the ill, Improving health, Speeding recovery, Good health, health</t>
        </is>
      </c>
      <c r="E6" t="inlineStr">
        <is>
          <t>Associated with purification, protection, and clearing away stagnant energies.</t>
        </is>
      </c>
      <c r="F6" t="inlineStr">
        <is>
          <t>Sun</t>
        </is>
      </c>
      <c r="G6" t="inlineStr">
        <is>
          <t>Air</t>
        </is>
      </c>
      <c r="H6" t="inlineStr">
        <is>
          <t>Masculine</t>
        </is>
      </c>
      <c r="I6" t="inlineStr">
        <is>
          <t>Sunday</t>
        </is>
      </c>
      <c r="J6" t="inlineStr">
        <is>
          <t>ARTEMIS, PAN</t>
        </is>
      </c>
      <c r="K6" t="inlineStr">
        <is>
          <t>IMBOLAC, LAMMAS</t>
        </is>
      </c>
      <c r="L6" t="inlineStr">
        <is>
          <t>In the deep northern forests, it was said that the fir tree never slept. While other trees lost their leaves, the fir remained green to act as a sentinel. Villagers would hang branches over their doors, believing the tree’s spirit would stand watch and sweep away any restless or wandering spirits that tried to disturb the home.</t>
        </is>
      </c>
      <c r="M6" t="inlineStr">
        <is>
          <t>Healing, purification, new beginnings, strength, prosperity, protection</t>
        </is>
      </c>
      <c r="N6" t="inlineStr">
        <is>
          <t>Used in ritual and ceremonial magic for purification, cleansing, protection, healing</t>
        </is>
      </c>
      <c r="O6" t="inlineStr">
        <is>
          <t>*Fir Needle Essential Oil*  Also known as: Pine Needle.  Botanical source: Abies alba / Abies sibirica.  Planet: Sun  Element: Air  Energy: Masculine  Sacred Day: Sunday.  Deity associations: ARTEMIS, PAN.  Sabbat: IMBOLAC, LAMMAS.  Association: Associated with purification, protection, and clearing away stagnant energies..  Magical uses: Purification, Cleansing, Protection, Healing.  Powers: Healing, purification, new beginnings, strength, prosperity, protection.  Spiritual uses: Used in ritual and ceremonial magic for purification, cleansing, protection, healing.  Folk lore: In the deep northern forests, it was said that the fir tree never slept. While other trees lost their leaves, the fir remained green to act as a sentinel. Villagers would hang branches over their doors, believing the tree’s spirit would stand watch and sweep away any restless or wandering spirits that tried to disturb the home..  Origin: Northern Europe, North America, Siberia (coniferous forests).</t>
        </is>
      </c>
      <c r="P6" t="inlineStr">
        <is>
          <t>Fir Needle</t>
        </is>
      </c>
      <c r="Q6" t="inlineStr">
        <is>
          <t>Northern Europe, North America, Siberia (coniferous forests)</t>
        </is>
      </c>
      <c r="R6" t="inlineStr">
        <is>
          <t>Warning: May cause skin irritation in sensitive individuals. Do not ingest. Avoid during pregnancy.</t>
        </is>
      </c>
      <c r="AI6" t="inlineStr">
        <is>
          <t>SOWILO</t>
        </is>
      </c>
      <c r="AJ6" t="inlineStr">
        <is>
          <t>S/C</t>
        </is>
      </c>
      <c r="AK6" t="inlineStr">
        <is>
          <t>Vict, Clairvoyance, Truth, Light, Energy, Prosperity, Healing, Sun God offerings, Clarity</t>
        </is>
      </c>
      <c r="AR6" t="inlineStr">
        <is>
          <t>Fir Needle</t>
        </is>
      </c>
      <c r="AS6" s="42" t="inlineStr">
        <is>
          <t>Air and the cold breath of northern forests, the oil of the clean beginning. Purification and cleansing carried on its sharp scent. Protection and healing deepened. New beginnings energy at its most direct. Where the space needs clearing before anything else can start.</t>
        </is>
      </c>
    </row>
    <row r="7" ht="409.5" customHeight="1" s="56">
      <c r="A7" t="inlineStr">
        <is>
          <t>Frankincense</t>
        </is>
      </c>
      <c r="B7" t="inlineStr">
        <is>
          <t>Olibanum</t>
        </is>
      </c>
      <c r="C7" t="inlineStr">
        <is>
          <t>Boswellia sacra / Boswellia carterii</t>
        </is>
      </c>
      <c r="D7" t="inlineStr">
        <is>
          <t>Luck, Protection, SPIRITUALITY, PROTECT AGAINST NEGATIVITY, EXC, Exorcism, Contacting planes, Protection (hexes/evil),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Protective charm, Protective charms, Protective sachets, Protective wreaths, Protective incense, Protection from negativity, Circle protection,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Contacting other planes, Communion with spirits, Communing with the departed, Communing with otherworldly entities, Spirit work, SISM,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 Psychic protection, Psychic shielding, Protection from hexes, Protection from conjure, Protection from evil, Protection from evil spirits, Protection from hauntings, Ju-ju / gris-gris protection, Guarding against sorcery, Guarding against evil, Protection against the evil eye, Warding off the Evil Eye, Warding off hexes, Warding, Warding off evil, Warding off illness, Warding negativity, Bad luck warding, Sickness warding, Warding off evil influences, Warding off sickness, Dispelling sickness, Removing sickness, Removing mental troubles, Keeping illness away, Keeping sickness away, Curing fevers, Dispelling melancholy, Preventing illness, Protection against disease</t>
        </is>
      </c>
      <c r="E7" t="inlineStr">
        <is>
          <t>Sacred to the sun; used for thousands of years in temple rites, meditation, and spiritual elevation.</t>
        </is>
      </c>
      <c r="F7" t="inlineStr">
        <is>
          <t>SUN</t>
        </is>
      </c>
      <c r="G7" t="inlineStr">
        <is>
          <t>Fire</t>
        </is>
      </c>
      <c r="H7" t="inlineStr">
        <is>
          <t>Masculine</t>
        </is>
      </c>
      <c r="I7" t="inlineStr">
        <is>
          <t>Sunday</t>
        </is>
      </c>
      <c r="J7" t="inlineStr">
        <is>
          <t>RA, BAAL, APHRODITE, VENUS, SOL</t>
        </is>
      </c>
      <c r="K7" t="inlineStr">
        <is>
          <t>LITHA</t>
        </is>
      </c>
      <c r="L7" t="inlineStr">
        <is>
          <t>It is said that in the time when the world was new, the gods walked among men. When they ascended, they left behind the resin of the Frankincense tree as a bridge. It is believed that its smoke carries human prayers upward, acting as a messenger that reaches the ears of the divine.</t>
        </is>
      </c>
      <c r="M7" t="inlineStr">
        <is>
          <t>Purification, protection, consecration, spiritual elevation, meditation, healing</t>
        </is>
      </c>
      <c r="N7" t="inlineStr">
        <is>
          <t>ENLIGHTENMENT, INSPIRATION, INTROSPECTION, AIDS MEDITATION</t>
        </is>
      </c>
      <c r="O7" t="inlineStr">
        <is>
          <t>*Frankincense Essential Oil*  Also known as: Olibanum.  Botanical source: Boswellia sacra / Boswellia carterii.  Planet: SUN  Element: Fire  Energy: Masculine  Sacred Day: Sunday.  Deity associations: RA, BAAL, APHRODITE, VENUS, SOL.  Sabbat: LITHA.  Association: Sacred to the sun; used for thousands of years in temple rites, meditation, and spiritual elevation..  Magical uses: Luck, Protection, SPIRITUALITY, PROTECT AGAINST NEGATIVITY, EXC, Exorcism.  Powers: Purification, protection, consecration, spiritual elevation, meditation, healing.  Spiritual uses: ENLIGHTENMENT, INSPIRATION, INTROSPECTION, AIDS MEDITATION.  Folk lore: It is said that in the time when the world was new, the gods walked among men. When they ascended, they left behind the resin of the Frankincense tree as a bridge. It is believed that its smoke carries human prayers upward, acting as a messenger that reaches the ears of the divine..  Origin: Somalia, Ethiopia, Oman, Yemen (dry rocky terrain and hillsides).</t>
        </is>
      </c>
      <c r="P7" t="inlineStr">
        <is>
          <t>Frankincense</t>
        </is>
      </c>
      <c r="Q7" t="inlineStr">
        <is>
          <t>Somalia, Ethiopia, Oman, Yemen (dry rocky terrain and hillsides)</t>
        </is>
      </c>
      <c r="R7" t="inlineStr">
        <is>
          <t>Warning: Do not ingest. Avoid during pregnancy in large amounts. May interact with blood-thinning medications.</t>
        </is>
      </c>
      <c r="S7" t="inlineStr">
        <is>
          <t>FRANKINCENSE</t>
        </is>
      </c>
      <c r="T7" t="inlineStr">
        <is>
          <t>Offerings to Sun Gods, Fumigation, Removing negativity, Exorcism, Incense blends, Smudging, Raising energy, Ritual offerings</t>
        </is>
      </c>
      <c r="AA7" t="inlineStr">
        <is>
          <t>Ametrine</t>
        </is>
      </c>
      <c r="AB7" t="inlineStr">
        <is>
          <t>Astral travel, magickal power, meditation, removing negativity.</t>
        </is>
      </c>
      <c r="AC7" t="inlineStr">
        <is>
          <t>Carnelian</t>
        </is>
      </c>
      <c r="AD7" t="inlineStr">
        <is>
          <t>Happiness, Protection, energy, easing depression, promoting self-confidence, Peace, concentration, focus, Attraction, sexuality, Love, Healing, courage.</t>
        </is>
      </c>
      <c r="AE7" t="inlineStr">
        <is>
          <t>Citrine</t>
        </is>
      </c>
      <c r="AF7"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G7" t="inlineStr">
        <is>
          <t>Quartz Clear</t>
        </is>
      </c>
      <c r="AH7" t="inlineStr">
        <is>
          <t>Protection, Healing, psychism, Strength, lactation</t>
        </is>
      </c>
      <c r="AR7" t="inlineStr">
        <is>
          <t>Frankincense</t>
        </is>
      </c>
      <c r="AS7" s="42" t="inlineStr">
        <is>
          <t>The wounded tree's golden tears hardened in desert heat, its smoke rising before anything else is lit. Purifying, protecting, lifting the space toward the sacred. Drives out what should not be present. Where the divine needs inviting in, this burns first.</t>
        </is>
      </c>
    </row>
    <row r="8" ht="409.5" customHeight="1" s="56">
      <c r="A8" t="inlineStr">
        <is>
          <t>Geranium</t>
        </is>
      </c>
      <c r="B8" t="inlineStr">
        <is>
          <t>Storksbill</t>
        </is>
      </c>
      <c r="C8" t="inlineStr">
        <is>
          <t>Pelargonium graveolens</t>
        </is>
      </c>
      <c r="D8" t="inlineStr">
        <is>
          <t>Love, Fertility, Healing, Protection,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Protective charm, Protective charms, Protective sachets, Protective wreaths, Protective incense, PROTECT AGAINST NEGATIVITY, Protection from negativity, Circle protection</t>
        </is>
      </c>
      <c r="E8" t="inlineStr">
        <is>
          <t>Used in protection magic for the home and to foster balance and harmony.</t>
        </is>
      </c>
      <c r="F8" t="inlineStr">
        <is>
          <t>VENUS</t>
        </is>
      </c>
      <c r="G8" t="inlineStr">
        <is>
          <t>Air</t>
        </is>
      </c>
      <c r="H8" t="inlineStr">
        <is>
          <t>Feminine</t>
        </is>
      </c>
      <c r="I8" t="inlineStr">
        <is>
          <t>Friday</t>
        </is>
      </c>
      <c r="J8" t="inlineStr">
        <is>
          <t>APHRODITE, VENUS</t>
        </is>
      </c>
      <c r="K8" t="inlineStr">
        <is>
          <t>SAMHAIN, YULE</t>
        </is>
      </c>
      <c r="L8" t="inlineStr">
        <is>
          <t>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t>
        </is>
      </c>
      <c r="M8" t="inlineStr">
        <is>
          <t>Love, happiness, protection, healing, fertility, balance, calm</t>
        </is>
      </c>
      <c r="N8" t="inlineStr">
        <is>
          <t>ASSURANCE, Harmony, Peace, ANTI-DEPRESSANT</t>
        </is>
      </c>
      <c r="O8" t="inlineStr">
        <is>
          <t>*Geranium Essential Oil*  Also known as: Storksbill.  Botanical source: Pelargonium graveolens.  Planet: VENUS  Element: Air  Energy: Feminine  Sacred Day: Friday.  Deity associations: APHRODITE, VENUS.  Sabbat: SAMHAIN, YULE.  Association: Used in protection magic for the home and to foster balance and harmony..  Magical uses: Love, Fertility, Healing, Protection.  Powers: Love, happiness, protection, healing, fertility, balance, calm.  Spiritual uses: ASSURANCE, Harmony, Peace, ANTI-DEPRESSANT.  Folk lore: An old folk tale tells of a humble cottage where the window was always bare. One day, a woman planted a Geranium, and it is said that the plant acted as a shield. Thieves would look at the house and see only a fortress, as the plant’s protective energy blinded them to the riches inside..  Origin: South Africa, Réunion, Egypt, Morocco (cultivated globally).</t>
        </is>
      </c>
      <c r="P8" t="inlineStr">
        <is>
          <t>Geranium</t>
        </is>
      </c>
      <c r="Q8" t="inlineStr">
        <is>
          <t>South Africa, Réunion, Egypt, Morocco (cultivated globally)</t>
        </is>
      </c>
      <c r="R8" t="inlineStr">
        <is>
          <t>Warning: May cause skin sensitisation. Avoid during first trimester of pregnancy. Do not ingest.</t>
        </is>
      </c>
      <c r="S8" t="inlineStr">
        <is>
          <t>GOLDENROD</t>
        </is>
      </c>
      <c r="T8" t="inlineStr">
        <is>
          <t>Love rituals, Finding future love, Love sealing, Prophecy, Divination, Dowsing, Treasure seeking, Lost object finding, Inner attunement, Foretelling the future, Future rituals, Daily sachets</t>
        </is>
      </c>
      <c r="AA8" t="inlineStr">
        <is>
          <t>quartz Rose</t>
        </is>
      </c>
      <c r="AB8" t="inlineStr">
        <is>
          <t>Confidence, Peace, Fertility, creativity, Love, compassion, beauty, Fidelity, Happiness</t>
        </is>
      </c>
      <c r="AC8" t="inlineStr">
        <is>
          <t>Seraphinite</t>
        </is>
      </c>
      <c r="AD8" t="inlineStr">
        <is>
          <t>Purification, centering, compassion, healing.</t>
        </is>
      </c>
      <c r="AI8" t="inlineStr">
        <is>
          <t>ANSUZ</t>
        </is>
      </c>
      <c r="AJ8" t="inlineStr">
        <is>
          <t>A</t>
        </is>
      </c>
      <c r="AK8" t="inlineStr">
        <is>
          <t>Divination, Prophetic dreams, Communication, Wisdom, Clairvoyance, Star magick, Truth</t>
        </is>
      </c>
      <c r="AR8" t="inlineStr">
        <is>
          <t>Geranium</t>
        </is>
      </c>
      <c r="AS8" s="42" t="inlineStr">
        <is>
          <t>Air and the balanced garden in full summer. Love, fertility and healing carried in its floral depth. Protection held, calm restored. Where emotional balance is needed and the working asks for both love energy and grounded protection in equal measure.</t>
        </is>
      </c>
    </row>
    <row r="9" ht="409.5" customHeight="1" s="56">
      <c r="A9" t="inlineStr">
        <is>
          <t>Honeysuckle</t>
        </is>
      </c>
      <c r="B9" t="inlineStr">
        <is>
          <t>Woodbine</t>
        </is>
      </c>
      <c r="C9" t="inlineStr">
        <is>
          <t>Lonicera caprifolium</t>
        </is>
      </c>
      <c r="D9" t="inlineStr">
        <is>
          <t>INCREASE PSYCHIC ABILITIES, INCREASE MONEY, Protection, Clairvoyance, Increasing wealth, Enhancing clairvoyance, Psychic development, Psychic powers, Psychic awareness, Stimulating psychic senses, Disabling psychic phenomena, Psychic communication, communication and psychic abilities, Fertility, Female fertility, Fertility magic, Fertility charms, Aiding fertility, Increasing fertility, Fruitfulness, Virility, male virility, Abundant harvest, Prosperity, Wealth, Wealth/Prosperity, Attracting business, Business dealings, abundance, Financial arrangements, Aiding gain, Gain, PROSPERITY SPELLS, Money, Money spells, Attracting money, Drawing money, Breaking financial stagnation, Money mixtures, Protecting against poverty, Warding off poverty, Protective charm, Protective charms, Protective sachets, Protective wreaths, Protective incense, PROTECT AGAINST NEGATIVITY, Protection from negativity, Circle protection</t>
        </is>
      </c>
      <c r="E9" t="inlineStr">
        <is>
          <t>Symbolizes love and fidelity; used in rituals to attract luck and improve intuition.</t>
        </is>
      </c>
      <c r="F9" t="inlineStr">
        <is>
          <t>JUPITER</t>
        </is>
      </c>
      <c r="G9" t="inlineStr">
        <is>
          <t>Water</t>
        </is>
      </c>
      <c r="H9" t="inlineStr">
        <is>
          <t>Feminine</t>
        </is>
      </c>
      <c r="I9" t="inlineStr">
        <is>
          <t>Thursday</t>
        </is>
      </c>
      <c r="J9" t="inlineStr">
        <is>
          <t>APHRODITE, FAUNA</t>
        </is>
      </c>
      <c r="K9" t="inlineStr">
        <is>
          <t>BELTANE, YULE</t>
        </is>
      </c>
      <c r="L9" t="inlineStr">
        <is>
          <t>In the language of the fae, honeysuckle is known as the 'honey of the woods.' It is said that if you place a blossom under your pillow, you will dream of the location of hidden treasures—not just of gold, but of lost loves and forgotten truths.</t>
        </is>
      </c>
      <c r="M9" t="inlineStr">
        <is>
          <t>Love, luck, money, prosperity, psychic awareness, healing, protection</t>
        </is>
      </c>
      <c r="N9" t="inlineStr">
        <is>
          <t>RELAXING, SOOTHING, UPLIFTING, PSYCHIC POWERS</t>
        </is>
      </c>
      <c r="O9" t="inlineStr">
        <is>
          <t>*Honeysuckle Essential Oil*  Also known as: Woodbine.  Botanical source: Lonicera caprifolium.  Planet: JUPITER  Element: Water  Energy: Feminine  Sacred Day: Thursday.  Deity associations: APHRODITE, FAUNA.  Sabbat: BELTANE, YULE.  Association: Symbolizes love and fidelity; used in rituals to attract luck and improve intuition..  Magical uses: INCREASE PSYCHIC ABILITIES, INCREASE MONEY, Protection.  Powers: Love, luck, money, prosperity, psychic awareness, healing, protection.  Spiritual uses: RELAXING, SOOTHING, UPLIFTING, PSYCHIC POWERS.  Folk lore: In the language of the fae, honeysuckle is known as the 'honey of the woods.' It is said that if you place a blossom under your pillow, you will dream of the location of hidden treasures—not just of gold, but of lost loves and forgotten truths..  Origin: Europe, Asia, North America (hedgerows, woodland edges).</t>
        </is>
      </c>
      <c r="P9" t="inlineStr">
        <is>
          <t>Honeysuckle</t>
        </is>
      </c>
      <c r="Q9" t="inlineStr">
        <is>
          <t>Europe, Asia, North America (hedgerows, woodland edges)</t>
        </is>
      </c>
      <c r="R9" t="inlineStr">
        <is>
          <t>Warning: Do not ingest. May cause skin irritation in sensitive individuals.</t>
        </is>
      </c>
      <c r="S9" t="inlineStr">
        <is>
          <t>COMFREY</t>
        </is>
      </c>
      <c r="T9" t="inlineStr">
        <is>
          <t>Healing, Travel safety, Money spells, Protection for travellers, Protection against theft, Luggage protection, Faithfulness, Vehicle protection, Casino luck, Borage substitute, Ritual bath, Divination, Concentration, Letting go of relationships</t>
        </is>
      </c>
      <c r="U9" t="inlineStr">
        <is>
          <t>COMFREY ROOT</t>
        </is>
      </c>
      <c r="V9" t="inlineStr">
        <is>
          <t>Protection during travel, money spells, and healing rituals. Carry the root when travelling to ensure safe return. Place in luggage to prevent theft. Used in prosperity spells — the root is said to draw money steadily and reliably. Add to healing sachets for persistent, strengthening healing energy.</t>
        </is>
      </c>
      <c r="W9" t="inlineStr">
        <is>
          <t>ELDERFLOWER</t>
        </is>
      </c>
      <c r="X9" t="inlineStr">
        <is>
          <t>Protection from hexes, Protection from ill-intent, Homestead protection, Bad luck warding, Sickness warding, Wand making, Stave making, Spirit-inviting music, Protective incense, Inviting spirits, Circle protection, Summoning protection</t>
        </is>
      </c>
      <c r="Y9" t="inlineStr">
        <is>
          <t>LINDEN</t>
        </is>
      </c>
      <c r="Z9" t="inlineStr">
        <is>
          <t>Love, creativity, enlightenment, healing, enchantments, prosperity, peace, luck, protection, binding spells, contacting other planes</t>
        </is>
      </c>
      <c r="AA9" t="inlineStr">
        <is>
          <t>Amethyst</t>
        </is>
      </c>
      <c r="AB9" t="inlineStr">
        <is>
          <t>Transmuting negative to positive, increasing spiritual awareness, Peace, soothing, repelling negative vibrations, overcoming addiction, Love, Happiness, Protection, good judgment, Negating dreams, New beginnings, stability, Fertility, eloquence, common sense, compassion</t>
        </is>
      </c>
      <c r="AC9" t="inlineStr">
        <is>
          <t>Ametrine</t>
        </is>
      </c>
      <c r="AD9" t="inlineStr">
        <is>
          <t>Astral travel, magickal power, meditation, removing negativity.</t>
        </is>
      </c>
      <c r="AE9" t="inlineStr">
        <is>
          <t>Goldstone</t>
        </is>
      </c>
      <c r="AF9" t="inlineStr">
        <is>
          <t>Hope, protection.</t>
        </is>
      </c>
      <c r="AG9" t="inlineStr">
        <is>
          <t>Iolite</t>
        </is>
      </c>
      <c r="AH9" t="inlineStr">
        <is>
          <t>Truth, Peace, psychic ability, curiosity, spiritual growth, leadership.</t>
        </is>
      </c>
      <c r="AR9" t="inlineStr">
        <is>
          <t>Honeysuckle</t>
        </is>
      </c>
      <c r="AS9" s="42" t="inlineStr">
        <is>
          <t>Water and the sweetness of the climbing vine reaching for light. Psychic abilities heightened in its presence. Money and prosperity drawn in on its scent. Protection maintained. Where clairvoyance needs opening and abundance needs calling in on the same current.</t>
        </is>
      </c>
    </row>
    <row r="10" ht="409.5" customHeight="1" s="56">
      <c r="A10" t="inlineStr">
        <is>
          <t>Juniper</t>
        </is>
      </c>
      <c r="B10" t="inlineStr">
        <is>
          <t>Genever</t>
        </is>
      </c>
      <c r="C10" t="inlineStr">
        <is>
          <t>Juniperus communis</t>
        </is>
      </c>
      <c r="D10" t="inlineStr">
        <is>
          <t>AID MEDITATION, Healing, Love, Protection, Meditation,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Protective charm, Protective charms, Protective sachets, Protective wreaths, Protective incense, PROTECT AGAINST NEGATIVITY, Protection from negativity, Circle protection</t>
        </is>
      </c>
      <c r="E10" t="inlineStr">
        <is>
          <t>Known as a powerful guardian; sprigs were burned to cleanse spaces and protect against illness.</t>
        </is>
      </c>
      <c r="F10" t="inlineStr">
        <is>
          <t>SUN</t>
        </is>
      </c>
      <c r="G10" t="inlineStr">
        <is>
          <t>Fire</t>
        </is>
      </c>
      <c r="H10" t="inlineStr">
        <is>
          <t>Masculine</t>
        </is>
      </c>
      <c r="I10" t="inlineStr">
        <is>
          <t>Sunday</t>
        </is>
      </c>
      <c r="J10" t="inlineStr">
        <is>
          <t>JUPITER, ZEUS</t>
        </is>
      </c>
      <c r="K10" t="inlineStr">
        <is>
          <t>LAMMAS</t>
        </is>
      </c>
      <c r="L10" t="inlineStr">
        <is>
          <t>In the old mountain villages, people believed that Juniper was the 'Gatekeeper.' When someone was ill, they would burn branches in the sickroom, believing the smoke created a circle of light that the shadow of death could not cross, ensuring the soul stayed firmly in the body.</t>
        </is>
      </c>
      <c r="M10" t="inlineStr">
        <is>
          <t>Protection, purification, healing, love, psychic power, anti-theft</t>
        </is>
      </c>
      <c r="N10" t="inlineStr">
        <is>
          <t>ENLIGHTENMENT, INNER VISION, SINCERITY, UPLIFTING, CENTRING</t>
        </is>
      </c>
      <c r="O10" t="inlineStr">
        <is>
          <t>*Juniper Essential Oil*  Also known as: Genever.  Botanical source: Juniperus communis.  Planet: SUN  Element: Fire  Energy: Masculine  Sacred Day: Sunday.  Deity associations: JUPITER, ZEUS.  Sabbat: LAMMAS.  Association: Known as a powerful guardian; sprigs were burned to cleanse spaces and protect against illness..  Magical uses: AID MEDITATION, Healing, Love, Protection.  Powers: Protection, purification, healing, love, psychic power, anti-theft.  Spiritual uses: ENLIGHTENMENT, INNER VISION, SINCERITY, UPLIFTING, CENTRING.  Folk lore: In the old mountain villages, people believed that Juniper was the 'Gatekeeper.' When someone was ill, they would burn branches in the sickroom, believing the smoke created a circle of light that the shadow of death could not cross, ensuring the soul stayed firmly in the body..  Origin: Northern hemisphere — Europe, Asia, North America (rocky, mountainous terrain).</t>
        </is>
      </c>
      <c r="P10" t="inlineStr">
        <is>
          <t>Juniper</t>
        </is>
      </c>
      <c r="Q10" t="inlineStr">
        <is>
          <t>Northern hemisphere — Europe, Asia, North America (rocky, mountainous terrain)</t>
        </is>
      </c>
      <c r="R10" t="inlineStr">
        <is>
          <t>Warning: Avoid during pregnancy and if suffering from kidney disease. Do not ingest essential oil.</t>
        </is>
      </c>
      <c r="S10" t="inlineStr">
        <is>
          <t>JUNIPER BERRIES</t>
        </is>
      </c>
      <c r="T10" t="inlineStr">
        <is>
          <t>Anti-theft, Love, Exorcism, Health, Purification, Protection, Potency, Psychic powers, Attracting love</t>
        </is>
      </c>
      <c r="AA10" t="inlineStr">
        <is>
          <t>Ametrine</t>
        </is>
      </c>
      <c r="AB10" t="inlineStr">
        <is>
          <t>Astral travel, magickal power, meditation, removing negativity.</t>
        </is>
      </c>
      <c r="AC10" t="inlineStr">
        <is>
          <t>Carnelian</t>
        </is>
      </c>
      <c r="AD10" t="inlineStr">
        <is>
          <t>Happiness, Protection, energy, easing depression, promoting self-confidence, Peace, concentration, focus, Attraction, sexuality, Love, Healing, courage.</t>
        </is>
      </c>
      <c r="AE10" t="inlineStr">
        <is>
          <t>Citrine</t>
        </is>
      </c>
      <c r="AF10"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G10" t="inlineStr">
        <is>
          <t>Quartz Clear</t>
        </is>
      </c>
      <c r="AH10" t="inlineStr">
        <is>
          <t>Protection, Healing, psychism, Strength, lactation</t>
        </is>
      </c>
      <c r="AR10" t="inlineStr">
        <is>
          <t>Juniper</t>
        </is>
      </c>
      <c r="AS10" s="42" t="inlineStr">
        <is>
          <t>Fire and the sharp clean air of high ground, the oil of the purified space. Meditation deepened, healing supported. Love and protection both find it willing. Psychic power sharpened. Where the mind needs stilling and the space needs everything that should not be present removed.</t>
        </is>
      </c>
    </row>
    <row r="11" ht="409.5" customHeight="1" s="56">
      <c r="A11" t="inlineStr">
        <is>
          <t>Lavender</t>
        </is>
      </c>
      <c r="B11" t="inlineStr">
        <is>
          <t>Nardus</t>
        </is>
      </c>
      <c r="C11" t="inlineStr">
        <is>
          <t>Lavandula angustifolia</t>
        </is>
      </c>
      <c r="D11" t="inlineStr">
        <is>
          <t>MEM, Clairvoyance, PEACE &amp; HAPPINESS, Purification, Happiness, Wisdom, Harmony, Memory, Knowledge, Intelligence, Intuition, Mental clarity, Sharpening the wits, Sharpening the brain, Mental powers, Concentration, Focus, Illumination, Enlightenment, Enhancing clairvoyance, Psychic development, Psychic powers, INCREASE PSYCHIC ABILITIES, Psychic awareness, Stimulating psychic senses, Disabling psychic phenomena, Psychic communication, communication and psychic abilities,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Joy, Joyous celebrations, Contentment</t>
        </is>
      </c>
      <c r="E11" t="inlineStr">
        <is>
          <t>Herb of peace and clarity; used for purification, calm, and protection against the 'evil eye'.</t>
        </is>
      </c>
      <c r="F11" t="inlineStr">
        <is>
          <t>MERCURY</t>
        </is>
      </c>
      <c r="G11" t="inlineStr">
        <is>
          <t>Air</t>
        </is>
      </c>
      <c r="H11" t="inlineStr">
        <is>
          <t>Feminine</t>
        </is>
      </c>
      <c r="I11" t="inlineStr">
        <is>
          <t>Wednesday</t>
        </is>
      </c>
      <c r="J11" t="inlineStr">
        <is>
          <t>HECATE, SATURN</t>
        </is>
      </c>
      <c r="K11" t="inlineStr">
        <is>
          <t>OSTARA, SAMHAIN</t>
        </is>
      </c>
      <c r="L11" t="inlineStr">
        <is>
          <t>The story goes that lavender was once a simple herb, but it was blessed by the moon. On midsummer nights, it is said that the flowers glow with a soft, silver light that calms the most troubled heart, washing away the stresses of the day as if they were nothing more than dust.</t>
        </is>
      </c>
      <c r="M11" t="inlineStr">
        <is>
          <t>Love, protection, purification, sleep, psychic power, healing, calm</t>
        </is>
      </c>
      <c r="N11" t="inlineStr">
        <is>
          <t>REST, ATIVE, Peace, BALANCING, STIMULATING</t>
        </is>
      </c>
      <c r="O11" t="inlineStr">
        <is>
          <t>*Lavender Essential Oil*  Also known as: Nardus.  Botanical source: Lavandula angustifolia.  Planet: MERCURY  Element: Air  Energy: Feminine  Sacred Day: Wednesday.  Deity associations: HECATE, SATURN.  Sabbat: OSTARA, SAMHAIN.  Association: Herb of peace and clarity; used for purification, calm, and protection against the 'evil eye'..  Magical uses: MEM, Clairvoyance, PEACE &amp; HAPPINESS, Purification, Happiness.  Powers: Love, protection, purification, sleep, psychic power, healing, calm.  Spiritual uses: REST, ATIVE, Peace, BALANCING, STIMULATING.  Folk lore: The story goes that lavender was once a simple herb, but it was blessed by the moon. On midsummer nights, it is said that the flowers glow with a soft, silver light that calms the most troubled heart, washing away the stresses of the day as if they were nothing more than dust..  Origin: Mediterranean region, southern Europe; widely cultivated globally.</t>
        </is>
      </c>
      <c r="P11" t="inlineStr">
        <is>
          <t>Lavender</t>
        </is>
      </c>
      <c r="Q11" t="inlineStr">
        <is>
          <t>Mediterranean region, southern Europe; widely cultivated globally</t>
        </is>
      </c>
      <c r="R11" t="inlineStr">
        <is>
          <t>Generally safe. Avoid ingesting the essential oil. May cause skin irritation in sensitive individuals.</t>
        </is>
      </c>
      <c r="S11" t="inlineStr">
        <is>
          <t>CARAWAY</t>
        </is>
      </c>
      <c r="T11" t="inlineStr">
        <is>
          <t>Fidelity, Love, Memory, Passion, Preventing theft, Protection, Retention, Sensuality, Consecration, Fertility, Gain, Honesty, Keeping secrets, Peace of mind</t>
        </is>
      </c>
      <c r="U11" t="inlineStr">
        <is>
          <t>CLOVER</t>
        </is>
      </c>
      <c r="V11" t="inlineStr">
        <is>
          <t>Fidelity, Love, Money, Protection, Blessing domestic animals, Financial arrangements, Removing negative spirits, Ritual baths, Prosperity, Floor washes, Shamanic work, Otherworld travel, Out-of-body protection, Walking between worlds, Protective charm</t>
        </is>
      </c>
      <c r="W11" t="inlineStr">
        <is>
          <t>CLOVER RED</t>
        </is>
      </c>
      <c r="X11" t="inlineStr">
        <is>
          <t>Amulets, Driving away negativity, Calmness, Soothing nervousness, Desire, Fidelity, Loyalty, Cleansing baths, Attracting money, Breaking financial stagnation, Love philtres, Fixing spells, Lust</t>
        </is>
      </c>
      <c r="Y11" t="inlineStr">
        <is>
          <t>LAVENDER FLOWERS</t>
        </is>
      </c>
      <c r="Z11" t="inlineStr">
        <is>
          <t>Clairvoyance, Cleansing, Consecration, Happiness, Healing, Love, Midsummer magic, Money, Passion, Peace, Peace of mind, Protection, Psychic protection, Purification, Tranquillity, Blessings, Chastity, Divination, Dreams, Energy, Gentleness, Good luck, Grieving, Harmony, Keeping secrets, Magic, Meditation, Memory, Psychic development, Retention, Ritual, Sleep, Stability, Virility, Weddings</t>
        </is>
      </c>
      <c r="AA11" t="inlineStr">
        <is>
          <t>Aventurine</t>
        </is>
      </c>
      <c r="AB11" t="inlineStr">
        <is>
          <t>Creativity, motivation, inner peace, business success, intellect, perception, soothing emotions, heartache, clarity, imagination, independence, Happiness, sexuality, Strength, Prosperity, romance.</t>
        </is>
      </c>
      <c r="AR11" t="inlineStr">
        <is>
          <t>Lavender</t>
        </is>
      </c>
      <c r="AS11" s="42" t="inlineStr">
        <is>
          <t>Purple hillside and the drowsy hum of bees in full sun. Clairvoyance carried in its calm. Happiness, healing and love drawn gently together. Harmony where there was discord, peace where there was noise. Memory preserved. Softens what is harsh, clarifies what is clouded.</t>
        </is>
      </c>
    </row>
    <row r="12" ht="409.5" customHeight="1" s="56">
      <c r="A12" t="inlineStr">
        <is>
          <t>Lemon</t>
        </is>
      </c>
      <c r="B12" t="inlineStr">
        <is>
          <t>Citron</t>
        </is>
      </c>
      <c r="C12" t="inlineStr">
        <is>
          <t>Citrus limonum</t>
        </is>
      </c>
      <c r="D12" t="inlineStr">
        <is>
          <t>Purification, Love, FRIENDSHIP, Harmony,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t>
        </is>
      </c>
      <c r="E12" t="inlineStr">
        <is>
          <t>Used for purification and cleansing rituals; associated with solar energy.</t>
        </is>
      </c>
      <c r="F12" t="inlineStr">
        <is>
          <t>MOON</t>
        </is>
      </c>
      <c r="G12" t="inlineStr">
        <is>
          <t>Air</t>
        </is>
      </c>
      <c r="H12" t="inlineStr">
        <is>
          <t>Masculine</t>
        </is>
      </c>
      <c r="I12" t="inlineStr">
        <is>
          <t>Monday</t>
        </is>
      </c>
      <c r="J12" t="inlineStr">
        <is>
          <t>LUNA, SELENE</t>
        </is>
      </c>
      <c r="K12" t="inlineStr">
        <is>
          <t>LITHA</t>
        </is>
      </c>
      <c r="L12" t="inlineStr">
        <is>
          <t>It was common practice in the Mediterranean to keep a bowl of lemons near the hearth. It was said that the lemon’s sourness could 'eat' the malice of visitors. If someone entered with a bitter heart, the lemon would absorb the negativity, keeping the family home sweet and secure.</t>
        </is>
      </c>
      <c r="M12" t="inlineStr">
        <is>
          <t>Purification, healing, love, lunar magic, happiness, clarity</t>
        </is>
      </c>
      <c r="N12" t="inlineStr">
        <is>
          <t>AWARENESS, CLARITY, REJUVENATION, Peace</t>
        </is>
      </c>
      <c r="O12" t="inlineStr">
        <is>
          <t>*Lemon Essential Oil*  Also known as: Citron.  Botanical source: Citrus limonum.  Planet: MOON  Element: Air  Energy: Masculine  Sacred Day: Monday.  Deity associations: LUNA, SELENE.  Sabbat: LITHA.  Association: Used for purification and cleansing rituals; associated with solar energy..  Magical uses: Purification, Love, FRIENDSHIP.  Powers: Purification, healing, love, lunar magic, happiness, clarity.  Spiritual uses: AWARENESS, CLARITY, REJUVENATION, Peace.  Folk lore: It was common practice in the Mediterranean to keep a bowl of lemons near the hearth. It was said that the lemon’s sourness could 'eat' the malice of visitors. If someone entered with a bitter heart, the lemon would absorb the negativity, keeping the family home sweet and secure..  Origin: Mediterranean region (Italy, Spain, USA); cultivated in subtropical climates.</t>
        </is>
      </c>
      <c r="P12" t="inlineStr">
        <is>
          <t>Lemon</t>
        </is>
      </c>
      <c r="Q12" t="inlineStr">
        <is>
          <t>Mediterranean region (Italy, Spain, USA); cultivated in subtropical climates</t>
        </is>
      </c>
      <c r="R12" t="inlineStr">
        <is>
          <t>Warning: Phototoxic — avoid sun exposure after topical application. Do not ingest essential oil.</t>
        </is>
      </c>
      <c r="S12" t="inlineStr">
        <is>
          <t>LEMON BALM</t>
        </is>
      </c>
      <c r="T12" t="inlineStr">
        <is>
          <t>Not specified</t>
        </is>
      </c>
      <c r="U12" t="inlineStr">
        <is>
          <t>LEMON VERBENA</t>
        </is>
      </c>
      <c r="V12" t="inlineStr">
        <is>
          <t>Breaking bad habits, Purifying body and mind, Cleansing space, Removing negative energy, Inner child connection, Creativity, Earth festivals, Love philtres, Sacred union rites, Astral travel, Prophetic dreams</t>
        </is>
      </c>
      <c r="W12" t="inlineStr">
        <is>
          <t>LEMONGRASS</t>
        </is>
      </c>
      <c r="X12" t="inlineStr">
        <is>
          <t>Offerings to forest spirits, Offerings to gods, Warding off illness, Warding off hexes, Smudging, Pre-ritual cleansing</t>
        </is>
      </c>
      <c r="Y12" t="inlineStr">
        <is>
          <t>WITCH HAZEL LEAVES</t>
        </is>
      </c>
      <c r="Z12" t="inlineStr">
        <is>
          <t>Purification, Protection, Banishing, Consecration</t>
        </is>
      </c>
      <c r="AA12" t="inlineStr">
        <is>
          <t>quartz snow</t>
        </is>
      </c>
      <c r="AB12" t="inlineStr">
        <is>
          <t>A very personal magical stone used to develop scrying ability, Magical power, to focus spell casting f, increased success.  Healing, drawing out pain, protection from negative vibrations, meditation, psychic powers, Harmony, magickal strength.</t>
        </is>
      </c>
      <c r="AI12" t="inlineStr">
        <is>
          <t>DAGAZ</t>
        </is>
      </c>
      <c r="AJ12" t="inlineStr">
        <is>
          <t>D</t>
        </is>
      </c>
      <c r="AK12" t="inlineStr">
        <is>
          <t>Transf, mation, Breakthrough, New beginnings, Awakening, Clarity, Illumination, Vict, Clairvoyance, Prosperity</t>
        </is>
      </c>
      <c r="AR12" t="inlineStr">
        <is>
          <t>Lemon</t>
        </is>
      </c>
      <c r="AS12" s="42" t="inlineStr">
        <is>
          <t>Air and the sharp clarity of cut citrus. Purification carried on its brightness. Love and friendship drawn in. Lunar magic and healing both deepened. Where the working needs brightening and what has become clouded needs clearing without force.</t>
        </is>
      </c>
    </row>
    <row r="13" ht="409.5" customHeight="1" s="56">
      <c r="A13" t="inlineStr">
        <is>
          <t>Lemon Grass</t>
        </is>
      </c>
      <c r="B13" t="inlineStr">
        <is>
          <t>Fever Grass</t>
        </is>
      </c>
      <c r="C13" t="inlineStr">
        <is>
          <t>Citrus limonum</t>
        </is>
      </c>
      <c r="D13" t="inlineStr">
        <is>
          <t>Divination, REPELS, Love, Banishing, Enhancing divination, Divinatory incense, Foretelling the future, Future divination, Scrying, Dowsing, Prophecy,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13" t="inlineStr">
        <is>
          <t>Used for spiritual clearing, breaking hexes, and opening communication.</t>
        </is>
      </c>
      <c r="F13" t="inlineStr">
        <is>
          <t>MERCURY</t>
        </is>
      </c>
      <c r="G13" t="inlineStr">
        <is>
          <t>Air</t>
        </is>
      </c>
      <c r="H13" t="inlineStr">
        <is>
          <t>Masculine</t>
        </is>
      </c>
      <c r="I13" t="inlineStr">
        <is>
          <t>Wednesday</t>
        </is>
      </c>
      <c r="J13" t="inlineStr">
        <is>
          <t>AMATERASU</t>
        </is>
      </c>
      <c r="K13" t="inlineStr">
        <is>
          <t>MOON</t>
        </is>
      </c>
      <c r="L13" t="inlineStr">
        <is>
          <t>In the humid tropics, it was told that if you plant Lemon Grass around your home, the spirits of the wind will be distracted by its sweet, sharp scent. They will spend so much time dancing around the grass that they will forget to enter your home to cause trouble.</t>
        </is>
      </c>
      <c r="M13" t="inlineStr">
        <is>
          <t>Psychic power, purification, lust, clarity, travel, communication</t>
        </is>
      </c>
      <c r="N13" t="inlineStr">
        <is>
          <t>Harmony, Peace, UPLIFTING, TONIC, REFRESHING</t>
        </is>
      </c>
      <c r="O13" t="inlineStr">
        <is>
          <t>*Lemon Grass Essential Oil*  Also known as: Fever Grass.  Botanical source: Citrus limonum.  Planet: MERCURY  Element: Air  Energy: Masculine  Sacred Day: Wednesday.  Deity associations: AMATERASU.  Sabbat: MOON.  Association: Used for spiritual clearing, breaking hexes, and opening communication..  Magical uses: Divination, REPELS, Love.  Powers: Psychic power, purification, lust, clarity, travel, communication.  Spiritual uses: Harmony, Peace, UPLIFTING, TONIC, REFRESHING.  Folk lore: In the humid tropics, it was told that if you plant Lemon Grass around your home, the spirits of the wind will be distracted by its sweet, sharp scent. They will spend so much time dancing around the grass that they will forget to enter your home to cause trouble..  Origin: Tropical Asia (India, Sri Lanka, Southeast Asia); cultivated globally.</t>
        </is>
      </c>
      <c r="P13" t="inlineStr">
        <is>
          <t>Lemon Grass</t>
        </is>
      </c>
      <c r="Q13" t="inlineStr">
        <is>
          <t>Tropical Asia (India, Sri Lanka, Southeast Asia); cultivated globally</t>
        </is>
      </c>
      <c r="R13" t="inlineStr">
        <is>
          <t>Warning: May cause skin irritation — dilute well before use. Do not ingest. Avoid during pregnancy.</t>
        </is>
      </c>
      <c r="S13" t="inlineStr">
        <is>
          <t>LEMONGRASS</t>
        </is>
      </c>
      <c r="T13" t="inlineStr">
        <is>
          <t>Offerings to forest spirits, Offerings to gods, Warding off illness, Warding off hexes, Smudging, Pre-ritual cleansing</t>
        </is>
      </c>
      <c r="AA13" t="inlineStr">
        <is>
          <t>Aventurine</t>
        </is>
      </c>
      <c r="AB13" t="inlineStr">
        <is>
          <t>Creativity, motivation, inner peace, business success, intellect, perception, soothing emotions, heartache, clarity, imagination, independence, Happiness, sexuality, Strength, Prosperity, romance.</t>
        </is>
      </c>
      <c r="AR13" t="inlineStr">
        <is>
          <t>Lemon Grass</t>
        </is>
      </c>
      <c r="AS13" s="42" t="inlineStr">
        <is>
          <t>Air and the grass of forest spirits, the oil offered to what is wild and holy. Divination sharpened, what lingers banished. Love and psychic power both find it responsive. Where the sight needs opening and what should have moved on needs encouraging to go.</t>
        </is>
      </c>
    </row>
    <row r="14" ht="409.5" customHeight="1" s="56">
      <c r="A14" t="inlineStr">
        <is>
          <t>Marjoram</t>
        </is>
      </c>
      <c r="B14" t="inlineStr">
        <is>
          <t>Joy of the Mountain</t>
        </is>
      </c>
      <c r="C14" t="inlineStr">
        <is>
          <t>Origanum majorana</t>
        </is>
      </c>
      <c r="D14" t="inlineStr">
        <is>
          <t>Happiness, Healing, Love, Prosperity, Protection, Joy, Joyous celebrations, Contentment, Serenity, Ensuring joy in the home, PEACE &amp; HAPPINESS,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Calming, Soothing, Calm, Calmness, Relaxation, Calming energies, Calming the mind, Calming stormy situations, AID MEDITATION, Peace, Inner peace, Peaceful vibrations, Calming stress, Calming household upheaval, FRIENDSHIP, House blessing, Blessing the home, Homestead protection, Sick-room blessings, Home protection, Household protection, Healing altars, Home blessing,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t>
        </is>
      </c>
      <c r="E14" t="inlineStr">
        <is>
          <t>Associated with love and happiness; used in bridal wreaths for protection and joy.</t>
        </is>
      </c>
      <c r="F14" t="inlineStr">
        <is>
          <t>MERCURY</t>
        </is>
      </c>
      <c r="G14" t="inlineStr">
        <is>
          <t>Air</t>
        </is>
      </c>
      <c r="H14" t="inlineStr">
        <is>
          <t>Masculine</t>
        </is>
      </c>
      <c r="I14" t="inlineStr">
        <is>
          <t>Wednesday</t>
        </is>
      </c>
      <c r="J14" t="inlineStr">
        <is>
          <t>APHRODITE, VENUS</t>
        </is>
      </c>
      <c r="K14" t="inlineStr">
        <is>
          <t>OSTARA</t>
        </is>
      </c>
      <c r="L14" t="inlineStr">
        <is>
          <t>Legend says that Aphrodite herself created Marjoram to be a symbol of happiness. She would weave it into her hair to make her presence felt as a wave of joy, and it is said that to this day, a sprig of it in a home ensures that laughter never fades from the halls.</t>
        </is>
      </c>
      <c r="M14" t="inlineStr">
        <is>
          <t>Love, protection, healing, happiness, peace, money, grief</t>
        </is>
      </c>
      <c r="N14" t="inlineStr">
        <is>
          <t>Harmony, Peace, PERSEVERANCE</t>
        </is>
      </c>
      <c r="O14" t="inlineStr">
        <is>
          <t>*Marjoram Essential Oil*  Also known as: Joy of the Mountain.  Botanical source: Origanum majorana.  Planet: MERCURY  Element: Air  Energy: Masculine  Sacred Day: Wednesday.  Deity associations: APHRODITE, VENUS.  Sabbat: OSTARA.  Association: Associated with love and happiness; used in bridal wreaths for protection and joy..  Magical uses: Happiness, Healing, Love, Prosperity, Protection.  Powers: Love, protection, healing, happiness, peace, money, grief.  Spiritual uses: Harmony, Peace, PERSEVERANCE.  Folk lore: Legend says that Aphrodite herself created Marjoram to be a symbol of happiness. She would weave it into her hair to make her presence felt as a wave of joy, and it is said that to this day, a sprig of it in a home ensures that laughter never fades from the halls..  Origin: Mediterranean region and western Asia; cultivated globally.</t>
        </is>
      </c>
      <c r="P14" t="inlineStr">
        <is>
          <t>Marjoram</t>
        </is>
      </c>
      <c r="Q14" t="inlineStr">
        <is>
          <t>Mediterranean region and western Asia; cultivated globally</t>
        </is>
      </c>
      <c r="R14" t="inlineStr">
        <is>
          <t>Warning: Avoid during pregnancy. Do not ingest. May cause drowsiness in large amounts.</t>
        </is>
      </c>
      <c r="AA14" t="inlineStr">
        <is>
          <t>Aventurine</t>
        </is>
      </c>
      <c r="AB14" t="inlineStr">
        <is>
          <t>Creativity, motivation, inner peace, business success, intellect, perception, soothing emotions, heartache, clarity, imagination, independence, Happiness, sexuality, Strength, Prosperity, romance.</t>
        </is>
      </c>
      <c r="AR14" t="inlineStr">
        <is>
          <t>Marjoram</t>
        </is>
      </c>
      <c r="AS14" s="42" t="inlineStr">
        <is>
          <t>Air and the warmth of the herb garden on a still afternoon. Happiness and healing carried in its gentle depth. Love, prosperity and protection all find it willing. Joy drawn into the home on its scent. Where grief needs soothing and warmth is what the working asks for.</t>
        </is>
      </c>
    </row>
    <row r="15" ht="409.5" customHeight="1" s="56">
      <c r="A15" t="inlineStr">
        <is>
          <t>Melissa</t>
        </is>
      </c>
      <c r="B15" t="inlineStr">
        <is>
          <t>Bee Balm</t>
        </is>
      </c>
      <c r="C15" t="inlineStr">
        <is>
          <t>Melissa officinalis</t>
        </is>
      </c>
      <c r="D15" t="inlineStr">
        <is>
          <t>Love, Healing, Prosperity,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Healing magic, Healing spells, Healing sachets, Healing incenses, Healing mixtures, Healing rituals, Healing incense, Healing vibrations, healing after surgery, Aiding recovery, Aiding the ill, Improving health, Speeding recovery, Good health, health,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E15" t="inlineStr">
        <is>
          <t>Associated with love, healing, and success; historically used to 'gladden the heart'.</t>
        </is>
      </c>
      <c r="F15" t="inlineStr">
        <is>
          <t>Moon</t>
        </is>
      </c>
      <c r="G15" t="inlineStr">
        <is>
          <t>Air</t>
        </is>
      </c>
      <c r="H15" t="inlineStr">
        <is>
          <t>Feminine</t>
        </is>
      </c>
      <c r="I15" t="inlineStr">
        <is>
          <t>Monday</t>
        </is>
      </c>
      <c r="J15" t="inlineStr">
        <is>
          <t>DIANA, ARTEMIS</t>
        </is>
      </c>
      <c r="K15" t="inlineStr">
        <is>
          <t>BELTANE</t>
        </is>
      </c>
      <c r="L15" t="inlineStr">
        <is>
          <t>Called the 'Bee’s Delight,' it is said that if you hold a leaf of Melissa in your hand, bees will not sting you. The plant was gifted to humans by the bees themselves, who wanted to share the secret of their own contentment and the sweet hum of life.</t>
        </is>
      </c>
      <c r="M15" t="inlineStr">
        <is>
          <t>Love, success, healing, calming, uplifting, psychic development</t>
        </is>
      </c>
      <c r="N15" t="inlineStr">
        <is>
          <t>GENTLENESS, Peace, PROGRESSIVENESS</t>
        </is>
      </c>
      <c r="O15" t="inlineStr">
        <is>
          <t>*Melissa Essential Oil*  Also known as: Bee Balm.  Botanical source: Melissa officinalis.  Planet: Moon  Element: Air  Energy: Feminine  Sacred Day: Monday.  Deity associations: DIANA, ARTEMIS.  Sabbat: BELTANE.  Association: Associated with love, healing, and success; historically used to 'gladden the heart'..  Magical uses: Love, Healing, Prosperity.  Powers: Love, success, healing, calming, uplifting, psychic development.  Spiritual uses: GENTLENESS, Peace, PROGRESSIVENESS.  Folk lore: Called the 'Bee’s Delight,' it is said that if you hold a leaf of Melissa in your hand, bees will not sting you. The plant was gifted to humans by the bees themselves, who wanted to share the secret of their own contentment and the sweet hum of life..  Origin: Southern Europe, Mediterranean; widely cultivated globally.</t>
        </is>
      </c>
      <c r="P15" t="inlineStr">
        <is>
          <t>Melissa</t>
        </is>
      </c>
      <c r="Q15" t="inlineStr">
        <is>
          <t>Southern Europe, Mediterranean; widely cultivated globally</t>
        </is>
      </c>
      <c r="R15" t="inlineStr">
        <is>
          <t>Warning: May cause skin sensitisation. Avoid during pregnancy. Do not ingest essential oil.</t>
        </is>
      </c>
      <c r="S15" t="inlineStr">
        <is>
          <t>CAMPHOR SYNTHETIC</t>
        </is>
      </c>
      <c r="T15" t="inlineStr">
        <is>
          <t>Cleansing, Banishing, Warding off advances, Healing, Stimulating psychic senses, Consecration, Purification, Funeral rites, Visionary w, Breaking habits, Removing dark energies, Cleansing tools, Prophetic dreams, Scrying</t>
        </is>
      </c>
      <c r="U15" t="inlineStr">
        <is>
          <t>GARDENIA FRUIT</t>
        </is>
      </c>
      <c r="V15" t="inlineStr">
        <is>
          <t>Attracting good spirits, Peaceful vibrations, Healing altars, Sick-room blessings</t>
        </is>
      </c>
      <c r="W15" t="inlineStr">
        <is>
          <t>JASMINE</t>
        </is>
      </c>
      <c r="X15" t="inlineStr">
        <is>
          <t>Snakebite magic, Divination, Charging crystals, Spiritual love, Attracting a soulmate, Wealth, Money, Sleep, Prophetic dreams, New ideas</t>
        </is>
      </c>
      <c r="Y15" t="inlineStr">
        <is>
          <t>HONESTY</t>
        </is>
      </c>
      <c r="Z15" t="inlineStr">
        <is>
          <t>Moon magic, fairy magic, money, transformation, and prophetic dreams. The silver seed pods are used in money spells and prosperity workings. Hang the dried plants in the home to attract fairy blessings. Use in full moon rituals and Esbat workings. Place under the pillow for prophetic dreams about love and the future.</t>
        </is>
      </c>
      <c r="AA15" t="inlineStr">
        <is>
          <t>quartz snow</t>
        </is>
      </c>
      <c r="AB15" t="inlineStr">
        <is>
          <t>A very personal magical stone used to develop scrying ability, Magical power, to focus spell casting f, increased success.  Healing, drawing out pain, protection from negative vibrations, meditation, psychic powers, Harmony, magickal strength.</t>
        </is>
      </c>
      <c r="AI15" t="inlineStr">
        <is>
          <t>DAGAZ</t>
        </is>
      </c>
      <c r="AJ15" t="inlineStr">
        <is>
          <t>D</t>
        </is>
      </c>
      <c r="AK15" t="inlineStr">
        <is>
          <t>Transf, mation, Breakthrough, New beginnings, Awakening, Clarity, Illumination, Vict, Clairvoyance, Prosperity</t>
        </is>
      </c>
      <c r="AR15" t="inlineStr">
        <is>
          <t>Melissa</t>
        </is>
      </c>
      <c r="AS15" s="42" t="inlineStr">
        <is>
          <t>Air and the bee-beloved herb, the oil of the uplifted heart. Love and healing carried in its lightness. Prosperity drawn in, psychic development supported. Calming and uplifting working at once. Where the heart needs healing and success needs a gentler approach.</t>
        </is>
      </c>
    </row>
    <row r="16" ht="409.5" customHeight="1" s="56">
      <c r="A16" t="inlineStr">
        <is>
          <t>Neroli</t>
        </is>
      </c>
      <c r="B16" t="inlineStr">
        <is>
          <t>Orange Blossom</t>
        </is>
      </c>
      <c r="C16" t="inlineStr">
        <is>
          <t>Citrus aurantium var. amara</t>
        </is>
      </c>
      <c r="D16" t="inlineStr">
        <is>
          <t>Prosperity, Love, Purification, Happiness, Luck, Confidence, Clairvoyance, Peace,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Joy, Joyous celebrations, Contentment,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Self-confidence, Courage, Bravery, Determination, Will Power, Leadership, Leadership skills, Commanding, Personal power, Enhancing clairvoyance, Psychic development, Psychic powers, INCREASE PSYCHIC ABILITIES, Psychic awareness, Stimulating psychic senses, Disabling psychic phenomena, Psychic communication, communication and psychic abilities</t>
        </is>
      </c>
      <c r="E16" t="inlineStr">
        <is>
          <t>Symbol of purity and fertility; often used in bridal ceremonies and to calm the spirit.</t>
        </is>
      </c>
      <c r="F16" t="inlineStr">
        <is>
          <t>MERCURY</t>
        </is>
      </c>
      <c r="G16" t="inlineStr">
        <is>
          <t>Air</t>
        </is>
      </c>
      <c r="H16" t="inlineStr">
        <is>
          <t>Feminine</t>
        </is>
      </c>
      <c r="I16" t="inlineStr">
        <is>
          <t>Wednesday</t>
        </is>
      </c>
      <c r="J16" t="inlineStr">
        <is>
          <t>APHRODITE, HATHOR</t>
        </is>
      </c>
      <c r="K16" t="inlineStr">
        <is>
          <t>OSTARA</t>
        </is>
      </c>
      <c r="L16" t="inlineStr">
        <is>
          <t>In the palaces of old, orange blossoms were the sign of a royal wedding. It was said that the flower holds the promise of eternal spring, and that a bride wearing the blossoms would be granted a lifetime of fertility and the grace of a blooming garden.</t>
        </is>
      </c>
      <c r="M16" t="inlineStr">
        <is>
          <t>Love, purification, happiness, luck, confidence, psychic power</t>
        </is>
      </c>
      <c r="N16" t="inlineStr">
        <is>
          <t>Peace, Happiness</t>
        </is>
      </c>
      <c r="O16" t="inlineStr">
        <is>
          <t>*Neroli Essential Oil*  Also known as: Orange Blossom.  Botanical source: Citrus aurantium var. amara.  Planet: MERCURY  Element: Air  Energy: Feminine  Sacred Day: Wednesday.  Deity associations: APHRODITE, HATHOR.  Sabbat: OSTARA.  Association: Symbol of purity and fertility; often used in bridal ceremonies and to calm the spirit..  Magical uses: Prosperity.  Powers: Love, purification, happiness, luck, confidence, psychic power.  Spiritual uses: Peace, Happiness.  Folk lore: In the palaces of old, orange blossoms were the sign of a royal wedding. It was said that the flower holds the promise of eternal spring, and that a bride wearing the blossoms would be granted a lifetime of fertility and the grace of a blooming garden..  Origin: Mediterranean region; bitter orange cultivated in Spain, Italy, North Africa.</t>
        </is>
      </c>
      <c r="P16" t="inlineStr">
        <is>
          <t>Neroli</t>
        </is>
      </c>
      <c r="Q16" t="inlineStr">
        <is>
          <t>Mediterranean region; bitter orange cultivated in Spain, Italy, North Africa</t>
        </is>
      </c>
      <c r="R16" t="inlineStr">
        <is>
          <t>Generally safe for external use. Do not ingest essential oil. May cause drowsiness.</t>
        </is>
      </c>
      <c r="AA16" t="inlineStr">
        <is>
          <t>Aventurine</t>
        </is>
      </c>
      <c r="AB16" t="inlineStr">
        <is>
          <t>Creativity, motivation, inner peace, business success, intellect, perception, soothing emotions, heartache, clarity, imagination, independence, Happiness, sexuality, Strength, Prosperity, romance.</t>
        </is>
      </c>
      <c r="AR16" t="inlineStr">
        <is>
          <t>Neroli</t>
        </is>
      </c>
      <c r="AS16" s="42" t="inlineStr">
        <is>
          <t>Air and the white flower of the orange tree, the oil of joy and openness. Prosperity and love running together. Purification and happiness both carried. Luck, confidence and clairvoyance all find it responsive. Fertility energy alive in its sweetness.</t>
        </is>
      </c>
    </row>
    <row r="17" ht="409.5" customHeight="1" s="56">
      <c r="A17" t="inlineStr">
        <is>
          <t>Orange Bitter</t>
        </is>
      </c>
      <c r="B17" t="inlineStr">
        <is>
          <t>Seville Orange</t>
        </is>
      </c>
      <c r="C17" t="inlineStr">
        <is>
          <t>Citrus sinensis</t>
        </is>
      </c>
      <c r="D17" t="inlineStr">
        <is>
          <t>Divination, Love, Luck, Prosperity, Enhancing divination, Divinatory incense, Foretelling the future, Future divination, Scrying, Dowsing, Prophecy,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t>
        </is>
      </c>
      <c r="E17" t="inlineStr">
        <is>
          <t>Used for prosperity, solar magic, and fostering joy and emotional warmth.</t>
        </is>
      </c>
      <c r="F17" t="inlineStr">
        <is>
          <t>SUN</t>
        </is>
      </c>
      <c r="G17" t="inlineStr">
        <is>
          <t>Air</t>
        </is>
      </c>
      <c r="H17" t="inlineStr">
        <is>
          <t>Masculine</t>
        </is>
      </c>
      <c r="I17" t="inlineStr">
        <is>
          <t>Sunday</t>
        </is>
      </c>
      <c r="J17" t="inlineStr">
        <is>
          <t>SOL, RA</t>
        </is>
      </c>
      <c r="K17" t="inlineStr">
        <is>
          <t>LITHA, YULE</t>
        </is>
      </c>
      <c r="L17" t="inlineStr">
        <is>
          <t>It was whispered that the bitter orange was the fruit of the sun’s own garden. Because it grew in the heat, it was believed to hold the fire of the sun, and those who bathed in its essence would find their spirits lightened, as if they were walking in perpetual midday.</t>
        </is>
      </c>
      <c r="M17" t="inlineStr">
        <is>
          <t>Love, prosperity, luck, purification, happiness, solar energy</t>
        </is>
      </c>
      <c r="N17" t="inlineStr">
        <is>
          <t>CREATIVITY, LIGHTHEARTEDNESS, POSITIVITY, SENSUAL</t>
        </is>
      </c>
      <c r="O17" t="inlineStr">
        <is>
          <t>*Orange Bitter Essential Oil*  Also known as: Seville Orange.  Botanical source: Citrus sinensis.  Planet: SUN  Element: Air  Energy: Masculine  Sacred Day: Sunday.  Deity associations: SOL, RA.  Sabbat: LITHA, YULE.  Association: Used for prosperity, solar magic, and fostering joy and emotional warmth..  Magical uses: Divination, Love, Luck, Prosperity.  Powers: Love, prosperity, luck, purification, happiness, solar energy.  Spiritual uses: CREATIVITY, LIGHTHEARTEDNESS, POSITIVITY, SENSUAL.  Folk lore: It was whispered that the bitter orange was the fruit of the sun’s own garden. Because it grew in the heat, it was believed to hold the fire of the sun, and those who bathed in its essence would find their spirits lightened, as if they were walking in perpetual midday..  Origin: Mediterranean region; cultivated in subtropical climates worldwide.</t>
        </is>
      </c>
      <c r="P17" t="inlineStr">
        <is>
          <t>Orange Bitter</t>
        </is>
      </c>
      <c r="Q17" t="inlineStr">
        <is>
          <t>Mediterranean region; cultivated in subtropical climates worldwide</t>
        </is>
      </c>
      <c r="R17" t="inlineStr">
        <is>
          <t>Warning: Phototoxic — avoid sun exposure after topical application. Do not ingest.</t>
        </is>
      </c>
      <c r="S17" t="inlineStr">
        <is>
          <t>BENZOIN</t>
        </is>
      </c>
      <c r="T17" t="inlineStr">
        <is>
          <t>Purification, Sanctifying an area, Attracting business, Incense base, Substitute for storax, Focus, Concentration</t>
        </is>
      </c>
      <c r="U17" t="inlineStr">
        <is>
          <t>EYEBRIGHT</t>
        </is>
      </c>
      <c r="V17" t="inlineStr">
        <is>
          <t>Prophetic dreams, Seeing the unseen, Clarity, Removing deception, Rising above difficulty, Thanksgiving rituals, Joyous celebrations, Offerings of thanksgiving</t>
        </is>
      </c>
      <c r="AI17" t="inlineStr">
        <is>
          <t>SOWILO</t>
        </is>
      </c>
      <c r="AJ17" t="inlineStr">
        <is>
          <t>S/C</t>
        </is>
      </c>
      <c r="AK17" t="inlineStr">
        <is>
          <t>Vict, Clairvoyance, Truth, Light, Energy, Prosperity, Healing, Sun God offerings, Clarity</t>
        </is>
      </c>
      <c r="AR17" t="inlineStr">
        <is>
          <t>Orange Bitter</t>
        </is>
      </c>
      <c r="AS17" s="42" t="inlineStr">
        <is>
          <t>Air and the brightness of solar energy made portable. Divination and love both find it warming. Luck and prosperity drawn in. Purification carried on its brightness. Where the working needs warmth, uplift and the energy of the sun behind it.</t>
        </is>
      </c>
    </row>
    <row r="18" ht="409.5" customHeight="1" s="56">
      <c r="A18" t="inlineStr">
        <is>
          <t>Peppermint</t>
        </is>
      </c>
      <c r="B18" t="inlineStr">
        <is>
          <t>Mentha</t>
        </is>
      </c>
      <c r="C18" t="inlineStr">
        <is>
          <t>Mentha piperita</t>
        </is>
      </c>
      <c r="D18" t="inlineStr">
        <is>
          <t>Purification, PSYCHIC POWERS, Healing, Clairvoyance,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Healing magic, Healing spells, Healing sachets, Healing incenses, Healing mixtures, Healing rituals, Healing incense, Healing vibrations, healing after surgery, Aiding recovery, Aiding the ill, Improving health, Speeding recovery, Good health, health, Enhancing clairvoyance, Psychic development, INCREASE PSYCHIC ABILITIES, Psychic awareness, Stimulating psychic senses, Disabling psychic phenomena, Psychic communication, communication and psychic abilities</t>
        </is>
      </c>
      <c r="E18" t="inlineStr">
        <is>
          <t>Associated with energy, purification, and mental clarity; used to drive away fatigue.</t>
        </is>
      </c>
      <c r="F18" t="inlineStr">
        <is>
          <t>VENUS</t>
        </is>
      </c>
      <c r="G18" t="inlineStr">
        <is>
          <t>Air</t>
        </is>
      </c>
      <c r="H18" t="inlineStr">
        <is>
          <t>Masculine</t>
        </is>
      </c>
      <c r="I18" t="inlineStr">
        <is>
          <t>Friday</t>
        </is>
      </c>
      <c r="J18" t="inlineStr">
        <is>
          <t>PLUTO, HECATE</t>
        </is>
      </c>
      <c r="K18" t="inlineStr">
        <is>
          <t>LAMMAS</t>
        </is>
      </c>
      <c r="L18" t="inlineStr">
        <is>
          <t>There is a story of a traveler who was exhausted and lost in the woods. He stumbled upon a patch of mint and, crushed by fatigue, fell asleep on it. When he woke, he felt as if his very blood had been renewed by the cool, sharp scent, giving him the strength to walk all the way home.</t>
        </is>
      </c>
      <c r="M18" t="inlineStr">
        <is>
          <t>Healing, purification, money, love, psychic power, energy, clarity</t>
        </is>
      </c>
      <c r="N18" t="inlineStr">
        <is>
          <t>ANTI-DEPRESSANT, MENTAL CLARITY</t>
        </is>
      </c>
      <c r="O18" t="inlineStr">
        <is>
          <t>*Peppermint Essential Oil*  Also known as: Mentha.  Botanical source: Mentha piperita.  Planet: VENUS  Element: Air  Energy: Masculine  Sacred Day: Friday.  Deity associations: PLUTO, HECATE.  Sabbat: LAMMAS.  Association: Associated with energy, purification, and mental clarity; used to drive away fatigue..  Magical uses: Purification, PSYCHIC POWERS, Healing.  Powers: Healing, purification, money, love, psychic power, energy, clarity.  Spiritual uses: ANTI-DEPRESSANT, MENTAL CLARITY.  Folk lore: There is a story of a traveler who was exhausted and lost in the woods. He stumbled upon a patch of mint and, crushed by fatigue, fell asleep on it. When he woke, he felt as if his very blood had been renewed by the cool, sharp scent, giving him the strength to walk all the way home..  Origin: Europe, North America (cultivated globally in temperate climates).</t>
        </is>
      </c>
      <c r="P18" t="inlineStr">
        <is>
          <t>Peppermint</t>
        </is>
      </c>
      <c r="Q18" t="inlineStr">
        <is>
          <t>Europe, North America (cultivated globally in temperate climates)</t>
        </is>
      </c>
      <c r="R18" t="inlineStr">
        <is>
          <t>Warning: Do not use near infants or young children. Avoid during pregnancy. Do not ingest essential oil.</t>
        </is>
      </c>
      <c r="S18" t="inlineStr">
        <is>
          <t>AGRIMONY</t>
        </is>
      </c>
      <c r="T18" t="inlineStr">
        <is>
          <t>Exploring true feelings, Emotional balance, Protection, Psychic shielding, Reducing negativity, Banishing negative energies, Reversing harmful spells, Protective sachets, Cleansing the aura, Healing magic, Ritual baths, Tool cleansing, Banishing smudge</t>
        </is>
      </c>
      <c r="U18" t="inlineStr">
        <is>
          <t>PEPPERMINT</t>
        </is>
      </c>
      <c r="V18" t="inlineStr">
        <is>
          <t>Cleansing, Consecration, Dreams, Happiness, Healing, Love, Money, Passion, Prosperity, Protection, Psychic development, Purification, Release, Renewal, Rest, Sleep, Animals, Divination, Endings, Energy, Exorcism, Good luck, Grieving, Spirit offering, Success, Transformation, Prophetic dreams, Relieving headaches, Preventing illness, Calling good spirits, Healing spells, Cleansing the home, Cleansing ritual areas</t>
        </is>
      </c>
      <c r="AA18" t="inlineStr">
        <is>
          <t>quartz Rose</t>
        </is>
      </c>
      <c r="AB18" t="inlineStr">
        <is>
          <t>Confidence, Peace, Fertility, creativity, Love, compassion, beauty, Fidelity, Happiness</t>
        </is>
      </c>
      <c r="AC18" t="inlineStr">
        <is>
          <t>Seraphinite</t>
        </is>
      </c>
      <c r="AD18" t="inlineStr">
        <is>
          <t>Purification, centering, compassion, healing.</t>
        </is>
      </c>
      <c r="AI18" t="inlineStr">
        <is>
          <t>ANSUZ</t>
        </is>
      </c>
      <c r="AJ18" t="inlineStr">
        <is>
          <t>A</t>
        </is>
      </c>
      <c r="AK18" t="inlineStr">
        <is>
          <t>Divination, Prophetic dreams, Communication, Wisdom, Clairvoyance, Star magick, Truth</t>
        </is>
      </c>
      <c r="AR18" t="inlineStr">
        <is>
          <t>Peppermint</t>
        </is>
      </c>
      <c r="AS18" s="42" t="inlineStr">
        <is>
          <t>Air and cool fire, the oil of the clarified working. Purification carried on its crisp breath. Clairvoyance and healing both sharpened. Love and money find it responsive. Energy raised and focused. What enters the working with peppermint enters it more awake.</t>
        </is>
      </c>
    </row>
    <row r="19" ht="409.5" customHeight="1" s="56">
      <c r="A19" t="inlineStr">
        <is>
          <t>Pine</t>
        </is>
      </c>
      <c r="B19" t="inlineStr">
        <is>
          <t>Forest Spirit</t>
        </is>
      </c>
      <c r="C19" t="inlineStr">
        <is>
          <t>Pinus sylvestris</t>
        </is>
      </c>
      <c r="D19" t="inlineStr">
        <is>
          <t>PROSPERITY SPELLS, Prosperity, Purification, Protection, Healing, Fertility, Strength, Harmony, Happiness, Female fertility, Fertility magic, Fertility charms, Aiding fertility, Increasing fertility, Fruitfulness, Virility, male virility, Abundant harvest, Wealth, Wealth/Prosperity, Attracting business, Business dealings, abundance, Financial arrangements, Aiding gain, Gain, Increasing wealth, Money, Money spells, Attracting money, Drawing money, INCREASE MONEY, Breaking financial stagnation, Money mixtures, Protecting against poverty, Warding off poverty,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Healing magic, Healing spells, Healing sachets, Healing incenses, Healing mixtures, Healing rituals, Healing incense, Healing vibrations, healing after surgery, Aiding recovery, Aiding the ill, Improving health, Speeding recovery, Good health, health, Physical Strength, Fortitude, Vitality, Inner power, and strength,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Joy, Joyous celebrations, Contentment</t>
        </is>
      </c>
      <c r="E19" t="inlineStr">
        <is>
          <t>Symbol of immortality; used for purification of the home and protection.</t>
        </is>
      </c>
      <c r="F19" t="inlineStr">
        <is>
          <t>MARS</t>
        </is>
      </c>
      <c r="G19" t="inlineStr">
        <is>
          <t>Fire</t>
        </is>
      </c>
      <c r="H19" t="inlineStr">
        <is>
          <t>Masculine</t>
        </is>
      </c>
      <c r="I19" t="inlineStr">
        <is>
          <t>Tuesday</t>
        </is>
      </c>
      <c r="J19" t="inlineStr">
        <is>
          <t>BRIGID, LUNA, ASTARTE, ATTIS, CYBELE, DIONYSUS, PAN, VENUS</t>
        </is>
      </c>
      <c r="K19" t="inlineStr">
        <is>
          <t>LAMMAS</t>
        </is>
      </c>
      <c r="L19" t="inlineStr">
        <is>
          <t>In the ancient woods, Pine was considered the 'Tree of Life.' It was said that those who walked among the pines would never truly die, as the trees would absorb their sorrows and turn them into the sap that feeds the forest, keeping the cycle of life spinning forever.</t>
        </is>
      </c>
      <c r="M19" t="inlineStr">
        <is>
          <t>Purification, protection, healing, fertility, prosperity, strength</t>
        </is>
      </c>
      <c r="N19" t="inlineStr">
        <is>
          <t>Harmony, Happiness, Strength</t>
        </is>
      </c>
      <c r="O19" t="inlineStr">
        <is>
          <t>*Pine Essential Oil*  Also known as: Forest Spirit.  Botanical source: Pinus sylvestris.  Planet: MARS  Element: Fire  Energy: Masculine  Sacred Day: Tuesday.  Deity associations: BRIGID, LUNA, ASTARTE, ATTIS, CYBELE, DIONYSUS, PAN, VENUS.  Sabbat: LAMMAS.  Association: Symbol of immortality; used for purification of the home and protection..  Magical uses: PROSPERITY SPELLS, Prosperity.  Powers: Purification, protection, healing, fertility, prosperity, strength.  Spiritual uses: Harmony, Happiness, Strength.  Folk lore: In the ancient woods, Pine was considered the 'Tree of Life.' It was said that those who walked among the pines would never truly die, as the trees would absorb their sorrows and turn them into the sap that feeds the forest, keeping the cycle of life spinning forever..  Origin: Northern hemisphere — Europe, North America, Asia (coniferous forests).</t>
        </is>
      </c>
      <c r="P19" t="inlineStr">
        <is>
          <t>Pine</t>
        </is>
      </c>
      <c r="Q19" t="inlineStr">
        <is>
          <t>Northern hemisphere — Europe, North America, Asia (coniferous forests)</t>
        </is>
      </c>
      <c r="R19" t="inlineStr">
        <is>
          <t>Warning: May cause skin irritation — dilute well. Avoid during pregnancy. Do not ingest.</t>
        </is>
      </c>
      <c r="S19" t="inlineStr">
        <is>
          <t>BASIL</t>
        </is>
      </c>
      <c r="T19" t="inlineStr">
        <is>
          <t>Consecration, Divination, Exorcism, Fertility, Fidelity, Good luck, Happiness, Harmony, Love, Money, Passion, Peace, Prosperity, Protection, Psychic development, Psychic protection, Purification, Strength, Success, Tranquillity, Clairvoyance, Commanding, Courage, Grieving, Hatred, Honesty, Initiation, Inspiration, Invocation, Preventing theft, Rituals for the dead, Spell-breaking</t>
        </is>
      </c>
      <c r="U19" t="inlineStr">
        <is>
          <t>DEVILS CLAW ROOT</t>
        </is>
      </c>
      <c r="V19" t="inlineStr">
        <is>
          <t>Exorcism, Purification, Cleansing the home, Casting circles, Removing residual energies, Protection, Amulets/talismans, Do, way protection, Protective charms</t>
        </is>
      </c>
      <c r="W19" t="inlineStr">
        <is>
          <t>GARLIC POWDER</t>
        </is>
      </c>
      <c r="X19" t="inlineStr">
        <is>
          <t>Exorcism, Magic, Passion, Protection, Spell-breaking, Strength, Clairvoyance, Success, Commanding, Confidence, Consecration, Courage, Divination, Healing, Longevity, Money, Overcoming opposition, Purification, Preventing nightmares, Stopping gossip, Fair weather</t>
        </is>
      </c>
      <c r="Y19" t="inlineStr">
        <is>
          <t>MUSTARD SEED WHITE</t>
        </is>
      </c>
      <c r="Z19" t="inlineStr">
        <is>
          <t>Fertility, Healing, Love, Protection, Comm, Attracting good spirits, Exorcism, Prosperity, Good luck, Sensuality, Spell-breaking, Strength, Curses, Protection (hexes/evil)</t>
        </is>
      </c>
      <c r="AA19" t="inlineStr">
        <is>
          <t>Bloodstone</t>
        </is>
      </c>
      <c r="AB19" t="inlineStr">
        <is>
          <t>Healing, Prosperity, Confidence, physical strength, stress relief, help in business, legal matters, revitalization, guidance, rain, ganization.</t>
        </is>
      </c>
      <c r="AC19" t="inlineStr">
        <is>
          <t>Garnet</t>
        </is>
      </c>
      <c r="AD19" t="inlineStr">
        <is>
          <t>Healing, cheery disposition, Confidence, Love, business success, past life regression, consistency of love &amp; friendship, travel protection, Happiness, Peace, Harmony, patience, inspiration, persistence, wisdom, fertility.</t>
        </is>
      </c>
      <c r="AE19" t="inlineStr">
        <is>
          <t>Pyrite (Fool's Gold)</t>
        </is>
      </c>
      <c r="AF19" t="inlineStr">
        <is>
          <t>Logic, clarity, mem, Clairvoyance, Prosperity, will power, grounding, Harmony, Strength</t>
        </is>
      </c>
      <c r="AG19" t="inlineStr">
        <is>
          <t>Red Jasper</t>
        </is>
      </c>
      <c r="AH19" t="inlineStr">
        <is>
          <t>Beauty, grace, increasing mental processes, Luck, easing pain of childbirth, Anti-theft, ming barrier against dangerous whims &amp; desires.</t>
        </is>
      </c>
      <c r="AI19" t="inlineStr">
        <is>
          <t>THURISAZ</t>
        </is>
      </c>
      <c r="AJ19" t="inlineStr">
        <is>
          <t>TH</t>
        </is>
      </c>
      <c r="AK19" t="inlineStr">
        <is>
          <t>Protection, Protection (hexes/evil), Banishing, Warding, Exorcism, Magical power, Strength</t>
        </is>
      </c>
      <c r="AR19" t="inlineStr">
        <is>
          <t>Pine</t>
        </is>
      </c>
      <c r="AS19" s="42" t="inlineStr">
        <is>
          <t>Fire and the resinous breath of the enduring forest. Prosperity and purification carried together. Protection and healing deepened. Fertility and strength both find it willing. The scent of what survives the winter — endurance in any working that asks for it.</t>
        </is>
      </c>
    </row>
    <row r="20" ht="409.5" customHeight="1" s="56">
      <c r="A20" t="inlineStr">
        <is>
          <t>Rose</t>
        </is>
      </c>
      <c r="B20" t="inlineStr">
        <is>
          <t>Flower of Venus</t>
        </is>
      </c>
      <c r="C20" t="inlineStr">
        <is>
          <t>Rosa damascena / Rosa centifolia</t>
        </is>
      </c>
      <c r="D20" t="inlineStr">
        <is>
          <t>Peace, Protection, Luck, PROMOTE LOVE &amp; AFFECTION, Love, Love magick, Love drawing, Attracting love, Love-attracting rituals, Inviting love, Inducing love, Love charms, Love enchantment, Finding love, Romantic love ceremonies,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WISHES, Wish magick, Carrying wishes, Transmuting wishes</t>
        </is>
      </c>
      <c r="E20" t="inlineStr">
        <is>
          <t>Deeply linked to love, secrets, and the heart; famously 'sub rosa' (confidentiality).</t>
        </is>
      </c>
      <c r="F20" t="inlineStr">
        <is>
          <t>MERCURY, VENUS</t>
        </is>
      </c>
      <c r="G20" t="inlineStr">
        <is>
          <t>Water</t>
        </is>
      </c>
      <c r="H20" t="inlineStr">
        <is>
          <t>Feminine</t>
        </is>
      </c>
      <c r="I20" t="inlineStr">
        <is>
          <t>Wednesday</t>
        </is>
      </c>
      <c r="J20" t="inlineStr">
        <is>
          <t>CUPID, EROS, HATHOR</t>
        </is>
      </c>
      <c r="K20" t="inlineStr">
        <is>
          <t>MOON</t>
        </is>
      </c>
      <c r="L20" t="inlineStr">
        <is>
          <t>The rose was said to be the favorite flower of secret keepers. In the old courts, a rose carved into the ceiling meant that all words spoken beneath it were 'sub rosa'—under the rose—and protected by the secrecy of the queen, never to be repeated outside the room.</t>
        </is>
      </c>
      <c r="M20" t="inlineStr">
        <is>
          <t>Love, healing, psychic power, luck, protection, beauty, divination</t>
        </is>
      </c>
      <c r="N20" t="inlineStr">
        <is>
          <t>BALANCING, STRENGTHENING, Attracting good spirits</t>
        </is>
      </c>
      <c r="O20" t="inlineStr">
        <is>
          <t>*Rose Essential Oil*  Also known as: Flower of Venus.  Botanical source: Rosa damascena / Rosa centifolia.  Planet: MERCURY, VENUS  Element: Water  Energy: Feminine  Sacred Day: Wednesday.  Deity associations: CUPID, EROS, HATHOR.  Sabbat: MOON.  Association: Deeply linked to love, secrets, and the heart; famously 'sub rosa' (confidentiality)..  Magical uses: Peace, Protection, Luck, PROMOTE LOVE &amp; AFFECTION.  Powers: Love, healing, psychic power, luck, protection, beauty, divination.  Spiritual uses: BALANCING, STRENGTHENING, Attracting good spirits.  Folk lore: The rose was said to be the favorite flower of secret keepers. In the old courts, a rose carved into the ceiling meant that all words spoken beneath it were 'sub rosa'—under the rose—and protected by the secrecy of the queen, never to be repeated outside the room..  Origin: Bulgaria, Turkey, Morocco, Iran; cultivated globally.</t>
        </is>
      </c>
      <c r="P20" t="inlineStr">
        <is>
          <t>Rose</t>
        </is>
      </c>
      <c r="Q20" t="inlineStr">
        <is>
          <t>Bulgaria, Turkey, Morocco, Iran; cultivated globally</t>
        </is>
      </c>
      <c r="R20" t="inlineStr">
        <is>
          <t>Generally safe for external use. Do not ingest essential oil. Avoid during pregnancy in large amounts.</t>
        </is>
      </c>
      <c r="S20" t="inlineStr">
        <is>
          <t>ROSE BUDS PINK</t>
        </is>
      </c>
      <c r="T20" t="inlineStr">
        <is>
          <t>Love, Friendship, Power, Healing, Divination, Romantic love ceremonies</t>
        </is>
      </c>
      <c r="U20" t="inlineStr">
        <is>
          <t>ROSE BUDS RED</t>
        </is>
      </c>
      <c r="V20" t="inlineStr">
        <is>
          <t>Prophetic dreams, Healing, Health, Calming stress, Calming household upheaval, Love, Luck, Creativity, Balance, Anointing, Divination, Clairvoyance, Protection, Psychic awareness, Conjuring a lover</t>
        </is>
      </c>
      <c r="W20" t="inlineStr">
        <is>
          <t>ROSE HIP</t>
        </is>
      </c>
      <c r="X20" t="inlineStr">
        <is>
          <t>Honouring Venus, Harmony, Peace, Calming energies, Love, Soul mates, Companionship, Incense, Sachets, Charm bags, Love-attracting rituals, Cleansing before ritual, Stress relief</t>
        </is>
      </c>
      <c r="Y20" t="inlineStr">
        <is>
          <t>ROSE PETALS</t>
        </is>
      </c>
      <c r="Z20" t="inlineStr">
        <is>
          <t>Love, Sex, Passion, Conjuring a lover, Attracting love, Prophetic dreams, Healing, Calming stress, Calming household upheaval, Love messages</t>
        </is>
      </c>
      <c r="AA20" t="inlineStr">
        <is>
          <t>agate Blue Lace</t>
        </is>
      </c>
      <c r="AB20" t="inlineStr">
        <is>
          <t>Peace, patience, Happiness, warmth, gentleness, domestic harmony, tenderness</t>
        </is>
      </c>
      <c r="AC20" t="inlineStr">
        <is>
          <t>Chrysocolla</t>
        </is>
      </c>
      <c r="AD20" t="inlineStr">
        <is>
          <t>Clarity, Peace, patience, Love, wisdom, Negating dreams, Harmony, Prosperity, growth, hope, intimacy, Divination, tolerance, sleep, creativity, self-awareness.</t>
        </is>
      </c>
      <c r="AE20" t="inlineStr">
        <is>
          <t>Copper flakes</t>
        </is>
      </c>
      <c r="AF20" t="inlineStr">
        <is>
          <t>Love, Peace, friendships</t>
        </is>
      </c>
      <c r="AG20" t="inlineStr">
        <is>
          <t>Jade (jadeite)</t>
        </is>
      </c>
      <c r="AH20" t="inlineStr">
        <is>
          <t>Concentration, unconditional love, concentration, Fidelity, Harmony, Healing, justice, Protection, Luck, beauty, energy, stress relief, perspective, wisdom, growth.</t>
        </is>
      </c>
      <c r="AR20" t="inlineStr">
        <is>
          <t>Rose</t>
        </is>
      </c>
      <c r="AS20" s="42" t="inlineStr">
        <is>
          <t>Water and the heart of summer, the goddess's own scent. Love in all its forms carried in its depth. Peace and protection held alongside it. Luck and psychic power both drawn in. Anoints love workings, devotional candles, and what is being called toward the heart.</t>
        </is>
      </c>
    </row>
    <row r="21" ht="409.5" customHeight="1" s="56">
      <c r="A21" t="inlineStr">
        <is>
          <t>Rosemary</t>
        </is>
      </c>
      <c r="B21" t="inlineStr">
        <is>
          <t>Dew of the Sea</t>
        </is>
      </c>
      <c r="C21" t="inlineStr">
        <is>
          <t>Rosa damascena / Rosa centifolia</t>
        </is>
      </c>
      <c r="D21" t="inlineStr">
        <is>
          <t>Healing, Love, Protection, Purification,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Protective charm, Protective charms, Protective sachets, Protective wreaths, Protective incense, PROTECT AGAINST NEGATIVITY, Protection from negativity, Circle protection,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t>
        </is>
      </c>
      <c r="E21" t="inlineStr">
        <is>
          <t>Herb of remembrance and fidelity; protects the home and clears the mind.</t>
        </is>
      </c>
      <c r="F21" t="inlineStr">
        <is>
          <t>SUN</t>
        </is>
      </c>
      <c r="G21" t="inlineStr">
        <is>
          <t>Water</t>
        </is>
      </c>
      <c r="H21" t="inlineStr">
        <is>
          <t>Feminine</t>
        </is>
      </c>
      <c r="I21" t="inlineStr">
        <is>
          <t>Sunday</t>
        </is>
      </c>
      <c r="J21" t="inlineStr">
        <is>
          <t>APHRODITE, ISIS, VESTA</t>
        </is>
      </c>
      <c r="K21" t="inlineStr">
        <is>
          <t>IMBOLAC, LAMMAS, LITHA, MABON</t>
        </is>
      </c>
      <c r="L21" t="inlineStr">
        <is>
          <t>It is said that Rosemary once had white flowers, but when the Virgin Mary hung her blue cloak on a bush while resting on her journey, the flowers turned blue in honor of her. Since then, the plant has been known to protect the innocent and help people remember their path.</t>
        </is>
      </c>
      <c r="M21" t="inlineStr">
        <is>
          <t>Protection, love, purification, healing, memory, clarity, sleep</t>
        </is>
      </c>
      <c r="N21" t="inlineStr">
        <is>
          <t>CLARITY, ENERGY, STRENGTH OF CHARACTER, Confidence</t>
        </is>
      </c>
      <c r="O21" t="inlineStr">
        <is>
          <t>*Rosemary Essential Oil*  Also known as: Dew of the Sea.  Botanical source: Rosa damascena / Rosa centifolia.  Planet: SUN  Element: Water  Energy: Feminine  Sacred Day: Sunday.  Deity associations: APHRODITE, ISIS, VESTA.  Sabbat: IMBOLAC, LAMMAS, LITHA, MABON.  Association: Herb of remembrance and fidelity; protects the home and clears the mind..  Magical uses: Healing, Love, Protection, Purification.  Powers: Protection, love, purification, healing, memory, clarity, sleep.  Spiritual uses: CLARITY, ENERGY, STRENGTH OF CHARACTER, Confidence.  Folk lore: It is said that Rosemary once had white flowers, but when the Virgin Mary hung her blue cloak on a bush while resting on her journey, the flowers turned blue in honor of her. Since then, the plant has been known to protect the innocent and help people remember their path..  Origin: Mediterranean region; cultivated globally in temperate climates.</t>
        </is>
      </c>
      <c r="P21" t="inlineStr">
        <is>
          <t>Rosemary</t>
        </is>
      </c>
      <c r="Q21" t="inlineStr">
        <is>
          <t>Mediterranean region; cultivated globally in temperate climates</t>
        </is>
      </c>
      <c r="R21" t="inlineStr">
        <is>
          <t>Warning: Avoid during pregnancy and if epileptic. Do not ingest. May raise blood pressure.</t>
        </is>
      </c>
      <c r="S21" t="inlineStr">
        <is>
          <t>CALAMUS ROOT</t>
        </is>
      </c>
      <c r="T21" t="inlineStr">
        <is>
          <t>Aphrodisiac, Harmony, Love, Peace, Tranquillity, Strengthening spells, Binding spells, Healing incenses, Healing sachets, Emotional exhaustion, Self-confidence, Success</t>
        </is>
      </c>
      <c r="U21" t="inlineStr">
        <is>
          <t>CHAMOMILE</t>
        </is>
      </c>
      <c r="V21" t="inlineStr">
        <is>
          <t>Fortune, Justice, Love, Meditation, Money, Prosperity, Purification, Removing curses, Removing hexes, Serenity, Calm, Sleep</t>
        </is>
      </c>
      <c r="W21" t="inlineStr">
        <is>
          <t>ROSEMARY</t>
        </is>
      </c>
      <c r="X21" t="inlineStr">
        <is>
          <t>Cleansing, Consecration, Exorcism, Healing, Sleep, Peace of mind, Confidence, Courage, Good luck, Grieving, Happiness, Knowledge, Love, Memory, Passion, Preventing theft, Protection, Psychic development, Psychic protection, Purification, Release, Water rites, Sea rituals, Weddings, Blessings, Dreams, Endings, Energy, Elves, Fidelity, Honesty, Inspiration, Invocation, Longevity, Meditation, New moon, Preventing nightmares, Strength, Transformation, Wisdom</t>
        </is>
      </c>
      <c r="AA21" t="inlineStr">
        <is>
          <t>Ametrine</t>
        </is>
      </c>
      <c r="AB21" t="inlineStr">
        <is>
          <t>Astral travel, magickal power, meditation, removing negativity.</t>
        </is>
      </c>
      <c r="AC21" t="inlineStr">
        <is>
          <t>Quartz Clear</t>
        </is>
      </c>
      <c r="AD21" t="inlineStr">
        <is>
          <t>Protection, Healing, psychism, Strength, lactation</t>
        </is>
      </c>
      <c r="AR21" t="inlineStr">
        <is>
          <t>Rosemary</t>
        </is>
      </c>
      <c r="AS21" s="42" t="inlineStr">
        <is>
          <t>Water and the sea cliff herb, memory made fragrant. Healing and love carried in its clarity. Protection and purification both deepened. Memory sharpened, strength of character held. Where the working needs backbone and what is sacred needs protecting.</t>
        </is>
      </c>
    </row>
    <row r="22" ht="409.5" customHeight="1" s="56">
      <c r="A22" t="inlineStr">
        <is>
          <t>Sandalwood w.i.</t>
        </is>
      </c>
      <c r="B22" t="inlineStr">
        <is>
          <t>Sacred Wood</t>
        </is>
      </c>
      <c r="C22" t="inlineStr">
        <is>
          <t>Santalum album</t>
        </is>
      </c>
      <c r="D22" t="inlineStr">
        <is>
          <t>Protection, EXC, SISM, Exorcism, Contacting planes, Protective charm, Protective charms, Protective sachets, Protective wreaths, Protective incense, PROTECT AGAINST NEGATIVITY, Protection from negativity, Circle protection, Banishing,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Exorcisms, Exorcism herb scattering, Exorcising demons, Exorcising evil ghosts, Exorcising evil entities,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 Contacting other planes, Communion with spirits, Communing with the departed, Communing with otherworldly entities, Spirit work, Nether-realm travel, Walking between worlds, contacting a specific person, Samhain/ancestral altars, Ancestral altars, Ancestor rituals, Rituals for the dead, Honouring the dead, ancestral magic, ancestral memory, Samhain rituals, death rites, Death and rebirth rites, Necromancy, Peaceful transition for the dead, ancestors, Crone magic, Seeing past lives, Reincarnation, Reincarnation knowledge, Past lives, Mabon/Samhain, Mabon rituals, Samhain</t>
        </is>
      </c>
      <c r="E22" t="inlineStr">
        <is>
          <t>Highly sacred; used to deepen meditation, induce trance states, and elevate prayer.</t>
        </is>
      </c>
      <c r="F22" t="inlineStr">
        <is>
          <t>MERCURY</t>
        </is>
      </c>
      <c r="G22" t="inlineStr">
        <is>
          <t>Air</t>
        </is>
      </c>
      <c r="H22" t="inlineStr">
        <is>
          <t>Masculine</t>
        </is>
      </c>
      <c r="I22" t="inlineStr">
        <is>
          <t>Wednesday</t>
        </is>
      </c>
      <c r="J22" t="inlineStr">
        <is>
          <t>ISIS, LUNA</t>
        </is>
      </c>
      <c r="K22" t="inlineStr">
        <is>
          <t>MOON</t>
        </is>
      </c>
      <c r="L22" t="inlineStr">
        <is>
          <t>In the Eastern tradition, it is said that the gods enjoy the scent of Sandalwood more than any other. When the incense is burned, it creates a golden ladder that connects the world of the mortals to the heavens, allowing the spirit to rise above the weight of the material world.</t>
        </is>
      </c>
      <c r="M22" t="inlineStr">
        <is>
          <t>Protection, healing, purification, spiritual elevation, meditation, prosperity</t>
        </is>
      </c>
      <c r="N22" t="inlineStr">
        <is>
          <t>SPIRITUALITY, HARMONISING</t>
        </is>
      </c>
      <c r="O22" t="inlineStr">
        <is>
          <t>*Sandalwood w.i. Essential Oil*  Also known as: Sacred Wood.  Botanical source: Santalum album.  Planet: MERCURY  Element: Air  Energy: Masculine  Sacred Day: Wednesday.  Deity associations: ISIS, LUNA.  Sabbat: MOON.  Association: Highly sacred; used to deepen meditation, induce trance states, and elevate prayer..  Magical uses: Protection, EXC, SISM.  Powers: Protection, healing, purification, spiritual elevation, meditation, prosperity.  Spiritual uses: SPIRITUALITY, HARMONISING.  Folk lore: In the Eastern tradition, it is said that the gods enjoy the scent of Sandalwood more than any other. When the incense is burned, it creates a golden ladder that connects the world of the mortals to the heavens, allowing the spirit to rise above the weight of the material world..  Origin: India (Mysore region); also Australia and New Caledonia.</t>
        </is>
      </c>
      <c r="P22" t="inlineStr">
        <is>
          <t>Sandalwood w.i.</t>
        </is>
      </c>
      <c r="Q22" t="inlineStr">
        <is>
          <t>India (Mysore region); also Australia and New Caledonia</t>
        </is>
      </c>
      <c r="R22" t="inlineStr">
        <is>
          <t>Generally safe for external use. Do not ingest essential oil.</t>
        </is>
      </c>
      <c r="S22" t="inlineStr">
        <is>
          <t>ANISE</t>
        </is>
      </c>
      <c r="T22" t="inlineStr">
        <is>
          <t>Contacting other planes, Divination, Love, Passion, Preventing nightmares, Protection, Psychic development, Psychic protection, Purification, Clairvoyance, Cleansing, Consecration, Fertility, Gain, Good luck, Happiness, Money, Weddings</t>
        </is>
      </c>
      <c r="U22" t="inlineStr">
        <is>
          <t>DILL</t>
        </is>
      </c>
      <c r="V22" t="inlineStr">
        <is>
          <t>Love, Protection, Psychic protection, Blessings, Confidence, Determination, Negating dreams, Fertility, Prosperity, Harmony, Keeping secrets, Peace, Preventing theft, Retention, Rest, Sleep, Tranquillity</t>
        </is>
      </c>
      <c r="W22" t="inlineStr">
        <is>
          <t>FENNEL (SEED)</t>
        </is>
      </c>
      <c r="X22" t="inlineStr">
        <is>
          <t>Confidence, Courage, Fertility, Longevity, Love, Protection, Psychic protection, Purification, Strength, Consecration, Divination, Energy, Gain, Meditation, Virility, Summer rituals</t>
        </is>
      </c>
      <c r="Y22" t="inlineStr">
        <is>
          <t>HOREHOUND</t>
        </is>
      </c>
      <c r="Z22" t="inlineStr">
        <is>
          <t>Protection, Mental powers, Exorcism, Healing, Guarding against sorcery, Guarding against fascination, Exorcism herb scattering, Healing vibrations, Blessing the home, Blessing guests, Concentration, Focus, Creativity in magic, Mental clarity, Intuition</t>
        </is>
      </c>
      <c r="AA22" t="inlineStr">
        <is>
          <t>Aventurine</t>
        </is>
      </c>
      <c r="AB22" t="inlineStr">
        <is>
          <t>Creativity, motivation, inner peace, business success, intellect, perception, soothing emotions, heartache, clarity, imagination, independence, Happiness, sexuality, Strength, Prosperity, romance.</t>
        </is>
      </c>
      <c r="AR22" t="inlineStr">
        <is>
          <t>Sandalwood w.i.</t>
        </is>
      </c>
      <c r="AS22" s="42" t="inlineStr">
        <is>
          <t>Air and high spiritual vibration made accessible. Protection and exorcism both deepened in its smoke. Planes contacted, space harmonised. Where the ritual needs holding open and what is unwanted needs driving out without disturbing what should remain.</t>
        </is>
      </c>
    </row>
    <row r="23" ht="409.5" customHeight="1" s="56">
      <c r="A23" t="inlineStr">
        <is>
          <t>Tea Tree</t>
        </is>
      </c>
      <c r="B23" t="inlineStr">
        <is>
          <t>Melaleuca</t>
        </is>
      </c>
      <c r="C23" t="inlineStr">
        <is>
          <t>Melaleuca alternifolia</t>
        </is>
      </c>
      <c r="D23" t="inlineStr">
        <is>
          <t>Strength, Healing, Purification, Protection, Cleansing, Banishing, Physical Strength, Fortitude, Vitality, Inner power, and strength,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Protective charm, Protective charms, Protective wreaths, Protective incense, PROTECT AGAINST NEGATIVITY, Protection from negativity, Circle protection, Banishing negative energies, Banishing smudge, Banishing pesky spirits, Banishing unwanted energies, Casting away evil spirits, Repelling negativity, Driving away negativity, Removing negative spirits, Removing residual energies, Removing negative energy, Clearing negativity, Removing negativity, Keeping away negative forces, Exorcism, Exorcisms, Exorcism herb scattering, Exorcising demons, Exorcising evil ghosts, Exorcising evil entities, EXC,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23" t="inlineStr">
        <is>
          <t>Used for spiritual cleansing and removing impurities, both physical and energetic.</t>
        </is>
      </c>
      <c r="F23" t="inlineStr">
        <is>
          <t>Sun</t>
        </is>
      </c>
      <c r="G23" t="inlineStr">
        <is>
          <t>Fire</t>
        </is>
      </c>
      <c r="H23" t="inlineStr">
        <is>
          <t>Masculine</t>
        </is>
      </c>
      <c r="I23" t="inlineStr">
        <is>
          <t>Sunday</t>
        </is>
      </c>
      <c r="J23" t="inlineStr">
        <is>
          <t>ALL</t>
        </is>
      </c>
      <c r="K23" t="inlineStr">
        <is>
          <t>LITHA</t>
        </is>
      </c>
      <c r="L23" t="inlineStr">
        <is>
          <t>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t>
        </is>
      </c>
      <c r="M23" t="inlineStr">
        <is>
          <t>Healing, purification, protection, cleansing, strength, clarity</t>
        </is>
      </c>
      <c r="N23" t="inlineStr">
        <is>
          <t>MEDICINAL</t>
        </is>
      </c>
      <c r="O23" t="inlineStr">
        <is>
          <t>*Tea Tree Essential Oil*  Also known as: Melaleuca.  Botanical source: Melaleuca alternifolia.  Planet: Sun  Element: Fire  Energy: Masculine  Sacred Day: Sunday.  Deity associations: ALL.  Sabbat: LITHA.  Association: Used for spiritual cleansing and removing impurities, both physical and energetic..  Magical uses: Strength.  Powers: Healing, purification, protection, cleansing, strength, clarity.  Spiritual uses: MEDICINAL.  Folk lore: In the remote regions of the island, the people believed that the trees were the lungs of the earth. By inhaling the steam of the crushed leaves, they weren't just clearing their bodies; they were filling their lungs with the breath of the wilderness, pushing out the sickness of the city..  Origin: Australia (New South Wales, Queensland).</t>
        </is>
      </c>
      <c r="P23" t="inlineStr">
        <is>
          <t>Tea Tree</t>
        </is>
      </c>
      <c r="Q23" t="inlineStr">
        <is>
          <t>Australia (New South Wales, Queensland)</t>
        </is>
      </c>
      <c r="R23" t="inlineStr">
        <is>
          <t>Warning: Do not ingest — toxic internally. May cause skin irritation in sensitive individuals. Keep away from pets.</t>
        </is>
      </c>
      <c r="S23" t="inlineStr">
        <is>
          <t>CHRYSANTHEMUM</t>
        </is>
      </c>
      <c r="T23" t="inlineStr">
        <is>
          <t>House blessing</t>
        </is>
      </c>
      <c r="U23" t="inlineStr">
        <is>
          <t>ST JOHN'S WORT</t>
        </is>
      </c>
      <c r="V23" t="inlineStr">
        <is>
          <t>Protection, divination, happiness, love, health, and strength. Hang above the door on Midsummer to protect the household through the dark half of the year. Burn to banish spirits and negative energies. Carry to detect magical attacks and protect against them. One of the most powerful protective herbs in the European tradition.</t>
        </is>
      </c>
      <c r="W23" t="inlineStr">
        <is>
          <t>WINTERGREEN</t>
        </is>
      </c>
      <c r="X23" t="inlineStr">
        <is>
          <t>Protection, healing, and dowsing/divination. Witch hazel branches are the traditional wood for dowsing rods used to find water and lost objects. Used to protect against hexes and curses. Add to healing sachets for skin-related complaints. The bark is used in wand-making for dowsing wands. Carry to mend a broken heart.</t>
        </is>
      </c>
      <c r="Y23" t="inlineStr">
        <is>
          <t>WITCH HAZEL BARK</t>
        </is>
      </c>
      <c r="Z23" t="inlineStr">
        <is>
          <t>Protection, healing, divination, and mending heartbreak. The leaves carry the same magical properties as the bark — burn them to clear negative energies from a room. Place under the pillow to protect against nightmares. Use in healing rituals. Add to charm bags for protection against physical and psychic harm.</t>
        </is>
      </c>
      <c r="AA23" t="inlineStr">
        <is>
          <t>Ametrine</t>
        </is>
      </c>
      <c r="AB23" t="inlineStr">
        <is>
          <t>Astral travel, magickal power, meditation, removing negativity.</t>
        </is>
      </c>
      <c r="AC23" t="inlineStr">
        <is>
          <t>Carnelian</t>
        </is>
      </c>
      <c r="AD23" t="inlineStr">
        <is>
          <t>Happiness, Protection, energy, easing depression, promoting self-confidence, Peace, concentration, focus, Attraction, sexuality, Love, Healing, courage.</t>
        </is>
      </c>
      <c r="AE23" t="inlineStr">
        <is>
          <t>Citrine</t>
        </is>
      </c>
      <c r="AF23"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G23" t="inlineStr">
        <is>
          <t>Quartz Clear</t>
        </is>
      </c>
      <c r="AH23" t="inlineStr">
        <is>
          <t>Protection, Healing, psychism, Strength, lactation</t>
        </is>
      </c>
      <c r="AR23" t="inlineStr">
        <is>
          <t>Tea Tree</t>
        </is>
      </c>
      <c r="AS23" s="42" t="inlineStr">
        <is>
          <t>Fire and clean forest energy, the oil of the clarified and healed. Strength and healing carried together. Purification and cleansing both find it direct. Protection held. Banishing made thorough. Where clarity is needed and what is infected — energetically or otherwise — needs clearing.</t>
        </is>
      </c>
    </row>
    <row r="24" ht="409.5" customHeight="1" s="56">
      <c r="A24" t="inlineStr">
        <is>
          <t>Thyme</t>
        </is>
      </c>
      <c r="B24" t="inlineStr">
        <is>
          <t>Hillwort</t>
        </is>
      </c>
      <c r="C24" t="inlineStr">
        <is>
          <t>Thymus vulgaris</t>
        </is>
      </c>
      <c r="D24" t="inlineStr">
        <is>
          <t>Healing, Love, Purification, Confidence,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Protective sachets, Charm bags, Mojo bags, Sachets, Self-confidence, Courage, Bravery, Determination, Will Power, Leadership, Leadership skills, Commanding, Personal power</t>
        </is>
      </c>
      <c r="E24" t="inlineStr">
        <is>
          <t>Symbol of courage and strength; traditionally used for bravery and protection.</t>
        </is>
      </c>
      <c r="F24" t="inlineStr">
        <is>
          <t>VENUS</t>
        </is>
      </c>
      <c r="G24" t="inlineStr">
        <is>
          <t>Water</t>
        </is>
      </c>
      <c r="H24" t="inlineStr">
        <is>
          <t>Feminine</t>
        </is>
      </c>
      <c r="I24" t="inlineStr">
        <is>
          <t>Friday</t>
        </is>
      </c>
      <c r="J24" t="inlineStr">
        <is>
          <t>MINERVA, LOKI, VENUS, TITIANA</t>
        </is>
      </c>
      <c r="K24" t="inlineStr">
        <is>
          <t>OSTARA, BELTANE</t>
        </is>
      </c>
      <c r="L24" t="inlineStr">
        <is>
          <t>In the stories of the knights, Thyme was the herb of bravery. Before a battle, they would wear a sprig of thyme near their hearts, believing the herb would gift them the heart of a lion and ensure their courage never failed when the steel was drawn.</t>
        </is>
      </c>
      <c r="M24" t="inlineStr">
        <is>
          <t>Healing, purification, love, psychic power, courage, protection, sleep</t>
        </is>
      </c>
      <c r="N24" t="inlineStr">
        <is>
          <t>Harmony, STRENGTHENS, SUPP, Amulets/talismans</t>
        </is>
      </c>
      <c r="O24" t="inlineStr">
        <is>
          <t>*Thyme Essential Oil*  Also known as: Hillwort.  Botanical source: Thymus vulgaris.  Planet: VENUS  Element: Water  Energy: Feminine  Sacred Day: Friday.  Deity associations: MINERVA, LOKI, VENUS, TITIANA.  Sabbat: OSTARA, BELTANE.  Association: Symbol of courage and strength; traditionally used for bravery and protection..  Magical uses: Healing, Love, Purification, Confidence.  Powers: Healing, purification, love, psychic power, courage, protection, sleep.  Spiritual uses: Harmony, STRENGTHENS, SUPP, Amulets/talismans.  Folk lore: In the stories of the knights, Thyme was the herb of bravery. Before a battle, they would wear a sprig of thyme near their hearts, believing the herb would gift them the heart of a lion and ensure their courage never failed when the steel was drawn..  Origin: Mediterranean region; cultivated globally.</t>
        </is>
      </c>
      <c r="P24" t="inlineStr">
        <is>
          <t>Thyme</t>
        </is>
      </c>
      <c r="Q24" t="inlineStr">
        <is>
          <t>Mediterranean region; cultivated globally</t>
        </is>
      </c>
      <c r="R24" t="inlineStr">
        <is>
          <t>Warning: Strong skin irritant — dilute well. Avoid during pregnancy. Do not ingest essential oil.</t>
        </is>
      </c>
      <c r="S24" t="inlineStr">
        <is>
          <t>THYME</t>
        </is>
      </c>
      <c r="T24" t="inlineStr">
        <is>
          <t>Preventing nightmares, Protection, Psychic development, Clairvoyance, Cleansing, Consecration, Courage, Divination, Dreams, Exorcism, Happiness, Healing, Love, Money, Purification, Compassion, Confidence, Contacting other planes, Grieving, Meditation, Passion, Release, Renewal, Rituals for the dead, Midsummer rites</t>
        </is>
      </c>
      <c r="AA24" t="inlineStr">
        <is>
          <t>Chrysocolla</t>
        </is>
      </c>
      <c r="AB24" t="inlineStr">
        <is>
          <t>Clarity, Peace, patience, Love, wisdom, Negating dreams, Harmony, Prosperity, growth, hope, intimacy, Divination, tolerance, sleep, creativity, self-awareness.</t>
        </is>
      </c>
      <c r="AC24" t="inlineStr">
        <is>
          <t>Copper flakes</t>
        </is>
      </c>
      <c r="AD24" t="inlineStr">
        <is>
          <t>Love, Peace, friendships</t>
        </is>
      </c>
      <c r="AE24" t="inlineStr">
        <is>
          <t>Goldstone</t>
        </is>
      </c>
      <c r="AF24" t="inlineStr">
        <is>
          <t>Hope, protection.</t>
        </is>
      </c>
      <c r="AG24" t="inlineStr">
        <is>
          <t>Jade (jadeite)</t>
        </is>
      </c>
      <c r="AH24" t="inlineStr">
        <is>
          <t>Concentration, unconditional love, concentration, Fidelity, Harmony, Healing, justice, Protection, Luck, beauty, energy, stress relief, perspective, wisdom, growth.</t>
        </is>
      </c>
      <c r="AR24" t="inlineStr">
        <is>
          <t>Thyme</t>
        </is>
      </c>
      <c r="AS24" s="42" t="inlineStr">
        <is>
          <t>Water and the old hillside, the oil of quiet endurance. Healing and love both carried in its depth. Purification and confidence deepened. Psychic power and protection held together. Where the working needs the courage to continue and the patience to see it through.</t>
        </is>
      </c>
    </row>
    <row r="25" ht="409.5" customHeight="1" s="56">
      <c r="A25" t="inlineStr">
        <is>
          <t>Vanilla</t>
        </is>
      </c>
      <c r="B25" t="inlineStr">
        <is>
          <t>Black Flower</t>
        </is>
      </c>
      <c r="C25" t="inlineStr">
        <is>
          <t>Vanilla planifolia</t>
        </is>
      </c>
      <c r="D25" t="inlineStr">
        <is>
          <t>MENTAL POWERS, LOVING &amp; LUSTFUL ENERGIES, Wisdom, Aphrodisiac, Love, Prosperity, Happiness, Harmony, Aphrodisiac tea, Sensuality, Lust, Lust/Sex, Passionate love-making, SEX MAGIC, RAISE SEXUAL ENERGY, Sexual energy, Knowledge, Intelligence, Intuition, Mental clarity, Sharpening the wits, Sharpening the brain, MEM, Memory, Concentration, Focus, Illumination, Enlightenment,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Joy, Joyous celebrations, Contentment</t>
        </is>
      </c>
      <c r="E25" t="inlineStr">
        <is>
          <t>Associated with love, attraction, and mental stimulation; used to soothe the spirit.</t>
        </is>
      </c>
      <c r="F25" t="inlineStr">
        <is>
          <t>VENUS</t>
        </is>
      </c>
      <c r="G25" t="inlineStr">
        <is>
          <t>Water</t>
        </is>
      </c>
      <c r="H25" t="inlineStr">
        <is>
          <t>Feminine</t>
        </is>
      </c>
      <c r="I25" t="inlineStr">
        <is>
          <t>Friday</t>
        </is>
      </c>
      <c r="J25" t="inlineStr">
        <is>
          <t>APHRODITE, VENUS</t>
        </is>
      </c>
      <c r="K25" t="inlineStr">
        <is>
          <t>OSTARA, BELTANE</t>
        </is>
      </c>
      <c r="L25" t="inlineStr">
        <is>
          <t>The myth tells of a princess who was turned into a vine because she was too beautiful for the earth. The fruit she left behind—the vanilla bean—was said to be a love potion. It is believed that just by smelling the scent, a person’s heart becomes open to the possibility of love.</t>
        </is>
      </c>
      <c r="M25" t="inlineStr">
        <is>
          <t>Love, lust, mental power, energy, prosperity, happiness</t>
        </is>
      </c>
      <c r="N25" t="inlineStr">
        <is>
          <t>SOOTHES NERVES, CALMS, RELAXES</t>
        </is>
      </c>
      <c r="O25" t="inlineStr">
        <is>
          <t>*Vanilla Essential Oil*  Also known as: Black Flower.  Botanical source: Vanilla planifolia.  Planet: VENUS  Element: Water  Energy: Feminine  Sacred Day: Friday.  Deity associations: APHRODITE, VENUS.  Sabbat: OSTARA, BELTANE.  Association: Associated with love, attraction, and mental stimulation; used to soothe the spirit..  Magical uses: MENTAL POWERS, LOVING &amp; LUSTFUL ENERGIES.  Powers: Love, lust, mental power, energy, prosperity, happiness.  Spiritual uses: SOOTHES NERVES, CALMS, RELAXES.  Folk lore: The myth tells of a princess who was turned into a vine because she was too beautiful for the earth. The fruit she left behind—the vanilla bean—was said to be a love potion. It is believed that just by smelling the scent, a person’s heart becomes open to the possibility of love..  Origin: Mexico (origin); Madagascar, Indonesia, Tahiti (main producers).</t>
        </is>
      </c>
      <c r="P25" t="inlineStr">
        <is>
          <t>Vanilla</t>
        </is>
      </c>
      <c r="Q25" t="inlineStr">
        <is>
          <t>Mexico (origin); Madagascar, Indonesia, Tahiti (main producers)</t>
        </is>
      </c>
      <c r="R25" t="inlineStr">
        <is>
          <t>Generally safe for external ritual use. Do not ingest essential oil.</t>
        </is>
      </c>
      <c r="AA25" t="inlineStr">
        <is>
          <t>Chrysocolla</t>
        </is>
      </c>
      <c r="AB25" t="inlineStr">
        <is>
          <t>Clarity, Peace, patience, Love, wisdom, Negating dreams, Harmony, Prosperity, growth, hope, intimacy, Divination, tolerance, sleep, creativity, self-awareness.</t>
        </is>
      </c>
      <c r="AC25" t="inlineStr">
        <is>
          <t>Copper flakes</t>
        </is>
      </c>
      <c r="AD25" t="inlineStr">
        <is>
          <t>Love, Peace, friendships</t>
        </is>
      </c>
      <c r="AE25" t="inlineStr">
        <is>
          <t>Goldstone</t>
        </is>
      </c>
      <c r="AF25" t="inlineStr">
        <is>
          <t>Hope, protection.</t>
        </is>
      </c>
      <c r="AG25" t="inlineStr">
        <is>
          <t>Jade (jadeite)</t>
        </is>
      </c>
      <c r="AH25" t="inlineStr">
        <is>
          <t>Concentration, unconditional love, concentration, Fidelity, Harmony, Healing, justice, Protection, Luck, beauty, energy, stress relief, perspective, wisdom, growth.</t>
        </is>
      </c>
      <c r="AR25" t="inlineStr">
        <is>
          <t>Vanilla</t>
        </is>
      </c>
      <c r="AS25" s="42" t="inlineStr">
        <is>
          <t>Water and the warm depth of the tropics, the oil of the awakened senses. Love and aphrodisiac energy deepened. Wisdom and prosperity both find it warming. Happiness and harmony drawn in on its sweetness. Where love needs deepening and the senses need honouring.</t>
        </is>
      </c>
    </row>
    <row r="26" ht="409.5" customHeight="1" s="56">
      <c r="A26" t="inlineStr">
        <is>
          <t>Ylang Ylang</t>
        </is>
      </c>
      <c r="B26" t="inlineStr">
        <is>
          <t>Flower of Flowers</t>
        </is>
      </c>
      <c r="C26" t="inlineStr">
        <is>
          <t>Cananga odorata</t>
        </is>
      </c>
      <c r="D26" t="inlineStr">
        <is>
          <t>SEX MAGIC, Protection, LOVE &amp; PEACE, CLEARING NEGATIVITY, Aphrodisiac, Love, Peace, Banishing, Aphrodisiac tea, Sensuality, Lust, Lust/Sex, Passionate love-making, LOVING &amp; LUSTFUL ENERGIES, RAISE SEXUAL ENERGY, Sexual energy, Protective charm, Protective charms, Protective sachets, Protective wreaths, Protective incense, PROTECT AGAINST NEGATIVITY, Protection from negativity, Circle protection, Love magick, Love drawing, Attracting love, Love-attracting rituals, Inviting love, Inducing love, Love charms, Love enchantment, Finding love, Romantic love ceremonies, PROMOTE LOVE &amp; AFFECTION,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Banishing negative energies, Banishing smudge, Banishing pesky spirits, Banishing unwanted energies, Casting away evil spirits, Repelling negativity, Driving away negativity, Removing negative spirits, Removing residual energies, Removing negative energy, Removing negativity, Keeping away negative forces, Exorcism, Exorcisms, Exorcism herb scattering, Exorcising demons, Exorcising evil ghosts, Exorcising evil entities, EXC, Cleansing, Cleansing the aura, Cleansing baths, Cleansing tools, Cleansing the home, Cleansing space, Pre-ritual cleansing, Removing dark energies, Clearing aura attachments, Cleansing atmospheres, Cleansing objects, Cleansing body and spirit, Sweeping sacred spaces, Cleansing ritual areas, Cleansing negativity, Ritual baths, Ritual bath, Cleansing before ritual, Purifying body and mind</t>
        </is>
      </c>
      <c r="E26" t="inlineStr">
        <is>
          <t>Used in love magic, to boost confidence, and to foster peace.</t>
        </is>
      </c>
      <c r="F26" t="inlineStr">
        <is>
          <t>VENUS</t>
        </is>
      </c>
      <c r="G26" t="inlineStr">
        <is>
          <t>Water</t>
        </is>
      </c>
      <c r="H26" t="inlineStr">
        <is>
          <t>Feminine</t>
        </is>
      </c>
      <c r="I26" t="inlineStr">
        <is>
          <t>Friday</t>
        </is>
      </c>
      <c r="J26" t="inlineStr">
        <is>
          <t>APHRODITE, VENUS</t>
        </is>
      </c>
      <c r="K26" t="inlineStr">
        <is>
          <t>OSTARA, BELTANE</t>
        </is>
      </c>
      <c r="L26" t="inlineStr">
        <is>
          <t>It was said that in the islands, the scent of Ylang Ylang is so powerful that it can bridge the distance between two lovers who are far apart. If you focus on the scent, you can send a message of peace and affection across the sea, and the wind will carry it to their heart.</t>
        </is>
      </c>
      <c r="M26" t="inlineStr">
        <is>
          <t>Love, lust, peace, happiness, confidence, attraction, calming</t>
        </is>
      </c>
      <c r="N26" t="inlineStr">
        <is>
          <t>Peace, ENTHUSIASM, Happiness, UPLIFTMENT</t>
        </is>
      </c>
      <c r="O26" t="inlineStr">
        <is>
          <t>*Ylang Ylang Essential Oil*  Also known as: Flower of Flowers.  Botanical source: Cananga odorata.  Planet: VENUS  Element: Water  Energy: Feminine  Sacred Day: Friday.  Deity associations: APHRODITE, VENUS.  Sabbat: OSTARA, BELTANE.  Association: Used in love magic, to boost confidence, and to foster peace..  Magical uses: SEX MAGIC, Protection, LOVE &amp; PEACE, CLEARING NEGATIVITY.  Powers: Love, lust, peace, happiness, confidence, attraction, calming.  Spiritual uses: Peace, ENTHUSIASM, Happiness, UPLIFTMENT.  Folk lore: It was said that in the islands, the scent of Ylang Ylang is so powerful that it can bridge the distance between two lovers who are far apart. If you focus on the scent, you can send a message of peace and affection across the sea, and the wind will carry it to their heart..  Origin: Philippines, Indonesia, Comoro Islands, Madagascar.</t>
        </is>
      </c>
      <c r="P26" t="inlineStr">
        <is>
          <t>Ylang Ylang</t>
        </is>
      </c>
      <c r="Q26" t="inlineStr">
        <is>
          <t>Philippines, Indonesia, Comoro Islands, Madagascar</t>
        </is>
      </c>
      <c r="R26" t="inlineStr">
        <is>
          <t>Warning: May cause headaches in large amounts. Avoid during pregnancy. Do not ingest. Dilute well — can cause sensitisation.</t>
        </is>
      </c>
      <c r="S26" t="inlineStr">
        <is>
          <t>BLACKBERRY LEAVES</t>
        </is>
      </c>
      <c r="T26" t="inlineStr">
        <is>
          <t>Protection, Protective wreaths, Mojo bags, Household protection, Prosperity, Female fertility, Aphrodisiac tea, Abundant harvest, Magical cooking</t>
        </is>
      </c>
      <c r="U26" t="inlineStr">
        <is>
          <t>COLTSFOOT</t>
        </is>
      </c>
      <c r="V26" t="inlineStr">
        <is>
          <t>Spring rituals, Imbolc, Ostara, Beltane, Love, Tranquillity, Money spells, Divinatory incense, Healing incense, Psychic awareness, Communion with spirits, Prophetic dreams, Removing sickness, Removing mental troubles, Visions</t>
        </is>
      </c>
      <c r="W26" t="inlineStr">
        <is>
          <t>GOLDENSEAL ROOT</t>
        </is>
      </c>
      <c r="X26" t="inlineStr">
        <is>
          <t>Attraction, Money, Wealth, Success, Prosperity, Business dealings, Healing, Illness spells, Increasing spell power</t>
        </is>
      </c>
      <c r="Y26" t="inlineStr">
        <is>
          <t>HEATHER</t>
        </is>
      </c>
      <c r="Z26" t="inlineStr">
        <is>
          <t>Opening fairy portals, Enhancing beauty, Shapeshifting, Protection from shifters, Assisting transformation</t>
        </is>
      </c>
      <c r="AA26" t="inlineStr">
        <is>
          <t>Chrysocolla</t>
        </is>
      </c>
      <c r="AB26" t="inlineStr">
        <is>
          <t>Clarity, Peace, patience, Love, wisdom, Negating dreams, Harmony, Prosperity, growth, hope, intimacy, Divination, tolerance, sleep, creativity, self-awareness.</t>
        </is>
      </c>
      <c r="AC26" t="inlineStr">
        <is>
          <t>Copper flakes</t>
        </is>
      </c>
      <c r="AD26" t="inlineStr">
        <is>
          <t>Love, Peace, friendships</t>
        </is>
      </c>
      <c r="AE26" t="inlineStr">
        <is>
          <t>Goldstone</t>
        </is>
      </c>
      <c r="AF26" t="inlineStr">
        <is>
          <t>Hope, protection.</t>
        </is>
      </c>
      <c r="AG26" t="inlineStr">
        <is>
          <t>Jade (jadeite)</t>
        </is>
      </c>
      <c r="AH26" t="inlineStr">
        <is>
          <t>Concentration, unconditional love, concentration, Fidelity, Harmony, Healing, justice, Protection, Luck, beauty, energy, stress relief, perspective, wisdom, growth.</t>
        </is>
      </c>
      <c r="AR26" t="inlineStr">
        <is>
          <t>Ylang Ylang</t>
        </is>
      </c>
      <c r="AS26" s="42" t="inlineStr">
        <is>
          <t>Water and the night-blooming intensity, the oil of passion and clearing at once. Love and aphrodisiac energy deepened. Peace drawn in alongside it. What is harmful banished on the same breath. Where passion needs raising and the path needs clearing at the same time.</t>
        </is>
      </c>
    </row>
    <row r="27" ht="409.5" customHeight="1" s="56">
      <c r="A27" t="inlineStr">
        <is>
          <t>Cinnamon</t>
        </is>
      </c>
      <c r="B27" t="inlineStr">
        <is>
          <t>Sweet Wood</t>
        </is>
      </c>
      <c r="C27" t="inlineStr">
        <is>
          <t>Cinnamomum verum</t>
        </is>
      </c>
      <c r="D27" t="inlineStr">
        <is>
          <t>Love, Prosperity, Protection, HELP ATTRACT OPPOSITE SEX, Purification, Attraction,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Protective charm, Protective charms, Protective sachets, Protective wreaths, Protective incense, PROTECT AGAINST NEGATIVITY, Protection from negativity, Circle protection, Attracting a mate, Attracting a soulmate, Conjuring a lover, Finding future love,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t>
        </is>
      </c>
      <c r="E27" t="inlineStr">
        <is>
          <t>Used to 'heat up' intentions, manifest desires, and attract prosperity rapidly.</t>
        </is>
      </c>
      <c r="F27" t="inlineStr">
        <is>
          <t>JUPITER</t>
        </is>
      </c>
      <c r="G27" t="inlineStr">
        <is>
          <t>Fire</t>
        </is>
      </c>
      <c r="H27" t="inlineStr">
        <is>
          <t>Masculine</t>
        </is>
      </c>
      <c r="I27" t="inlineStr">
        <is>
          <t>Thursday</t>
        </is>
      </c>
      <c r="J27" t="inlineStr">
        <is>
          <t>JUPITER, ZEUS</t>
        </is>
      </c>
      <c r="K27" t="inlineStr">
        <is>
          <t>LAMMAS, MABON</t>
        </is>
      </c>
      <c r="L27" t="inlineStr">
        <is>
          <t>It was said that the phoenix built its nest out of Cinnamon and Myrrh. When the bird rose from the ashes, it carried the scent of the spices, which is why Cinnamon is believed to hold the power of resurrection and the ability to turn a bad situation into a new beginning.</t>
        </is>
      </c>
      <c r="M27" t="inlineStr">
        <is>
          <t>Love, success, prosperity, protection, healing, psychic power, energy</t>
        </is>
      </c>
      <c r="N27" t="inlineStr">
        <is>
          <t>INNER WARMTH, INSPIRATION, REGENERATION, MENTAL POWERS</t>
        </is>
      </c>
      <c r="O27" t="inlineStr">
        <is>
          <t>*Cinnamon Essential Oil*  Also known as: Sweet Wood.  Botanical source: Cinnamomum verum.  Planet: JUPITER  Element: Fire  Energy: Masculine  Sacred Day: Thursday.  Deity associations: JUPITER, ZEUS.  Sabbat: LAMMAS, MABON.  Association: Used to 'heat up' intentions, manifest desires, and attract prosperity rapidly..  Magical uses: Love, Prosperity, Protection, HELP ATTRACT OPPOSITE SEX, Purification.  Powers: Love, success, prosperity, protection, healing, psychic power, energy.  Spiritual uses: INNER WARMTH, INSPIRATION, REGENERATION, MENTAL POWERS.  Folk lore: It was said that the phoenix built its nest out of Cinnamon and Myrrh. When the bird rose from the ashes, it carried the scent of the spices, which is why Cinnamon is believed to hold the power of resurrection and the ability to turn a bad situation into a new beginning..  Origin: Sri Lanka (origin); also India, Indonesia, Vietnam.</t>
        </is>
      </c>
      <c r="P27" t="inlineStr">
        <is>
          <t>Cinnamon</t>
        </is>
      </c>
      <c r="Q27" t="inlineStr">
        <is>
          <t>Sri Lanka (origin); also India, Indonesia, Vietnam</t>
        </is>
      </c>
      <c r="R27" t="inlineStr">
        <is>
          <t>Warning: Strong skin and mucous membrane irritant — must be heavily diluted. Do not ingest. Avoid during pregnancy.</t>
        </is>
      </c>
      <c r="S27" t="inlineStr">
        <is>
          <t>CINNAMON STICKS</t>
        </is>
      </c>
      <c r="T27" t="inlineStr">
        <is>
          <t>Clairvoyance, Consecration, Divination, Energy, Good luck, Love, Money, Passion, Peace, Prosperity, Protection, Psychic development, Success, Communication, Happiness, Harmony, Healing, Inspiration, Knowledge, Meditation, Purification, Spirituality, Tranquillity, Wisdom</t>
        </is>
      </c>
      <c r="AA27" t="inlineStr">
        <is>
          <t>Ametrine</t>
        </is>
      </c>
      <c r="AB27" t="inlineStr">
        <is>
          <t>Astral travel, magickal power, meditation, removing negativity.</t>
        </is>
      </c>
      <c r="AR27" t="inlineStr">
        <is>
          <t>Cinnamon</t>
        </is>
      </c>
      <c r="AS27" s="42" t="inlineStr">
        <is>
          <t>Fire and the spice of the successful working. Love and prosperity both find it warming. Protection and attraction drawn in on its heat. Psychic power and healing sharpened. Where the working needs fire behind it and nothing has been moving.</t>
        </is>
      </c>
    </row>
    <row r="28" ht="409.5" customHeight="1" s="56">
      <c r="A28" t="inlineStr">
        <is>
          <t>Ginger</t>
        </is>
      </c>
      <c r="B28" t="inlineStr">
        <is>
          <t>Root of Fire</t>
        </is>
      </c>
      <c r="C28" t="inlineStr">
        <is>
          <t>Zingiber officinale</t>
        </is>
      </c>
      <c r="D28" t="inlineStr">
        <is>
          <t>Prosperity, Healing, Love, Strength, Fertility,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Healing magic, Healing spells, Healing sachets, Healing incenses, Healing mixtures, Healing rituals, Healing incense, Healing vibrations, healing after surgery, Aiding recovery, Aiding the ill, Improving health, Speeding recovery, Good health, health,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Physical Strength, Fortitude, Vitality, Inner power, and strength</t>
        </is>
      </c>
      <c r="E28" t="inlineStr">
        <is>
          <t>Used for energy, motivation, and speeding up magical work.</t>
        </is>
      </c>
      <c r="F28" t="inlineStr">
        <is>
          <t>MARS, SUN</t>
        </is>
      </c>
      <c r="G28" t="inlineStr">
        <is>
          <t>Fire</t>
        </is>
      </c>
      <c r="H28" t="inlineStr">
        <is>
          <t>Masculine</t>
        </is>
      </c>
      <c r="I28" t="inlineStr">
        <is>
          <t>Sunday</t>
        </is>
      </c>
      <c r="J28" t="inlineStr">
        <is>
          <t>ARES, VENUS</t>
        </is>
      </c>
      <c r="K28" t="inlineStr">
        <is>
          <t>BELTANE, LITHA</t>
        </is>
      </c>
      <c r="L28" t="inlineStr">
        <is>
          <t>It is said that Ginger grew where a drop of liquid sun hit the earth. Because of its fiery taste, it was believed to grant the eater the 'fire of the gut,' helping them digest not just food, but life experiences, turning bitterness into wisdom.</t>
        </is>
      </c>
      <c r="M28" t="inlineStr">
        <is>
          <t>Love, money, success, power, protection, healing, energy</t>
        </is>
      </c>
      <c r="N28" t="inlineStr">
        <is>
          <t>Confidence, EMPATHY, LIBERATION, OPTIMISM, STRENGTHENS</t>
        </is>
      </c>
      <c r="O28" t="inlineStr">
        <is>
          <t>*Ginger Essential Oil*  Also known as: Root of Fire.  Botanical source: Zingiber officinale.  Planet: MARS, SUN  Element: Fire  Energy: Masculine  Sacred Day: Sunday.  Deity associations: ARES, VENUS.  Sabbat: BELTANE, LITHA.  Association: Used for energy, motivation, and speeding up magical work..  Magical uses: Prosperity, Healing, Love, Strength.  Powers: Love, money, success, power, protection, healing, energy.  Spiritual uses: Confidence, EMPATHY, LIBERATION, OPTIMISM, STRENGTHENS.  Folk lore: It is said that Ginger grew where a drop of liquid sun hit the earth. Because of its fiery taste, it was believed to grant the eater the 'fire of the gut,' helping them digest not just food, but life experiences, turning bitterness into wisdom..  Origin: India, China, Southeast Asia; cultivated globally in tropical climates.</t>
        </is>
      </c>
      <c r="P28" t="inlineStr">
        <is>
          <t>Ginger</t>
        </is>
      </c>
      <c r="Q28" t="inlineStr">
        <is>
          <t>India, China, Southeast Asia; cultivated globally in tropical climates</t>
        </is>
      </c>
      <c r="R28" t="inlineStr">
        <is>
          <t>Warning: May cause skin irritation — dilute well. Phototoxic. Avoid during pregnancy in large amounts. Do not ingest.</t>
        </is>
      </c>
      <c r="S28" t="inlineStr">
        <is>
          <t>GINGER ROOT</t>
        </is>
      </c>
      <c r="T28" t="inlineStr">
        <is>
          <t>Love, Passion, Psychic protection, Cursing, Health, Psychic development, Sensuality, Success</t>
        </is>
      </c>
      <c r="AA28" t="inlineStr">
        <is>
          <t>Bloodstone</t>
        </is>
      </c>
      <c r="AB28" t="inlineStr">
        <is>
          <t>Healing, Prosperity, Confidence, physical strength, stress relief, help in business, legal matters, revitalization, guidance, rain, ganization.</t>
        </is>
      </c>
      <c r="AC28" t="inlineStr">
        <is>
          <t>Carnelian</t>
        </is>
      </c>
      <c r="AD28" t="inlineStr">
        <is>
          <t>Happiness, Protection, energy, easing depression, promoting self-confidence, Peace, concentration, focus, Attraction, sexuality, Love, Healing, courage.</t>
        </is>
      </c>
      <c r="AE28" t="inlineStr">
        <is>
          <t>Citrine</t>
        </is>
      </c>
      <c r="AF28" t="inlineStr">
        <is>
          <t>Sleep, Luck, creativity, Protection, Confidence, magickal power, optimism, Prosperity, acquisition &amp; maintenance of wealth, mental focus, Strength, clarity of thought, open mindedness, successful outcomes, career success, smoothing family problems, dissipating negative energy.</t>
        </is>
      </c>
      <c r="AG28" t="inlineStr">
        <is>
          <t>Garnet</t>
        </is>
      </c>
      <c r="AH28" t="inlineStr">
        <is>
          <t>Healing, cheery disposition, Confidence, Love, business success, past life regression, consistency of love &amp; friendship, travel protection, Happiness, Peace, Harmony, patience, inspiration, persistence, wisdom, fertility.</t>
        </is>
      </c>
      <c r="AI28" t="inlineStr">
        <is>
          <t>THURISAZ</t>
        </is>
      </c>
      <c r="AJ28" t="inlineStr">
        <is>
          <t>TH</t>
        </is>
      </c>
      <c r="AK28" t="inlineStr">
        <is>
          <t>Protection, Protection (hexes/evil), Banishing, Warding, Exorcism, Magical power, Strength</t>
        </is>
      </c>
      <c r="AR28" t="inlineStr">
        <is>
          <t>Ginger</t>
        </is>
      </c>
      <c r="AS28" s="42" t="inlineStr">
        <is>
          <t>Fire and the root of the warm earth, the oil of the working put back into motion. Prosperity and healing drawn in on its heat. Love and strength both find it willing. Fertility alive in its warmth. Where the working needs energy and what has been sluggish needs moving.</t>
        </is>
      </c>
    </row>
    <row r="29" ht="409.5" customHeight="1" s="56">
      <c r="A29" t="inlineStr">
        <is>
          <t>Patchouli</t>
        </is>
      </c>
      <c r="B29" t="inlineStr">
        <is>
          <t>Earth Essence</t>
        </is>
      </c>
      <c r="C29" t="inlineStr">
        <is>
          <t>Pogostemon cablin</t>
        </is>
      </c>
      <c r="D29" t="inlineStr">
        <is>
          <t>Fertility, Love, Prosperity, RAISE SEXUAL ENERGY, Aphrodisiac, Female fertility, Fertility magic, Fertility charms, Aiding fertility, Increasing fertility, Fruitfulness, Virility, male virility, Abundant harvest, Wealth, Wealth/Prosperity, Attracting business, Business dealings, abundance, Financial arrangements, Aiding gain, Gain, PROSPERITY SPELLS, Increasing wealth, Money, Money spells, Attracting money, Drawing money, INCREASE MONEY, Breaking financial stagnation, Money mixtures, Protecting against poverty, Warding off poverty,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Peace,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Meditation, Contemplation, Concentration, Focus, Sun God offerings, Solar spells, Aphrodisiac tea, Sensuality, Lust, Lust/Sex, Passionate love-making, LOVING &amp; LUSTFUL ENERGIES, SEX MAGIC, Sexual energy</t>
        </is>
      </c>
      <c r="E29" t="inlineStr">
        <is>
          <t>Associated with groundedness, material success, and wealth-drawing.</t>
        </is>
      </c>
      <c r="F29" t="inlineStr">
        <is>
          <t>SATURN</t>
        </is>
      </c>
      <c r="G29" t="inlineStr">
        <is>
          <t>Earth</t>
        </is>
      </c>
      <c r="H29" t="inlineStr">
        <is>
          <t>Masculine</t>
        </is>
      </c>
      <c r="I29" t="inlineStr">
        <is>
          <t>Saturday</t>
        </is>
      </c>
      <c r="J29" t="inlineStr">
        <is>
          <t>CERNUNNOS, PAN, HECATE</t>
        </is>
      </c>
      <c r="K29" t="inlineStr">
        <is>
          <t>OSTARA, SAMHAIN, YULE</t>
        </is>
      </c>
      <c r="L29" t="inlineStr">
        <is>
          <t>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t>
        </is>
      </c>
      <c r="M29" t="inlineStr">
        <is>
          <t>Love, wealth, protection, fertility, grounding, prosperity, attraction</t>
        </is>
      </c>
      <c r="N29" t="inlineStr">
        <is>
          <t>ASTUTENESS, REASONABLENESS, STIMULATION, Aphrodisiac</t>
        </is>
      </c>
      <c r="O29" t="inlineStr">
        <is>
          <t>*Patchouli Essential Oil*  Also known as: Earth Essence.  Botanical source: Pogostemon cablin.  Planet: SATURN  Element: Earth  Energy: Masculine  Sacred Day: Saturday.  Deity associations: CERNUNNOS, PAN, HECATE.  Sabbat: OSTARA, SAMHAIN, YULE.  Association: Associated with groundedness, material success, and wealth-drawing..  Magical uses: Fertility, Love, Prosperity, RAISE SEXUAL ENERGY.  Powers: Love, wealth, protection, fertility, grounding, prosperity, attraction.  Spiritual uses: ASTUTENESS, REASONABLENESS, STIMULATION, Aphrodisiac.  Folk lore: Old folklore says that Patchouli was the scent of the earth after the first rain. Because it is so connected to the soil, it was used by merchants to mark their coin purses, believing that if the money smelled of the earth, it would always find its way back to the ground it came from..  Origin: Southeast Asia (Indonesia, Philippines, India, Malaysia).</t>
        </is>
      </c>
      <c r="P29" t="inlineStr">
        <is>
          <t>Patchouli</t>
        </is>
      </c>
      <c r="Q29" t="inlineStr">
        <is>
          <t>Southeast Asia (Indonesia, Philippines, India, Malaysia)</t>
        </is>
      </c>
      <c r="R29" t="inlineStr">
        <is>
          <t>Generally safe for external use. Do not ingest essential oil. Avoid excessive use during pregnancy.</t>
        </is>
      </c>
      <c r="S29" t="inlineStr">
        <is>
          <t>CHIVE</t>
        </is>
      </c>
      <c r="T29" t="inlineStr">
        <is>
          <t>Banishing, Exorcism, Breaking bad habits, Dispelling melancholy, Protection against disease, Weight loss spells</t>
        </is>
      </c>
      <c r="U29" t="inlineStr">
        <is>
          <t>CLEAVERS</t>
        </is>
      </c>
      <c r="V29" t="inlineStr">
        <is>
          <t>Spring tonic, Healing, Psychic powers, Spring festivals, Purification rituals, Menarche rituals, Binding spells, Binding rituals</t>
        </is>
      </c>
      <c r="W29" t="inlineStr">
        <is>
          <t>HEARTSEASE</t>
        </is>
      </c>
      <c r="X29" t="inlineStr">
        <is>
          <t>Midsummer celebrations, Love charms, Heart magic, Beauty magic</t>
        </is>
      </c>
      <c r="Y29" t="inlineStr">
        <is>
          <t>RUE</t>
        </is>
      </c>
      <c r="Z29" t="inlineStr">
        <is>
          <t>Peaceful vibrations, Removing jinxes, Conquest, Charm, Attraction, Love, Prosperity, Repelling negativity, Protection from conjure, Protection from evil spirits, Warding off the Evil Eye, Protection, Breaking spells, Improving health, Removing jinxes, Lover’s incense, Attracting a mate, Attracting love, Protection from wrong choices, Amulets, Protection from hexes, Protection from hauntings, Love enchantment, Warding off sickness, Warding off headaches, Speeding recovery</t>
        </is>
      </c>
      <c r="AA29" t="inlineStr">
        <is>
          <t>Jet</t>
        </is>
      </c>
      <c r="AB29" t="inlineStr">
        <is>
          <t>Purification, psychic protection, virility, control, Luck, Healing, Divination, protection from illness &amp; violence, guarding against nightmares.</t>
        </is>
      </c>
      <c r="AC29" t="inlineStr">
        <is>
          <t>obsidian snowflake</t>
        </is>
      </c>
      <c r="AD29" t="inlineStr">
        <is>
          <t>Grounds spiritual energy to the physical plane, abs, bs negativity, enhances serenity</t>
        </is>
      </c>
      <c r="AR29" t="inlineStr">
        <is>
          <t>Patchouli</t>
        </is>
      </c>
      <c r="AS29" s="42" t="inlineStr">
        <is>
          <t>Earth and the first rain on warm soil, the oil of the earth herself. Fertility and love deepened in its earthy depth. Prosperity and grounding both carried. Aphrodisiac energy deep and enduring. Anoints where roots need laying down and what is being built needs the earth beneath it.</t>
        </is>
      </c>
    </row>
    <row r="30" ht="409.5" customHeight="1" s="56">
      <c r="A30" t="inlineStr">
        <is>
          <t>Sandalwood In.</t>
        </is>
      </c>
      <c r="B30" t="inlineStr">
        <is>
          <t>Sacred Wood</t>
        </is>
      </c>
      <c r="C30" t="inlineStr">
        <is>
          <t>Santalum album</t>
        </is>
      </c>
      <c r="D30" t="inlineStr">
        <is>
          <t>WISHES, PSYCHIC POWERS, Luck, Clairvoyance, Protection, Healing, Purification, Meditation, Peace, Spell-breaking, Reversing harmful spells, Breaking spells, Hex breaking, Removing hexes, Removing curses, Removing jinxes, Removing bad luck, Breaking hexes, Returning hexes, hex-breaking, Removing hexes and curses, Removing a jinx, Good luck, Good luck in family matters, Fortune, Casino luck, Wish magick, Carrying wishes, Transmuting wishes, Enhancing clairvoyance, Psychic development, INCREASE PSYCHIC ABILITIES, Psychic awareness, Stimulating psychic senses, Disabling psychic phenomena, Psychic communication, communication and psychic abilities, Protective charm, Protective charms, Protective sachets, Protective wreaths, Protective incense, PROTECT AGAINST NEGATIVITY, Protection from negativity, Circle protection, Healing magic, Healing spells, Healing sachets, Healing incenses, Healing mixtures, Healing rituals, Healing incense, Healing vibrations, healing after surgery, Aiding recovery, Aiding the ill, Improving health, Speeding recovery, Good health, health, Purifying ritual areas, Purifying  Purifying new homes, Purifying new homes, Purifying the home, Self-purification, Purifying ritual spaces, Purification rituals, Sanctifying an area, Dedicating sacred spaces, Creating sacred spaces, Consecration, Blessing objects, Consecrating altar cloths, Anointing, Anointing tools, Anointing candles, Anointing altars, Anointing the body, Anointing amulets, Anointing talismans, Anointing baths, Anointing charm bags, Anointing mojo bags, Consecrating incense burners, Amulets/talismans, Amulets, Talismans, Charm bags, Mojo bags, Sachets, Love, Love magick, Love drawing, Attracting love, Love-attracting rituals, Inviting love, Inducing love, Love charms, Love enchantment, Finding love, Romantic love ceremonies, PROMOTE LOVE &amp; AFFECTION, LOVE &amp; PEACE, Spiritual love, Love rituals, Star magick, Moon magic, Astral projection, Astral travel, Out-of-body protection, SPIRITUALITY, High spiritual vibrations, Spiritual awareness, Spiritual vibrations, Spirit offerings, Spirit offering, Ritual offerings, Offerings to Sun Gods, Offerings to forest spirits, Offerings to gods, Inviting spirits, Offertory incense, Attracting good spirits, Calling good spirits, Calling spirits, Summoning spirits, Conjuring spirits, Conjuring beneficial spirits, Otherworld travel, Shamanic work, shamanic journeying, Nether-realm travel, Walking between worlds, Harmony, Domestic harmony, Peace of mind, Tranquillity, PEACE &amp; HAPPINESS, Calming, Soothing, Calm, Calmness, Relaxation, Calming energies, Calming the mind, Calming stormy situations, Serenity, AID MEDITATION, Inner peace, Peaceful vibrations, Calming stress, Calming household upheaval, FRIENDSHIP, House blessing, Blessing the home, Homestead protection, Sick-room blessings, Home protection, Household protection, Healing altars, Home blessing, Ensuring joy in the home, Tranquillity in the home, Blessing guests, Blessing domestic animals, Contemplation, Concentration, Focus, Sun God offerings, Solar spells</t>
        </is>
      </c>
      <c r="E30" t="inlineStr">
        <is>
          <t>Used for spiritual connection, meditation, and grounding one's energy.</t>
        </is>
      </c>
      <c r="F30" t="inlineStr">
        <is>
          <t>MERCURY</t>
        </is>
      </c>
      <c r="G30" t="inlineStr">
        <is>
          <t>Air</t>
        </is>
      </c>
      <c r="H30" t="inlineStr">
        <is>
          <t>Masculine</t>
        </is>
      </c>
      <c r="I30" t="inlineStr">
        <is>
          <t>Wednesday</t>
        </is>
      </c>
      <c r="J30" t="inlineStr">
        <is>
          <t>ISIS, LUNA</t>
        </is>
      </c>
      <c r="K30" t="inlineStr">
        <is>
          <t>MOON</t>
        </is>
      </c>
      <c r="L30" t="inlineStr">
        <is>
          <t>It is said that Sandalwood is the wood that dreams are made of. In the temples, the monks believed that if you meditated with the scent, you could walk in your sleep through the history of your ancestors, learning the secrets they left behind in the earth.</t>
        </is>
      </c>
      <c r="M30" t="inlineStr">
        <is>
          <t>Protection, healing, purification, spiritual elevation, meditation, prosperity</t>
        </is>
      </c>
      <c r="N30" t="inlineStr">
        <is>
          <t>Peace, Aphrodisiac</t>
        </is>
      </c>
      <c r="O30" t="inlineStr">
        <is>
          <t>*Sandalwood In. Essential Oil*  Also known as: Sacred Wood.  Botanical source: Santalum album.  Planet: MERCURY  Element: Air  Energy: Masculine  Sacred Day: Wednesday.  Deity associations: ISIS, LUNA.  Sabbat: MOON.  Association: Used for spiritual connection, meditation, and grounding one's energy..  Magical uses: WISHES, PSYCHIC POWERS.  Powers: Protection, healing, purification, spiritual elevation, meditation, prosperity.  Spiritual uses: Peace, Aphrodisiac.  Folk lore: It is said that Sandalwood is the wood that dreams are made of. In the temples, the monks believed that if you meditated with the scent, you could walk in your sleep through the history of your ancestors, learning the secrets they left behind in the earth..  Origin: India (Mysore region); also Australia and New Caledonia.</t>
        </is>
      </c>
      <c r="P30" t="inlineStr">
        <is>
          <t>Sandalwood In.</t>
        </is>
      </c>
      <c r="Q30" t="inlineStr">
        <is>
          <t>India (Mysore region); also Australia and New Caledonia</t>
        </is>
      </c>
      <c r="R30" t="inlineStr">
        <is>
          <t>Generally safe for external use. Do not ingest essential oil.</t>
        </is>
      </c>
      <c r="S30" t="inlineStr">
        <is>
          <t>SANDALWOOD WHITE</t>
        </is>
      </c>
      <c r="T30" t="inlineStr">
        <is>
          <t>Clairvoyance, Divination, Good luck, Meditation, Protection, Success, High spiritual vibrations, Conjuring spirits, Exorcising demons, Exorcising evil ghosts, Clearing negativity, Healing, Conjuring beneficial spirits, Spiritual awareness, Astral projection, Wish magick, Reincarnation, Spirit offering, Consecrating altar cloths</t>
        </is>
      </c>
      <c r="AA30" t="inlineStr">
        <is>
          <t>Aventurine</t>
        </is>
      </c>
      <c r="AB30" t="inlineStr">
        <is>
          <t>Creativity, motivation, inner peace, business success, intellect, perception, soothing emotions, heartache, clarity, imagination, independence, Happiness, sexuality, Strength, Prosperity, romance.</t>
        </is>
      </c>
      <c r="AR30" t="inlineStr">
        <is>
          <t>Sandalwood In.</t>
        </is>
      </c>
      <c r="AS30" s="42" t="inlineStr">
        <is>
          <t>Air and the incense of genuine wishes met with clear intention. Luck and clairvoyance both drawn in. Protection and healing deepened. Purification and meditation find it receptive. Where intention needs focusing and the working needs lifting toward what is genuinely possible.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1.97265625" customWidth="1" style="56" min="1" max="1"/>
    <col width="16.0078125" customWidth="1" style="56" min="2" max="2"/>
    <col width="18.0234375" customWidth="1" style="56" min="3" max="3"/>
    <col width="20.04296875" customWidth="1" style="56" min="4" max="4"/>
    <col width="9.953125" customWidth="1" style="56" min="5" max="5"/>
    <col width="34.97265625" customWidth="1" style="56" min="6" max="7"/>
    <col width="25.01953125" customWidth="1" style="56" min="8" max="8"/>
  </cols>
  <sheetData>
    <row r="1">
      <c r="A1" s="44" t="inlineStr">
        <is>
          <t>Month</t>
        </is>
      </c>
      <c r="B1" s="44" t="inlineStr">
        <is>
          <t>Plant Moon Name</t>
        </is>
      </c>
      <c r="C1" s="44" t="inlineStr">
        <is>
          <t>Common Name</t>
        </is>
      </c>
      <c r="D1" s="44" t="inlineStr">
        <is>
          <t>Less Common Name</t>
        </is>
      </c>
      <c r="E1" s="44" t="inlineStr">
        <is>
          <t>Element</t>
        </is>
      </c>
      <c r="F1" s="44" t="inlineStr">
        <is>
          <t>Goals</t>
        </is>
      </c>
      <c r="G1" s="44" t="inlineStr">
        <is>
          <t>Actions</t>
        </is>
      </c>
      <c r="H1" s="44" t="inlineStr">
        <is>
          <t>Magick Focus</t>
        </is>
      </c>
    </row>
    <row r="2">
      <c r="A2" s="45" t="inlineStr">
        <is>
          <t>January</t>
        </is>
      </c>
      <c r="B2" s="45" t="inlineStr">
        <is>
          <t>Birch Moon</t>
        </is>
      </c>
      <c r="C2" s="45" t="inlineStr">
        <is>
          <t>Cold Moon</t>
        </is>
      </c>
      <c r="D2" s="45" t="inlineStr">
        <is>
          <t>Frost Moon</t>
        </is>
      </c>
      <c r="E2" s="45" t="inlineStr">
        <is>
          <t>Air</t>
        </is>
      </c>
      <c r="F2" s="45" t="inlineStr">
        <is>
          <t>Review your goals; focus on achieving them</t>
        </is>
      </c>
      <c r="G2" s="45" t="inlineStr">
        <is>
          <t>Develop your inner self</t>
        </is>
      </c>
      <c r="H2" s="45" t="inlineStr">
        <is>
          <t>Protection Sachets</t>
        </is>
      </c>
    </row>
    <row r="3">
      <c r="A3" s="45" t="inlineStr">
        <is>
          <t>February</t>
        </is>
      </c>
      <c r="B3" s="45" t="inlineStr">
        <is>
          <t>Rowan Moon</t>
        </is>
      </c>
      <c r="C3" s="45" t="inlineStr">
        <is>
          <t>Quickening Moon</t>
        </is>
      </c>
      <c r="D3" s="45" t="inlineStr">
        <is>
          <t>Ice Moon</t>
        </is>
      </c>
      <c r="E3" s="45" t="inlineStr">
        <is>
          <t>Fire</t>
        </is>
      </c>
      <c r="F3" s="45" t="inlineStr">
        <is>
          <t>Focus on your personal development goals</t>
        </is>
      </c>
      <c r="G3" s="45" t="inlineStr">
        <is>
          <t>Take responsibility for mistakes</t>
        </is>
      </c>
      <c r="H3" s="45" t="inlineStr">
        <is>
          <t>Astral Travel</t>
        </is>
      </c>
    </row>
    <row r="4">
      <c r="A4" s="45" t="inlineStr">
        <is>
          <t>March</t>
        </is>
      </c>
      <c r="B4" s="45" t="inlineStr">
        <is>
          <t>Ash Moon</t>
        </is>
      </c>
      <c r="C4" s="45" t="inlineStr">
        <is>
          <t>Storm Moon</t>
        </is>
      </c>
      <c r="D4" s="45" t="inlineStr">
        <is>
          <t>Moon of Winds</t>
        </is>
      </c>
      <c r="E4" s="45" t="inlineStr">
        <is>
          <t>Water</t>
        </is>
      </c>
      <c r="F4" s="45" t="inlineStr">
        <is>
          <t>Take a look at your financial goals</t>
        </is>
      </c>
      <c r="G4" s="45" t="inlineStr">
        <is>
          <t>Create balance in your life</t>
        </is>
      </c>
      <c r="H4" s="45" t="inlineStr">
        <is>
          <t>Luck Spells</t>
        </is>
      </c>
    </row>
    <row r="5">
      <c r="A5" s="45" t="inlineStr">
        <is>
          <t>April</t>
        </is>
      </c>
      <c r="B5" s="45" t="inlineStr">
        <is>
          <t>Alder Moon</t>
        </is>
      </c>
      <c r="C5" s="45" t="inlineStr">
        <is>
          <t>Growing Moon</t>
        </is>
      </c>
      <c r="D5" s="45" t="inlineStr">
        <is>
          <t>Seed Moon</t>
        </is>
      </c>
      <c r="E5" s="45" t="inlineStr">
        <is>
          <t>Air</t>
        </is>
      </c>
      <c r="F5" s="45" t="inlineStr">
        <is>
          <t>Take a look at your education and knowledge goals</t>
        </is>
      </c>
      <c r="G5" s="45" t="inlineStr">
        <is>
          <t>Stop planning and start doing</t>
        </is>
      </c>
      <c r="H5" s="45" t="inlineStr">
        <is>
          <t>Visualisation</t>
        </is>
      </c>
    </row>
    <row r="6">
      <c r="A6" s="45" t="inlineStr">
        <is>
          <t>May</t>
        </is>
      </c>
      <c r="B6" s="45" t="inlineStr">
        <is>
          <t>Willow Moon</t>
        </is>
      </c>
      <c r="C6" s="45" t="inlineStr">
        <is>
          <t>Flower Moon</t>
        </is>
      </c>
      <c r="D6" s="45" t="inlineStr">
        <is>
          <t>Bright Moon</t>
        </is>
      </c>
      <c r="E6" s="45" t="inlineStr">
        <is>
          <t>Fire</t>
        </is>
      </c>
      <c r="F6" s="45" t="inlineStr">
        <is>
          <t>Focus on your career goals</t>
        </is>
      </c>
      <c r="G6" s="45" t="inlineStr">
        <is>
          <t>Make a major change in your life</t>
        </is>
      </c>
      <c r="H6" s="45" t="inlineStr">
        <is>
          <t>Candle Magick</t>
        </is>
      </c>
    </row>
    <row r="7" ht="23.25" customHeight="1" s="56">
      <c r="A7" s="45" t="inlineStr">
        <is>
          <t>June</t>
        </is>
      </c>
      <c r="B7" s="45" t="inlineStr">
        <is>
          <t>Hawthorn Moon</t>
        </is>
      </c>
      <c r="C7" s="45" t="inlineStr">
        <is>
          <t>Honey Moon</t>
        </is>
      </c>
      <c r="D7" s="45" t="inlineStr">
        <is>
          <t>Moon of Horses</t>
        </is>
      </c>
      <c r="E7" s="45" t="inlineStr">
        <is>
          <t>Earth</t>
        </is>
      </c>
      <c r="F7" s="45" t="inlineStr">
        <is>
          <t>Think about your goals that involve organisation and cleaning</t>
        </is>
      </c>
      <c r="G7" s="45" t="inlineStr">
        <is>
          <t>Cleaning and home improvement, do a six month evaluation of your goals</t>
        </is>
      </c>
      <c r="H7" s="45" t="inlineStr">
        <is>
          <t>Cleansing</t>
        </is>
      </c>
    </row>
    <row r="8" ht="23.25" customHeight="1" s="56">
      <c r="A8" s="45" t="inlineStr">
        <is>
          <t>July</t>
        </is>
      </c>
      <c r="B8" s="45" t="inlineStr">
        <is>
          <t>Oak Moon</t>
        </is>
      </c>
      <c r="C8" s="45" t="inlineStr">
        <is>
          <t>Blessing Moon</t>
        </is>
      </c>
      <c r="D8" s="45" t="inlineStr">
        <is>
          <t>Moon of Claiming</t>
        </is>
      </c>
      <c r="E8" s="45" t="inlineStr">
        <is>
          <t>Water</t>
        </is>
      </c>
      <c r="F8" s="45" t="inlineStr">
        <is>
          <t>Look at goals that involve recreation, such as vacations or sports</t>
        </is>
      </c>
      <c r="G8" s="45" t="inlineStr">
        <is>
          <t>Find time to relax</t>
        </is>
      </c>
      <c r="H8" s="45" t="inlineStr">
        <is>
          <t>Meditation</t>
        </is>
      </c>
    </row>
    <row r="9" ht="23.25" customHeight="1" s="56">
      <c r="A9" s="45" t="inlineStr">
        <is>
          <t>August</t>
        </is>
      </c>
      <c r="B9" s="45" t="inlineStr">
        <is>
          <t>Holly Moon</t>
        </is>
      </c>
      <c r="C9" s="45" t="inlineStr">
        <is>
          <t>Corn Moon</t>
        </is>
      </c>
      <c r="D9" s="45" t="inlineStr">
        <is>
          <t>Moon of Encirclement</t>
        </is>
      </c>
      <c r="E9" s="45" t="inlineStr">
        <is>
          <t>Fire</t>
        </is>
      </c>
      <c r="F9" s="45" t="inlineStr">
        <is>
          <t>Focus on your health goals</t>
        </is>
      </c>
      <c r="G9" s="45" t="inlineStr">
        <is>
          <t>What sacrifices can you make now to benefit you later?</t>
        </is>
      </c>
      <c r="H9" s="45" t="inlineStr">
        <is>
          <t>Familiar Spell Work</t>
        </is>
      </c>
    </row>
    <row r="10" ht="23.25" customHeight="1" s="56">
      <c r="A10" s="45" t="inlineStr">
        <is>
          <t>September</t>
        </is>
      </c>
      <c r="B10" s="45" t="inlineStr">
        <is>
          <t>Hazel Moon</t>
        </is>
      </c>
      <c r="C10" s="45" t="inlineStr">
        <is>
          <t>Harvest Moon</t>
        </is>
      </c>
      <c r="D10" s="45" t="inlineStr">
        <is>
          <t>Singing Moon</t>
        </is>
      </c>
      <c r="E10" s="45" t="inlineStr">
        <is>
          <t>Earth</t>
        </is>
      </c>
      <c r="F10" s="45" t="inlineStr">
        <is>
          <t>Focus on goals that surround your home and the people in it</t>
        </is>
      </c>
      <c r="G10" s="45" t="inlineStr">
        <is>
          <t>Prepare for winter, set up kitchen altar</t>
        </is>
      </c>
      <c r="H10" s="45" t="inlineStr">
        <is>
          <t>Food, Cooking and Herbal Magick</t>
        </is>
      </c>
    </row>
    <row r="11">
      <c r="A11" s="45" t="inlineStr">
        <is>
          <t>October</t>
        </is>
      </c>
      <c r="B11" s="45" t="inlineStr">
        <is>
          <t>Vine Moon</t>
        </is>
      </c>
      <c r="C11" s="45" t="inlineStr">
        <is>
          <t>Blood Moon</t>
        </is>
      </c>
      <c r="D11" s="45" t="inlineStr">
        <is>
          <t>Falling Leaf Moon</t>
        </is>
      </c>
      <c r="E11" s="45" t="inlineStr">
        <is>
          <t>Air</t>
        </is>
      </c>
      <c r="F11" s="45" t="inlineStr">
        <is>
          <t>Think about goals that involve spiritual advancement</t>
        </is>
      </c>
      <c r="G11" s="45" t="inlineStr">
        <is>
          <t>Learn and look to your ancestors</t>
        </is>
      </c>
      <c r="H11" s="45" t="inlineStr">
        <is>
          <t>Scrying, Dream Work</t>
        </is>
      </c>
    </row>
    <row r="12">
      <c r="A12" s="45" t="inlineStr">
        <is>
          <t>November</t>
        </is>
      </c>
      <c r="B12" s="45" t="inlineStr">
        <is>
          <t>Ivy Moon</t>
        </is>
      </c>
      <c r="C12" s="45" t="inlineStr">
        <is>
          <t>Dark Moon</t>
        </is>
      </c>
      <c r="D12" s="45" t="inlineStr">
        <is>
          <t>Snow Moon</t>
        </is>
      </c>
      <c r="E12" s="45" t="inlineStr">
        <is>
          <t>Water</t>
        </is>
      </c>
      <c r="F12" s="45" t="inlineStr">
        <is>
          <t>Look back at your goals: how did you do?</t>
        </is>
      </c>
      <c r="G12" s="45" t="inlineStr">
        <is>
          <t>Let go of the past, move forward</t>
        </is>
      </c>
      <c r="H12" s="45" t="inlineStr">
        <is>
          <t>Banishing</t>
        </is>
      </c>
    </row>
    <row r="13" ht="23.25" customHeight="1" s="56">
      <c r="A13" s="45" t="inlineStr">
        <is>
          <t>December</t>
        </is>
      </c>
      <c r="B13" s="45" t="inlineStr">
        <is>
          <t>Elder Moon</t>
        </is>
      </c>
      <c r="C13" s="45" t="inlineStr">
        <is>
          <t>Long Night Moon</t>
        </is>
      </c>
      <c r="D13" s="45" t="inlineStr">
        <is>
          <t>Wolf Moon</t>
        </is>
      </c>
      <c r="E13" s="45" t="inlineStr">
        <is>
          <t>Earth</t>
        </is>
      </c>
      <c r="F13" s="45" t="inlineStr">
        <is>
          <t>Create new goals for the next 12 months</t>
        </is>
      </c>
      <c r="G13" s="45" t="inlineStr">
        <is>
          <t>Share your good fortune with others: volunteer and donate</t>
        </is>
      </c>
      <c r="H13" s="45" t="inlineStr">
        <is>
          <t>Gemstone Magick</t>
        </is>
      </c>
    </row>
    <row r="14">
      <c r="A14" s="45" t="inlineStr">
        <is>
          <t>Any Month</t>
        </is>
      </c>
      <c r="B14" s="45" t="inlineStr">
        <is>
          <t>Reed Moon</t>
        </is>
      </c>
      <c r="C14" s="45" t="inlineStr">
        <is>
          <t>Blue Moon</t>
        </is>
      </c>
      <c r="D14" s="45" t="inlineStr">
        <is>
          <t>Wishing Moon</t>
        </is>
      </c>
      <c r="E14" s="45" t="inlineStr">
        <is>
          <t>Spirit</t>
        </is>
      </c>
      <c r="F14" s="45" t="inlineStr">
        <is>
          <t>Look at your long-term goals (5, 10 year goals)</t>
        </is>
      </c>
      <c r="G14" s="45" t="inlineStr">
        <is>
          <t>Focus on bettering yourself</t>
        </is>
      </c>
      <c r="H14" s="45" t="inlineStr">
        <is>
          <t>Initiations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GREENMAN SPELL WORDING ENGINE — Role Wording Templates</t>
        </is>
      </c>
    </row>
    <row r="3">
      <c r="A3" t="inlineStr">
        <is>
          <t>Energy Mode</t>
        </is>
      </c>
      <c r="B3" t="inlineStr">
        <is>
          <t>Use when the spell is trying to…</t>
        </is>
      </c>
      <c r="C3" t="inlineStr">
        <is>
          <t>Pull item text from main sheet column</t>
        </is>
      </c>
    </row>
    <row r="4">
      <c r="A4" t="inlineStr">
        <is>
          <t>Draw</t>
        </is>
      </c>
      <c r="B4" t="inlineStr">
        <is>
          <t>attract, sweeten, call in, grow, invite, increase</t>
        </is>
      </c>
      <c r="C4" t="inlineStr">
        <is>
          <t>Greenman Energy — Draw</t>
        </is>
      </c>
    </row>
    <row r="5">
      <c r="A5" t="inlineStr">
        <is>
          <t>Hold</t>
        </is>
      </c>
      <c r="B5" t="inlineStr">
        <is>
          <t>protect, steady, guard, heal, keep close, strengthen</t>
        </is>
      </c>
      <c r="C5" t="inlineStr">
        <is>
          <t>Greenman Energy — Hold</t>
        </is>
      </c>
    </row>
    <row r="6">
      <c r="A6" t="inlineStr">
        <is>
          <t>Release</t>
        </is>
      </c>
      <c r="B6" t="inlineStr">
        <is>
          <t>banish, clear, dispel, break, remove, let go</t>
        </is>
      </c>
      <c r="C6" t="inlineStr">
        <is>
          <t>Greenman Energy — Release</t>
        </is>
      </c>
    </row>
    <row r="7">
      <c r="A7" t="inlineStr">
        <is>
          <t>Open / Reveal</t>
        </is>
      </c>
      <c r="B7" t="inlineStr">
        <is>
          <t>divine, dream, scry, reveal, contact, open roads</t>
        </is>
      </c>
      <c r="C7" t="inlineStr">
        <is>
          <t>Greenman Energy — Open / Reveal</t>
        </is>
      </c>
    </row>
    <row r="8">
      <c r="A8" t="inlineStr">
        <is>
          <t>Transform / Turn</t>
        </is>
      </c>
      <c r="B8" t="inlineStr">
        <is>
          <t>change, cross thresholds, begin again, mark sabbats, turn the season</t>
        </is>
      </c>
      <c r="C8" t="inlineStr">
        <is>
          <t>Greenman Energy — Transform / Turn</t>
        </is>
      </c>
    </row>
    <row r="9">
      <c r="A9" t="inlineStr">
        <is>
          <t>Over 18</t>
        </is>
      </c>
      <c r="B9" t="inlineStr">
        <is>
          <t>adult / serious working chosen from the Over 18 spell category</t>
        </is>
      </c>
      <c r="C9" t="inlineStr">
        <is>
          <t>Greenman Energy — Over 18</t>
        </is>
      </c>
    </row>
    <row r="12">
      <c r="A12" t="inlineStr">
        <is>
          <t>Role</t>
        </is>
      </c>
      <c r="B12" t="inlineStr">
        <is>
          <t>What this role does</t>
        </is>
      </c>
      <c r="C12" t="inlineStr">
        <is>
          <t>Main sheet fields to pull</t>
        </is>
      </c>
      <c r="D12" t="inlineStr">
        <is>
          <t>Jar action</t>
        </is>
      </c>
      <c r="E12" t="inlineStr">
        <is>
          <t>Jar wording frame</t>
        </is>
      </c>
      <c r="F12" t="inlineStr">
        <is>
          <t>Burning action</t>
        </is>
      </c>
      <c r="G12" t="inlineStr">
        <is>
          <t>Burning wording frame</t>
        </is>
      </c>
      <c r="H12" t="inlineStr">
        <is>
          <t>Charm Bag action</t>
        </is>
      </c>
      <c r="I12" t="inlineStr">
        <is>
          <t>Charm Bag wording frame</t>
        </is>
      </c>
      <c r="J12" t="inlineStr">
        <is>
          <t>Notes</t>
        </is>
      </c>
    </row>
    <row r="13">
      <c r="A13" t="inlineStr">
        <is>
          <t>Candle</t>
        </is>
      </c>
      <c r="B13" t="inlineStr">
        <is>
          <t>Opens the working and gives colour/fire direction.</t>
        </is>
      </c>
      <c r="C13" t="inlineStr">
        <is>
          <t>Spell Types: Candle Colour, Element, Planet, Sacred Day</t>
        </is>
      </c>
      <c r="D13" t="inlineStr">
        <is>
          <t>Anoint and light before layering.</t>
        </is>
      </c>
      <c r="E13" t="inlineStr">
        <is>
          <t>I light [Candle Colour] as the flame of [Spell Type]. Let this working wake and take root.</t>
        </is>
      </c>
      <c r="F13" t="inlineStr">
        <is>
          <t>Anoint and light before grinding/burning.</t>
        </is>
      </c>
      <c r="G13" t="inlineStr">
        <is>
          <t>I light [Candle Colour] as the flame of release, smoke and change. Let the work rise clean.</t>
        </is>
      </c>
      <c r="H13" t="inlineStr">
        <is>
          <t>Anoint and light before filling the bag.</t>
        </is>
      </c>
      <c r="I13" t="inlineStr">
        <is>
          <t>I light [Candle Colour] as the flame that seals this charm. Let it travel close and work quietly.</t>
        </is>
      </c>
      <c r="J13" t="inlineStr">
        <is>
          <t>Candle wording mostly comes from Spell Types, not item sheets.</t>
        </is>
      </c>
    </row>
    <row r="14">
      <c r="A14" t="inlineStr">
        <is>
          <t>Earth Herb</t>
        </is>
      </c>
      <c r="B14" t="inlineStr">
        <is>
          <t>Gives the spell root, body, boundary and grounding.</t>
        </is>
      </c>
      <c r="C14" t="inlineStr">
        <is>
          <t>Herbs: Name, Ye Olde Name, Magical Uses, selected Greenman Energy mode</t>
        </is>
      </c>
      <c r="D14" t="inlineStr">
        <is>
          <t>Layer into jar as the Earth/North herb.</t>
        </is>
      </c>
      <c r="E14" t="inlineStr">
        <is>
          <t>The element of Earth calls through [Ye Olde Name]. Let [Greenman Energy] root this [Spell Type] deep.</t>
        </is>
      </c>
      <c r="F14" t="inlineStr">
        <is>
          <t>Grind into base mix as Earth/North.</t>
        </is>
      </c>
      <c r="G14" t="inlineStr">
        <is>
          <t>Earth enters the grinding bowl through [Ye Olde Name]. Let [Greenman Energy] give body to the smoke.</t>
        </is>
      </c>
      <c r="H14" t="inlineStr">
        <is>
          <t>Place into charm bowl as Earth/North.</t>
        </is>
      </c>
      <c r="I14" t="inlineStr">
        <is>
          <t>Earth enters the charm through [Ye Olde Name]. Let [Greenman Energy] keep this working steady and close.</t>
        </is>
      </c>
      <c r="J14" t="inlineStr">
        <is>
          <t>Use chosen energy mode from Spell Types row.</t>
        </is>
      </c>
    </row>
    <row r="15">
      <c r="A15" t="inlineStr">
        <is>
          <t>Air Herb</t>
        </is>
      </c>
      <c r="B15" t="inlineStr">
        <is>
          <t>Gives the spell breath, thought, message and movement.</t>
        </is>
      </c>
      <c r="C15" t="inlineStr">
        <is>
          <t>Herbs: Name, Ye Olde Name, Magical Uses, selected Greenman Energy mode</t>
        </is>
      </c>
      <c r="D15" t="inlineStr">
        <is>
          <t>Layer into jar as the Air/East herb.</t>
        </is>
      </c>
      <c r="E15" t="inlineStr">
        <is>
          <t>The element of Air calls through [Ye Olde Name]. Let [Greenman Energy] breathe through this jar.</t>
        </is>
      </c>
      <c r="F15" t="inlineStr">
        <is>
          <t>Grind into base mix as Air/East.</t>
        </is>
      </c>
      <c r="G15" t="inlineStr">
        <is>
          <t>Air enters the grinding bowl through [Ye Olde Name]. Let [Greenman Energy] rise with the smoke.</t>
        </is>
      </c>
      <c r="H15" t="inlineStr">
        <is>
          <t>Place into charm bowl as Air/East.</t>
        </is>
      </c>
      <c r="I15" t="inlineStr">
        <is>
          <t>Air enters the charm through [Ye Olde Name]. Let [Greenman Energy] move with every breath and step.</t>
        </is>
      </c>
      <c r="J15" t="inlineStr">
        <is>
          <t>Air wording should feel light, moving, spoken, scented or wind-borne.</t>
        </is>
      </c>
    </row>
    <row r="16">
      <c r="A16" t="inlineStr">
        <is>
          <t>Fire Herb</t>
        </is>
      </c>
      <c r="B16" t="inlineStr">
        <is>
          <t>Gives the spell spark, courage, heat, will and transformation.</t>
        </is>
      </c>
      <c r="C16" t="inlineStr">
        <is>
          <t>Herbs: Name, Ye Olde Name, Magical Uses, selected Greenman Energy mode</t>
        </is>
      </c>
      <c r="D16" t="inlineStr">
        <is>
          <t>Layer into jar as the Fire/South herb.</t>
        </is>
      </c>
      <c r="E16" t="inlineStr">
        <is>
          <t>The element of Fire calls through [Ye Olde Name]. Let [Greenman Energy] kindle inside this jar.</t>
        </is>
      </c>
      <c r="F16" t="inlineStr">
        <is>
          <t>Grind into base mix as Fire/South.</t>
        </is>
      </c>
      <c r="G16" t="inlineStr">
        <is>
          <t>Fire enters the grinding bowl through [Ye Olde Name]. Let [Greenman Energy] quicken in flame and smoke.</t>
        </is>
      </c>
      <c r="H16" t="inlineStr">
        <is>
          <t>Place into charm bowl as Fire/South.</t>
        </is>
      </c>
      <c r="I16" t="inlineStr">
        <is>
          <t>Fire enters the charm through [Ye Olde Name]. Let [Greenman Energy] warm and strengthen what is carried.</t>
        </is>
      </c>
      <c r="J16" t="inlineStr">
        <is>
          <t>Fire wording should not always mean burning; it can be courage, will, sun, heat.</t>
        </is>
      </c>
    </row>
    <row r="17">
      <c r="A17" t="inlineStr">
        <is>
          <t>Water Herb</t>
        </is>
      </c>
      <c r="B17" t="inlineStr">
        <is>
          <t>Gives the spell feeling, flow, healing, dream and connection.</t>
        </is>
      </c>
      <c r="C17" t="inlineStr">
        <is>
          <t>Herbs: Name, Ye Olde Name, Magical Uses, selected Greenman Energy mode</t>
        </is>
      </c>
      <c r="D17" t="inlineStr">
        <is>
          <t>Layer into jar as the Water/West herb.</t>
        </is>
      </c>
      <c r="E17" t="inlineStr">
        <is>
          <t>The element of Water calls through [Ye Olde Name]. Let [Greenman Energy] flow through this jar.</t>
        </is>
      </c>
      <c r="F17" t="inlineStr">
        <is>
          <t>Grind into base mix as Water/West.</t>
        </is>
      </c>
      <c r="G17" t="inlineStr">
        <is>
          <t>Water enters the grinding bowl through [Ye Olde Name]. Let [Greenman Energy] soften, carry and release in the smoke.</t>
        </is>
      </c>
      <c r="H17" t="inlineStr">
        <is>
          <t>Place into charm bowl as Water/West.</t>
        </is>
      </c>
      <c r="I17" t="inlineStr">
        <is>
          <t>Water enters the charm through [Ye Olde Name]. Let [Greenman Energy] move gently with the heart of this work.</t>
        </is>
      </c>
      <c r="J17" t="inlineStr">
        <is>
          <t>Water wording should fit dream, healing, emotion, spirit or washing away.</t>
        </is>
      </c>
    </row>
    <row r="18">
      <c r="A18" t="inlineStr">
        <is>
          <t>Spell Herb</t>
        </is>
      </c>
      <c r="B18" t="inlineStr">
        <is>
          <t>Carries the exact spell intention; selected by spell keywords and associations.</t>
        </is>
      </c>
      <c r="C18" t="inlineStr">
        <is>
          <t>Herbs: Name, Ye Olde Name, Magical Uses, Powers, selected Greenman Energy mode</t>
        </is>
      </c>
      <c r="D18" t="inlineStr">
        <is>
          <t>Add after elemental/deity herbs as the intention layer.</t>
        </is>
      </c>
      <c r="E18" t="inlineStr">
        <is>
          <t>[Ye Olde Name] enters this jar for [Spell Type]. Let [Greenman Energy] weave the intention into the whole vessel.</t>
        </is>
      </c>
      <c r="F18" t="inlineStr">
        <is>
          <t>Add to smoking bowl after base mix.</t>
        </is>
      </c>
      <c r="G18" t="inlineStr">
        <is>
          <t>[Ye Olde Name] is offered to the smoke for [Spell Type]. Let [Greenman Energy] rise and carry the intention.</t>
        </is>
      </c>
      <c r="H18" t="inlineStr">
        <is>
          <t>Add after elemental/deity herbs into charm bag mix.</t>
        </is>
      </c>
      <c r="I18" t="inlineStr">
        <is>
          <t>[Ye Olde Name] enters this charm for [Spell Type]. Let [Greenman Energy] travel close and keep working.</t>
        </is>
      </c>
      <c r="J18" t="inlineStr">
        <is>
          <t>Use 1, 3 or 7 spell herbs depending on A Handful / A Weaving / Full Grove.</t>
        </is>
      </c>
    </row>
    <row r="19">
      <c r="A19" t="inlineStr">
        <is>
          <t>Goddess Herb</t>
        </is>
      </c>
      <c r="B19" t="inlineStr">
        <is>
          <t>Brings the selected Goddess current into the working.</t>
        </is>
      </c>
      <c r="C19" t="inlineStr">
        <is>
          <t>Deities: Name, Description, Famous Magic, Greenman Energy; Herbs if deity-linked herb is selected</t>
        </is>
      </c>
      <c r="D19" t="inlineStr">
        <is>
          <t>Add with Goddess call.</t>
        </is>
      </c>
      <c r="E19" t="inlineStr">
        <is>
          <t>I call [Goddess Name] into this jar. Let her [Famous Magic] watch over [Spell Type].</t>
        </is>
      </c>
      <c r="F19" t="inlineStr">
        <is>
          <t>Add with Goddess call before grinding/fire.</t>
        </is>
      </c>
      <c r="G19" t="inlineStr">
        <is>
          <t>I call [Goddess Name] into the smoke-road. Let her [Famous Magic] guide this [Spell Type].</t>
        </is>
      </c>
      <c r="H19" t="inlineStr">
        <is>
          <t>Add with Goddess call into charm.</t>
        </is>
      </c>
      <c r="I19" t="inlineStr">
        <is>
          <t>I call [Goddess Name] into this charm. Let her [Famous Magic] travel close with the work.</t>
        </is>
      </c>
      <c r="J19" t="inlineStr">
        <is>
          <t>If using dual deity, use Dual Deity row instead.</t>
        </is>
      </c>
    </row>
    <row r="20">
      <c r="A20" t="inlineStr">
        <is>
          <t>God Herb</t>
        </is>
      </c>
      <c r="B20" t="inlineStr">
        <is>
          <t>Brings the selected God current into the working.</t>
        </is>
      </c>
      <c r="C20" t="inlineStr">
        <is>
          <t>Deities: Name, Description, Famous Magic, Greenman Energy; Herbs if deity-linked herb is selected</t>
        </is>
      </c>
      <c r="D20" t="inlineStr">
        <is>
          <t>Add with God call.</t>
        </is>
      </c>
      <c r="E20" t="inlineStr">
        <is>
          <t>I call [God Name] into this jar. Let his [Famous Magic] strengthen [Spell Type].</t>
        </is>
      </c>
      <c r="F20" t="inlineStr">
        <is>
          <t>Add with God call before grinding/fire.</t>
        </is>
      </c>
      <c r="G20" t="inlineStr">
        <is>
          <t>I call [God Name] into the smoke-road. Let his [Famous Magic] lend force to [Spell Type].</t>
        </is>
      </c>
      <c r="H20" t="inlineStr">
        <is>
          <t>Add with God call into charm.</t>
        </is>
      </c>
      <c r="I20" t="inlineStr">
        <is>
          <t>I call [God Name] into this charm. Let his [Famous Magic] guard the working close.</t>
        </is>
      </c>
      <c r="J20" t="inlineStr">
        <is>
          <t>Can be adapted to neutral wording if deity gender wording changes later.</t>
        </is>
      </c>
    </row>
    <row r="21">
      <c r="A21" t="inlineStr">
        <is>
          <t>Dual Deity</t>
        </is>
      </c>
      <c r="B21" t="inlineStr">
        <is>
          <t>Covers both sacred powers if the user chooses a dual deity.</t>
        </is>
      </c>
      <c r="C21" t="inlineStr">
        <is>
          <t>Deities: Name, Description, Famous Magic, Greenman Energy, Energy/Gender fields</t>
        </is>
      </c>
      <c r="D21" t="inlineStr">
        <is>
          <t>Add the dual deity call once.</t>
        </is>
      </c>
      <c r="E21" t="inlineStr">
        <is>
          <t>I call [Dual Deity Name] into this jar, carrying both sacred powers through [Famous Magic].</t>
        </is>
      </c>
      <c r="F21" t="inlineStr">
        <is>
          <t>Add the dual deity call before grinding/fire.</t>
        </is>
      </c>
      <c r="G21" t="inlineStr">
        <is>
          <t>I call [Dual Deity Name] into the smoke-road, carrying both sacred powers through [Famous Magic].</t>
        </is>
      </c>
      <c r="H21" t="inlineStr">
        <is>
          <t>Add the dual deity call into charm.</t>
        </is>
      </c>
      <c r="I21" t="inlineStr">
        <is>
          <t>I call [Dual Deity Name] into this charm, carrying both sacred powers close to the work.</t>
        </is>
      </c>
      <c r="J21" t="inlineStr">
        <is>
          <t>Still keep two herb slots in tracker if that rule remains locked.</t>
        </is>
      </c>
    </row>
    <row r="22">
      <c r="A22" t="inlineStr">
        <is>
          <t>Crystal</t>
        </is>
      </c>
      <c r="B22" t="inlineStr">
        <is>
          <t>Holds the heart of the spell and receives the user's intention.</t>
        </is>
      </c>
      <c r="C22" t="inlineStr">
        <is>
          <t>Crystals: Name, Magical Uses Keywords, Powers, selected Greenman Energy mode</t>
        </is>
      </c>
      <c r="D22" t="inlineStr">
        <is>
          <t>Warm in hands, then place at bottom/root of jar.</t>
        </is>
      </c>
      <c r="E22" t="inlineStr">
        <is>
          <t>I warm [Crystal Name] in my hands. Let [Greenman Energy] hold the heart of this jar.</t>
        </is>
      </c>
      <c r="F22" t="inlineStr">
        <is>
          <t>Warm in hands and place near/between charcoal; do not burn.</t>
        </is>
      </c>
      <c r="G22" t="inlineStr">
        <is>
          <t>I warm [Crystal Name] in my hands. Let [Greenman Energy] witness the smoke and hold what must remain steady.</t>
        </is>
      </c>
      <c r="H22" t="inlineStr">
        <is>
          <t>Warm in hands and place into bag as the heart.</t>
        </is>
      </c>
      <c r="I22" t="inlineStr">
        <is>
          <t>I warm [Crystal Name] in my hands. Let [Greenman Energy] become the heart carried inside this charm.</t>
        </is>
      </c>
      <c r="J22" t="inlineStr">
        <is>
          <t>Crystal is never burned.</t>
        </is>
      </c>
    </row>
    <row r="23">
      <c r="A23" t="inlineStr">
        <is>
          <t>Oil</t>
        </is>
      </c>
      <c r="B23" t="inlineStr">
        <is>
          <t>Binds, wakes, seals and carries the ingredients into one working.</t>
        </is>
      </c>
      <c r="C23" t="inlineStr">
        <is>
          <t>Oils: Name, Magical Uses, Powers, selected Greenman Energy mode</t>
        </is>
      </c>
      <c r="D23" t="inlineStr">
        <is>
          <t>Add five drops into jar.</t>
        </is>
      </c>
      <c r="E23" t="inlineStr">
        <is>
          <t>Five drops of [Oil Name] bind this jar. Let [Greenman Energy] draw the gathered powers into one vessel.</t>
        </is>
      </c>
      <c r="F23" t="inlineStr">
        <is>
          <t>Add three drops to the base mix before burning.</t>
        </is>
      </c>
      <c r="G23" t="inlineStr">
        <is>
          <t>Three drops of [Oil Name] wake the smoking mix. Let [Greenman Energy] open as scent, heat and breath.</t>
        </is>
      </c>
      <c r="H23" t="inlineStr">
        <is>
          <t>Add five drops to charm mix before bagging.</t>
        </is>
      </c>
      <c r="I23" t="inlineStr">
        <is>
          <t>Five drops of [Oil Name] seal this charm. Let [Greenman Energy] bind what will be carried.</t>
        </is>
      </c>
      <c r="J23" t="inlineStr">
        <is>
          <t>Oil count differs by method: jar/charm five drops, burning three drops.</t>
        </is>
      </c>
    </row>
    <row r="24">
      <c r="A24" t="inlineStr">
        <is>
          <t>Rune</t>
        </is>
      </c>
      <c r="B24" t="inlineStr">
        <is>
          <t>Gives the spell shape, seal, symbol, command and protection.</t>
        </is>
      </c>
      <c r="C24" t="inlineStr">
        <is>
          <t>Runes: Rune, Letter, Meaning, Powers, selected Greenman Energy mode</t>
        </is>
      </c>
      <c r="D24" t="inlineStr">
        <is>
          <t>Anoint and place facing outward down side of jar.</t>
        </is>
      </c>
      <c r="E24" t="inlineStr">
        <is>
          <t>I anoint [Rune Name]. Let [Greenman Energy] face outward and shape the spell beyond the glass.</t>
        </is>
      </c>
      <c r="F24" t="inlineStr">
        <is>
          <t>Hold to flame, mark with cooled ash; burn later when work is complete if appropriate.</t>
        </is>
      </c>
      <c r="G24" t="inlineStr">
        <is>
          <t>I mark [Rune Name] with ash. Let [Greenman Energy] hold the shape until the fire releases it.</t>
        </is>
      </c>
      <c r="H24" t="inlineStr">
        <is>
          <t>Hold to flame, then place inside bag.</t>
        </is>
      </c>
      <c r="I24" t="inlineStr">
        <is>
          <t>I place [Rune Name] within the charm. Let [Greenman Energy] seal, guard and carry the spell.</t>
        </is>
      </c>
      <c r="J24" t="inlineStr">
        <is>
          <t>Burning spell may burn rune later; jar/charm usually keep it.</t>
        </is>
      </c>
    </row>
    <row r="25">
      <c r="A25" t="inlineStr">
        <is>
          <t>Finish Choice</t>
        </is>
      </c>
      <c r="B25" t="inlineStr">
        <is>
          <t>Tells the user what to do with the completed work.</t>
        </is>
      </c>
      <c r="C25" t="inlineStr">
        <is>
          <t>Summary page selected finish: gift, bury, place, carry, display</t>
        </is>
      </c>
      <c r="D25" t="inlineStr">
        <is>
          <t>Seal with candle wax, then bury/gift/place/display.</t>
        </is>
      </c>
      <c r="E25" t="inlineStr">
        <is>
          <t>This jar is [Finish Choice] so the spell may [grow / guard / draw / settle].</t>
        </is>
      </c>
      <c r="F25" t="inlineStr">
        <is>
          <t>Let smoke finish the working; crystal/rune final action depends on spell.</t>
        </is>
      </c>
      <c r="G25" t="inlineStr">
        <is>
          <t>This burning spell is finished by [Finish Choice], releasing or grounding what the smoke has carried.</t>
        </is>
      </c>
      <c r="H25" t="inlineStr">
        <is>
          <t>Tie bag closed, then carry/gift/bury.</t>
        </is>
      </c>
      <c r="I25" t="inlineStr">
        <is>
          <t>This charm is [Finish Choice] so it may work quietly and close.</t>
        </is>
      </c>
      <c r="J25" t="inlineStr">
        <is>
          <t>Finish wording should come from selected button on Summary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lordsofthewildwood@gmail.com</dc:creator>
  <dcterms:created xsi:type="dcterms:W3CDTF">2026-05-31T11:41:09Z</dcterms:created>
  <dcterms:modified xsi:type="dcterms:W3CDTF">2026-06-16T12:05:23Z</dcterms:modified>
</cp:coreProperties>
</file>